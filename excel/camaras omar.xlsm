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sarrollo\app_cotizaciones\excel\"/>
    </mc:Choice>
  </mc:AlternateContent>
  <xr:revisionPtr revIDLastSave="0" documentId="8_{EA0D0E3D-8655-4783-918E-93D6A056ABBF}" xr6:coauthVersionLast="47" xr6:coauthVersionMax="47" xr10:uidLastSave="{00000000-0000-0000-0000-000000000000}"/>
  <bookViews>
    <workbookView showVerticalScroll="0" xWindow="-108" yWindow="-108" windowWidth="23256" windowHeight="12456" tabRatio="792" xr2:uid="{00000000-000D-0000-FFFF-FFFF00000000}"/>
  </bookViews>
  <sheets>
    <sheet name="DETALLE" sheetId="22" r:id="rId1"/>
    <sheet name="BDD COSTOS" sheetId="23" r:id="rId2"/>
    <sheet name="fto detalle" sheetId="24" r:id="rId3"/>
    <sheet name="general" sheetId="26" r:id="rId4"/>
    <sheet name="CONCEPTO SIN DETALLE" sheetId="27" r:id="rId5"/>
    <sheet name="CONCEPTO AL DETALLE" sheetId="30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___TC98">[1]DATOS!#REF!</definedName>
    <definedName name="__tc99">'[2]1999'!$A$1:$M$38</definedName>
    <definedName name="_tc99">'[2]1999'!$A$1:$M$38</definedName>
    <definedName name="_xlnm.Print_Area" localSheetId="5">'CONCEPTO AL DETALLE'!$A$1:$F$41</definedName>
    <definedName name="_xlnm.Print_Area" localSheetId="4">'CONCEPTO SIN DETALLE'!$A$1:$F$38</definedName>
    <definedName name="_xlnm.Print_Area" localSheetId="3">general!$A$1:$F$53</definedName>
    <definedName name="ARTICULO_a">[3]Precios!$B$4:$B$219</definedName>
    <definedName name="carta">#REF!</definedName>
    <definedName name="GASA790629TG3">#REF!</definedName>
    <definedName name="GDB141104J2A">#REF!</definedName>
    <definedName name="imagen">INDIRECT(#REF!)</definedName>
    <definedName name="IRAPU">[4]TODO!$A$6:$F$55</definedName>
    <definedName name="LISTAS">[5]PRECIOSCATALOGOS!$A$4:$F$3240</definedName>
    <definedName name="MARCA_a">#REF!</definedName>
    <definedName name="MES">#REF!</definedName>
    <definedName name="MODELO_A">#REF!</definedName>
    <definedName name="OC">#REF!</definedName>
    <definedName name="pec">#REF!</definedName>
    <definedName name="PRECIO_a">#REF!</definedName>
    <definedName name="PRODUCT_A">#REF!</definedName>
    <definedName name="PRODUCTO_a">[6]PRECIOS!$D$1:$E$500</definedName>
    <definedName name="PROM">[2]DATOS!#REF!</definedName>
    <definedName name="promedio85">#REF!</definedName>
    <definedName name="PROVE">[7]DONADORES!$B$1:$B$150</definedName>
    <definedName name="RANGO">[8]cheque!#REF!</definedName>
    <definedName name="raulg">[6]DATOS!$A$2:$U$2370</definedName>
    <definedName name="REFE">#REF!</definedName>
    <definedName name="RG">#REF!</definedName>
    <definedName name="TC">#REF!</definedName>
    <definedName name="tcde85">#REF!</definedName>
    <definedName name="_xlnm.Print_Titles" localSheetId="5">'CONCEPTO AL DETALLE'!$1:$11</definedName>
    <definedName name="_xlnm.Print_Titles" localSheetId="4">'CONCEPTO SIN DETALLE'!$1:$11</definedName>
    <definedName name="_xlnm.Print_Titles" localSheetId="2">'fto detalle'!$1:$11</definedName>
    <definedName name="_xlnm.Print_Titles" localSheetId="3">general!$1:$11</definedName>
    <definedName name="tod">#REF!</definedName>
    <definedName name="TODO">[2]DATOS!#REF!</definedName>
    <definedName name="UNIDAD_a">#REF!</definedName>
    <definedName name="YUR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24" l="1"/>
  <c r="D12" i="22"/>
  <c r="D11" i="22"/>
  <c r="E11" i="22"/>
  <c r="E12" i="22"/>
  <c r="D13" i="22"/>
  <c r="A3" i="26"/>
  <c r="A4" i="26"/>
  <c r="A5" i="26"/>
  <c r="A4" i="24"/>
  <c r="A5" i="24"/>
  <c r="B13" i="27" l="1"/>
  <c r="B14" i="26"/>
  <c r="B13" i="26"/>
  <c r="D14" i="24"/>
  <c r="B14" i="24"/>
  <c r="B15" i="24"/>
  <c r="K12" i="22"/>
  <c r="E16" i="22"/>
  <c r="B16" i="26"/>
  <c r="B17" i="26"/>
  <c r="B19" i="26"/>
  <c r="P11" i="22"/>
  <c r="B16" i="24"/>
  <c r="B17" i="24"/>
  <c r="B18" i="24"/>
  <c r="B19" i="24"/>
  <c r="B20" i="24"/>
  <c r="B21" i="24"/>
  <c r="B22" i="24"/>
  <c r="B23" i="24"/>
  <c r="B13" i="24"/>
  <c r="D21" i="24"/>
  <c r="D20" i="24"/>
  <c r="E5" i="24"/>
  <c r="A3" i="24"/>
  <c r="D19" i="24"/>
  <c r="D13" i="24" l="1"/>
  <c r="D15" i="24"/>
  <c r="D16" i="24"/>
  <c r="D25" i="26"/>
  <c r="D26" i="26"/>
  <c r="D27" i="26"/>
  <c r="B30" i="26"/>
  <c r="B26" i="26"/>
  <c r="E25" i="22"/>
  <c r="E26" i="22"/>
  <c r="E27" i="22"/>
  <c r="D14" i="26"/>
  <c r="D15" i="26"/>
  <c r="D16" i="26"/>
  <c r="D17" i="26"/>
  <c r="D18" i="26"/>
  <c r="D19" i="26"/>
  <c r="D20" i="26"/>
  <c r="B21" i="26"/>
  <c r="B14" i="30"/>
  <c r="D33" i="22" l="1"/>
  <c r="F33" i="22" s="1"/>
  <c r="D32" i="22"/>
  <c r="F32" i="22" s="1"/>
  <c r="D31" i="22"/>
  <c r="F31" i="22" s="1"/>
  <c r="D30" i="22"/>
  <c r="F30" i="22" s="1"/>
  <c r="D29" i="22"/>
  <c r="F29" i="22" s="1"/>
  <c r="D28" i="22"/>
  <c r="F28" i="22" s="1"/>
  <c r="D27" i="22"/>
  <c r="F27" i="22" s="1"/>
  <c r="D26" i="22"/>
  <c r="F26" i="22" s="1"/>
  <c r="D25" i="22"/>
  <c r="F25" i="22" s="1"/>
  <c r="D24" i="22"/>
  <c r="F24" i="22" s="1"/>
  <c r="D23" i="22"/>
  <c r="F23" i="22" s="1"/>
  <c r="D22" i="22"/>
  <c r="F22" i="22" s="1"/>
  <c r="D21" i="22"/>
  <c r="D20" i="22"/>
  <c r="D19" i="22"/>
  <c r="D18" i="22"/>
  <c r="D17" i="22"/>
  <c r="D16" i="22"/>
  <c r="F16" i="22" s="1"/>
  <c r="D15" i="22"/>
  <c r="D14" i="22"/>
  <c r="E17" i="30" s="1"/>
  <c r="E16" i="27"/>
  <c r="E13" i="27"/>
  <c r="F13" i="27" s="1"/>
  <c r="B13" i="30"/>
  <c r="AM413" i="30"/>
  <c r="AM438" i="30" s="1"/>
  <c r="F22" i="30"/>
  <c r="D19" i="30"/>
  <c r="B19" i="30"/>
  <c r="D18" i="30"/>
  <c r="B18" i="30"/>
  <c r="D17" i="30"/>
  <c r="B17" i="30"/>
  <c r="F15" i="30"/>
  <c r="F14" i="30"/>
  <c r="E5" i="30"/>
  <c r="A5" i="30"/>
  <c r="A4" i="30"/>
  <c r="A3" i="30"/>
  <c r="F18" i="27"/>
  <c r="A5" i="27"/>
  <c r="C4" i="27"/>
  <c r="A4" i="27"/>
  <c r="A3" i="27"/>
  <c r="D13" i="26"/>
  <c r="C6" i="26"/>
  <c r="A2" i="26"/>
  <c r="AM412" i="24"/>
  <c r="AM437" i="24" s="1"/>
  <c r="AM428" i="24" s="1"/>
  <c r="D17" i="24"/>
  <c r="D18" i="24"/>
  <c r="E22" i="22"/>
  <c r="E23" i="22"/>
  <c r="E24" i="22"/>
  <c r="E28" i="22"/>
  <c r="E29" i="22"/>
  <c r="E30" i="22"/>
  <c r="E31" i="22"/>
  <c r="E32" i="22"/>
  <c r="E33" i="22"/>
  <c r="AM501" i="22"/>
  <c r="AM526" i="22" s="1"/>
  <c r="AM457" i="22"/>
  <c r="AM482" i="22" s="1"/>
  <c r="AM470" i="22" s="1"/>
  <c r="P33" i="22"/>
  <c r="K33" i="22"/>
  <c r="E21" i="22"/>
  <c r="E20" i="22"/>
  <c r="E19" i="22"/>
  <c r="E18" i="22"/>
  <c r="E17" i="22"/>
  <c r="P15" i="22"/>
  <c r="K15" i="22"/>
  <c r="E15" i="22"/>
  <c r="P14" i="22"/>
  <c r="K14" i="22"/>
  <c r="E14" i="22"/>
  <c r="J13" i="22"/>
  <c r="K13" i="22" s="1"/>
  <c r="E13" i="22"/>
  <c r="P12" i="22"/>
  <c r="K11" i="22"/>
  <c r="F18" i="22" l="1"/>
  <c r="E20" i="24"/>
  <c r="F20" i="24" s="1"/>
  <c r="F21" i="22"/>
  <c r="E23" i="24"/>
  <c r="F20" i="22"/>
  <c r="E22" i="24"/>
  <c r="F19" i="22"/>
  <c r="E21" i="24"/>
  <c r="F21" i="24" s="1"/>
  <c r="F17" i="22"/>
  <c r="E19" i="24"/>
  <c r="F19" i="24" s="1"/>
  <c r="E18" i="30"/>
  <c r="F18" i="30" s="1"/>
  <c r="F15" i="22"/>
  <c r="F14" i="22"/>
  <c r="F17" i="30"/>
  <c r="F16" i="27"/>
  <c r="F16" i="30"/>
  <c r="E13" i="24"/>
  <c r="F13" i="24" s="1"/>
  <c r="E19" i="30"/>
  <c r="F19" i="30" s="1"/>
  <c r="AM431" i="30"/>
  <c r="AM430" i="30"/>
  <c r="AM426" i="30"/>
  <c r="AM423" i="30"/>
  <c r="AM421" i="30"/>
  <c r="AM429" i="30"/>
  <c r="AM427" i="30"/>
  <c r="AO427" i="30" s="1"/>
  <c r="AP427" i="30" s="1"/>
  <c r="AM425" i="30"/>
  <c r="AM419" i="30"/>
  <c r="AO419" i="30" s="1"/>
  <c r="AP419" i="30" s="1"/>
  <c r="AM418" i="30"/>
  <c r="AM424" i="30"/>
  <c r="AM428" i="30"/>
  <c r="AM422" i="30"/>
  <c r="AO422" i="30" s="1"/>
  <c r="AP422" i="30" s="1"/>
  <c r="AM420" i="30"/>
  <c r="AO420" i="30" s="1"/>
  <c r="AP420" i="30" s="1"/>
  <c r="AU418" i="30"/>
  <c r="AR428" i="30"/>
  <c r="E17" i="24"/>
  <c r="F17" i="24" s="1"/>
  <c r="E16" i="24"/>
  <c r="F16" i="24" s="1"/>
  <c r="E18" i="26"/>
  <c r="F18" i="26" s="1"/>
  <c r="E18" i="24"/>
  <c r="F18" i="24" s="1"/>
  <c r="E13" i="26"/>
  <c r="F13" i="26" s="1"/>
  <c r="E16" i="26"/>
  <c r="F16" i="26" s="1"/>
  <c r="E17" i="26"/>
  <c r="F17" i="26" s="1"/>
  <c r="F11" i="22"/>
  <c r="AM417" i="24"/>
  <c r="AM418" i="24"/>
  <c r="AO418" i="24" s="1"/>
  <c r="AP418" i="24" s="1"/>
  <c r="AM430" i="24"/>
  <c r="AM429" i="24"/>
  <c r="AO429" i="24" s="1"/>
  <c r="AP429" i="24" s="1"/>
  <c r="AM425" i="24"/>
  <c r="AM422" i="24"/>
  <c r="AM420" i="24"/>
  <c r="AM423" i="24"/>
  <c r="AM427" i="24"/>
  <c r="AM421" i="24"/>
  <c r="AM419" i="24"/>
  <c r="AO419" i="24" s="1"/>
  <c r="AP419" i="24" s="1"/>
  <c r="AM424" i="24"/>
  <c r="AO424" i="24" s="1"/>
  <c r="AP424" i="24" s="1"/>
  <c r="AM426" i="24"/>
  <c r="AO426" i="24" s="1"/>
  <c r="AP426" i="24" s="1"/>
  <c r="AU417" i="24"/>
  <c r="AR427" i="24"/>
  <c r="AM508" i="22"/>
  <c r="AO508" i="22" s="1"/>
  <c r="AP508" i="22" s="1"/>
  <c r="AM518" i="22"/>
  <c r="AM511" i="22"/>
  <c r="AM510" i="22"/>
  <c r="AM514" i="22"/>
  <c r="AM516" i="22"/>
  <c r="AM509" i="22"/>
  <c r="AM519" i="22"/>
  <c r="AR472" i="22"/>
  <c r="AU523" i="22"/>
  <c r="AU479" i="22"/>
  <c r="AR516" i="22"/>
  <c r="AM466" i="22"/>
  <c r="AM473" i="22"/>
  <c r="AM471" i="22"/>
  <c r="AO471" i="22" s="1"/>
  <c r="AP471" i="22" s="1"/>
  <c r="AM469" i="22"/>
  <c r="AM463" i="22"/>
  <c r="AO463" i="22" s="1"/>
  <c r="AP463" i="22" s="1"/>
  <c r="AM462" i="22"/>
  <c r="AM468" i="22"/>
  <c r="AM464" i="22"/>
  <c r="AO464" i="22" s="1"/>
  <c r="AP464" i="22" s="1"/>
  <c r="AM472" i="22"/>
  <c r="AM465" i="22"/>
  <c r="AM467" i="22"/>
  <c r="AM474" i="22"/>
  <c r="AM475" i="22"/>
  <c r="AM517" i="22"/>
  <c r="AM515" i="22"/>
  <c r="AM513" i="22"/>
  <c r="AM507" i="22"/>
  <c r="AO507" i="22" s="1"/>
  <c r="AP507" i="22" s="1"/>
  <c r="AM506" i="22"/>
  <c r="AM512" i="22"/>
  <c r="AU462" i="22"/>
  <c r="AU506" i="22"/>
  <c r="E34" i="22"/>
  <c r="E36" i="22" s="1"/>
  <c r="J1" i="22" s="1"/>
  <c r="P34" i="22"/>
  <c r="P36" i="22" s="1"/>
  <c r="J3" i="22" s="1"/>
  <c r="K34" i="22"/>
  <c r="K36" i="22" s="1"/>
  <c r="AO424" i="30" l="1"/>
  <c r="AP424" i="30" s="1"/>
  <c r="AO429" i="30"/>
  <c r="AP429" i="30" s="1"/>
  <c r="AR429" i="30" s="1"/>
  <c r="AO430" i="30"/>
  <c r="AP430" i="30" s="1"/>
  <c r="AR430" i="30" s="1"/>
  <c r="AS430" i="30" s="1"/>
  <c r="AT430" i="30" s="1"/>
  <c r="AO428" i="30"/>
  <c r="AP428" i="30" s="1"/>
  <c r="AR422" i="30"/>
  <c r="AS422" i="30" s="1"/>
  <c r="AT422" i="30" s="1"/>
  <c r="AO421" i="30"/>
  <c r="AP421" i="30" s="1"/>
  <c r="AS421" i="30" s="1"/>
  <c r="AO431" i="30"/>
  <c r="AO425" i="30"/>
  <c r="AP425" i="30" s="1"/>
  <c r="AO423" i="30"/>
  <c r="AP423" i="30" s="1"/>
  <c r="AO418" i="30"/>
  <c r="AP418" i="30" s="1"/>
  <c r="AU434" i="30" s="1"/>
  <c r="AM416" i="30"/>
  <c r="AR427" i="30"/>
  <c r="AT427" i="30" s="1"/>
  <c r="AO426" i="30"/>
  <c r="AP426" i="30" s="1"/>
  <c r="AO515" i="22"/>
  <c r="AP515" i="22" s="1"/>
  <c r="AT515" i="22" s="1"/>
  <c r="AO510" i="22"/>
  <c r="AP510" i="22" s="1"/>
  <c r="AS510" i="22" s="1"/>
  <c r="AO509" i="22"/>
  <c r="AP509" i="22" s="1"/>
  <c r="AU509" i="22" s="1"/>
  <c r="AO423" i="24"/>
  <c r="AP423" i="24" s="1"/>
  <c r="AO430" i="24"/>
  <c r="AP430" i="24" s="1"/>
  <c r="AR424" i="24"/>
  <c r="AU424" i="24" s="1"/>
  <c r="AO420" i="24"/>
  <c r="AP420" i="24" s="1"/>
  <c r="AO421" i="24"/>
  <c r="AP421" i="24" s="1"/>
  <c r="AO422" i="24"/>
  <c r="AP422" i="24" s="1"/>
  <c r="AR426" i="24"/>
  <c r="AT426" i="24" s="1"/>
  <c r="AO427" i="24"/>
  <c r="AP427" i="24" s="1"/>
  <c r="AO425" i="24"/>
  <c r="AP425" i="24" s="1"/>
  <c r="AO417" i="24"/>
  <c r="AP417" i="24" s="1"/>
  <c r="AU433" i="24" s="1"/>
  <c r="AM415" i="24"/>
  <c r="AR429" i="24"/>
  <c r="AS429" i="24" s="1"/>
  <c r="AT429" i="24" s="1"/>
  <c r="AO428" i="24"/>
  <c r="AP428" i="24" s="1"/>
  <c r="AV428" i="24" s="1"/>
  <c r="AO472" i="22"/>
  <c r="AP472" i="22" s="1"/>
  <c r="AO512" i="22"/>
  <c r="AP512" i="22" s="1"/>
  <c r="AO474" i="22"/>
  <c r="AP474" i="22" s="1"/>
  <c r="AR474" i="22" s="1"/>
  <c r="AS474" i="22" s="1"/>
  <c r="AT474" i="22" s="1"/>
  <c r="AO467" i="22"/>
  <c r="AP467" i="22" s="1"/>
  <c r="AR467" i="22" s="1"/>
  <c r="AT467" i="22" s="1"/>
  <c r="AO519" i="22"/>
  <c r="AP519" i="22" s="1"/>
  <c r="AR519" i="22" s="1"/>
  <c r="AO517" i="22"/>
  <c r="AP517" i="22" s="1"/>
  <c r="AV518" i="22" s="1"/>
  <c r="AO516" i="22"/>
  <c r="AP516" i="22" s="1"/>
  <c r="AO465" i="22"/>
  <c r="AP465" i="22" s="1"/>
  <c r="AT463" i="22" s="1"/>
  <c r="AO513" i="22"/>
  <c r="AP513" i="22" s="1"/>
  <c r="AR512" i="22" s="1"/>
  <c r="AW512" i="22" s="1"/>
  <c r="AO511" i="22"/>
  <c r="AP511" i="22" s="1"/>
  <c r="AO468" i="22"/>
  <c r="AP468" i="22" s="1"/>
  <c r="AO518" i="22"/>
  <c r="AO514" i="22"/>
  <c r="AP514" i="22" s="1"/>
  <c r="AO475" i="22"/>
  <c r="AO469" i="22"/>
  <c r="AP469" i="22" s="1"/>
  <c r="AO466" i="22"/>
  <c r="AP466" i="22" s="1"/>
  <c r="AO470" i="22"/>
  <c r="AP470" i="22" s="1"/>
  <c r="AM504" i="22"/>
  <c r="AO506" i="22"/>
  <c r="AP506" i="22" s="1"/>
  <c r="AU505" i="22" s="1"/>
  <c r="AR471" i="22"/>
  <c r="AT471" i="22" s="1"/>
  <c r="AM460" i="22"/>
  <c r="AO462" i="22"/>
  <c r="AP462" i="22" s="1"/>
  <c r="AU461" i="22" s="1"/>
  <c r="AO473" i="22"/>
  <c r="AP473" i="22" s="1"/>
  <c r="P35" i="22"/>
  <c r="E35" i="22"/>
  <c r="K35" i="22"/>
  <c r="J2" i="22"/>
  <c r="J4" i="22" s="1"/>
  <c r="AR510" i="22" l="1"/>
  <c r="AT510" i="22"/>
  <c r="F12" i="22"/>
  <c r="E14" i="24"/>
  <c r="AS509" i="22"/>
  <c r="AR515" i="22"/>
  <c r="AS473" i="22"/>
  <c r="AT429" i="30"/>
  <c r="AT507" i="22"/>
  <c r="AR517" i="22"/>
  <c r="AV509" i="22"/>
  <c r="AS429" i="30"/>
  <c r="AU511" i="22"/>
  <c r="AR509" i="22"/>
  <c r="AV429" i="30"/>
  <c r="AU507" i="22"/>
  <c r="AU510" i="22"/>
  <c r="AS507" i="22"/>
  <c r="AT509" i="22"/>
  <c r="AU429" i="30"/>
  <c r="AU427" i="30"/>
  <c r="AR425" i="30"/>
  <c r="AU425" i="30" s="1"/>
  <c r="AR424" i="30"/>
  <c r="AW424" i="30" s="1"/>
  <c r="AU417" i="30"/>
  <c r="AR426" i="30"/>
  <c r="AS426" i="30" s="1"/>
  <c r="AT426" i="30" s="1"/>
  <c r="AS425" i="30"/>
  <c r="AV425" i="30"/>
  <c r="AM435" i="30"/>
  <c r="AP431" i="30"/>
  <c r="AS419" i="30" s="1"/>
  <c r="AU419" i="30" s="1"/>
  <c r="AR423" i="30"/>
  <c r="AT423" i="30" s="1"/>
  <c r="AU422" i="30"/>
  <c r="AR421" i="30"/>
  <c r="AT421" i="30" s="1"/>
  <c r="AT419" i="30"/>
  <c r="AU423" i="30"/>
  <c r="AV421" i="30"/>
  <c r="AU430" i="30"/>
  <c r="AU513" i="22"/>
  <c r="AU416" i="24"/>
  <c r="AS428" i="24"/>
  <c r="AR430" i="24"/>
  <c r="AT430" i="24" s="1"/>
  <c r="AT424" i="24"/>
  <c r="AV424" i="24"/>
  <c r="AR425" i="24"/>
  <c r="AS424" i="24"/>
  <c r="AR422" i="24"/>
  <c r="AT422" i="24" s="1"/>
  <c r="AR421" i="24"/>
  <c r="AS421" i="24" s="1"/>
  <c r="AT421" i="24" s="1"/>
  <c r="AS420" i="24"/>
  <c r="AV420" i="24"/>
  <c r="AM434" i="24"/>
  <c r="AS418" i="24"/>
  <c r="AU418" i="24" s="1"/>
  <c r="AT418" i="24"/>
  <c r="AR420" i="24"/>
  <c r="AT420" i="24" s="1"/>
  <c r="AV429" i="24"/>
  <c r="AU429" i="24"/>
  <c r="AR428" i="24"/>
  <c r="AT428" i="24" s="1"/>
  <c r="AV427" i="24"/>
  <c r="AR423" i="24"/>
  <c r="AW423" i="24" s="1"/>
  <c r="AU426" i="24"/>
  <c r="AR465" i="22"/>
  <c r="AU465" i="22" s="1"/>
  <c r="AT519" i="22"/>
  <c r="AU518" i="22"/>
  <c r="AR513" i="22"/>
  <c r="AV516" i="22"/>
  <c r="AW516" i="22" s="1"/>
  <c r="AU515" i="22"/>
  <c r="AU514" i="22"/>
  <c r="AU517" i="22"/>
  <c r="AU522" i="22"/>
  <c r="AU467" i="22"/>
  <c r="AR511" i="22"/>
  <c r="AT511" i="22"/>
  <c r="AM479" i="22"/>
  <c r="AP475" i="22"/>
  <c r="AP518" i="22"/>
  <c r="AM523" i="22"/>
  <c r="AU478" i="22"/>
  <c r="AV473" i="22"/>
  <c r="AR470" i="22"/>
  <c r="AU470" i="22" s="1"/>
  <c r="AS469" i="22"/>
  <c r="AV469" i="22"/>
  <c r="AR469" i="22"/>
  <c r="AT469" i="22" s="1"/>
  <c r="AU471" i="22"/>
  <c r="AR468" i="22"/>
  <c r="AW468" i="22" s="1"/>
  <c r="AU474" i="22"/>
  <c r="AR473" i="22"/>
  <c r="AT473" i="22" s="1"/>
  <c r="AV465" i="22"/>
  <c r="AR466" i="22"/>
  <c r="AU466" i="22" s="1"/>
  <c r="AS465" i="22"/>
  <c r="AR514" i="22"/>
  <c r="AS513" i="22"/>
  <c r="AV513" i="22"/>
  <c r="AT514" i="22"/>
  <c r="AS514" i="22"/>
  <c r="AT513" i="22"/>
  <c r="J7" i="22"/>
  <c r="AU430" i="24" l="1"/>
  <c r="J6" i="22"/>
  <c r="AM409" i="22" s="1"/>
  <c r="AU414" i="22" s="1"/>
  <c r="AW509" i="22"/>
  <c r="AT465" i="22"/>
  <c r="AT425" i="30"/>
  <c r="AU428" i="24"/>
  <c r="AW428" i="24" s="1"/>
  <c r="AU421" i="30"/>
  <c r="AW421" i="30" s="1"/>
  <c r="AU426" i="30"/>
  <c r="AW425" i="30" s="1"/>
  <c r="AR431" i="30"/>
  <c r="AU431" i="30" s="1"/>
  <c r="AW429" i="30" s="1"/>
  <c r="AV428" i="30"/>
  <c r="AV430" i="30"/>
  <c r="AU421" i="24"/>
  <c r="AU422" i="24"/>
  <c r="AU420" i="24"/>
  <c r="AS425" i="24"/>
  <c r="AT425" i="24" s="1"/>
  <c r="AU425" i="24"/>
  <c r="AW424" i="24" s="1"/>
  <c r="AW427" i="24"/>
  <c r="AS470" i="22"/>
  <c r="AT470" i="22" s="1"/>
  <c r="AW513" i="22"/>
  <c r="AW465" i="22"/>
  <c r="AU473" i="22"/>
  <c r="AS466" i="22"/>
  <c r="AT466" i="22" s="1"/>
  <c r="AU469" i="22"/>
  <c r="AW469" i="22" s="1"/>
  <c r="AR475" i="22"/>
  <c r="AU475" i="22" s="1"/>
  <c r="AV474" i="22"/>
  <c r="AS463" i="22"/>
  <c r="AU463" i="22" s="1"/>
  <c r="AV472" i="22"/>
  <c r="AR518" i="22"/>
  <c r="AS517" i="22"/>
  <c r="AV517" i="22"/>
  <c r="AS518" i="22"/>
  <c r="AT517" i="22"/>
  <c r="AT518" i="22"/>
  <c r="AU519" i="22"/>
  <c r="K6" i="22" l="1"/>
  <c r="E15" i="27"/>
  <c r="F15" i="27" s="1"/>
  <c r="E15" i="26"/>
  <c r="F15" i="26" s="1"/>
  <c r="E15" i="24"/>
  <c r="F15" i="24" s="1"/>
  <c r="F13" i="22"/>
  <c r="E14" i="27"/>
  <c r="F14" i="27" s="1"/>
  <c r="E14" i="26"/>
  <c r="F14" i="26" s="1"/>
  <c r="F14" i="24"/>
  <c r="AU431" i="22"/>
  <c r="AM434" i="22"/>
  <c r="AM426" i="22" s="1"/>
  <c r="AR424" i="22"/>
  <c r="AW420" i="24"/>
  <c r="AO413" i="24" s="1"/>
  <c r="F13" i="30"/>
  <c r="F23" i="30" s="1"/>
  <c r="F24" i="30" s="1"/>
  <c r="F25" i="30" s="1"/>
  <c r="AM368" i="30" s="1"/>
  <c r="AW428" i="30"/>
  <c r="AO414" i="30" s="1"/>
  <c r="AT431" i="30"/>
  <c r="AW517" i="22"/>
  <c r="AO501" i="22" s="1"/>
  <c r="AW473" i="22"/>
  <c r="AT475" i="22"/>
  <c r="AW472" i="22"/>
  <c r="F23" i="24" l="1"/>
  <c r="F24" i="24" s="1"/>
  <c r="AM367" i="24" s="1"/>
  <c r="AM392" i="24" s="1"/>
  <c r="AM380" i="26"/>
  <c r="AU402" i="26" s="1"/>
  <c r="D21" i="26"/>
  <c r="D23" i="26" s="1"/>
  <c r="D22" i="26" s="1"/>
  <c r="F33" i="26" s="1"/>
  <c r="F35" i="26" s="1"/>
  <c r="F36" i="26" s="1"/>
  <c r="L6" i="22"/>
  <c r="A19" i="27"/>
  <c r="AM365" i="27" s="1"/>
  <c r="AU370" i="27" s="1"/>
  <c r="AM364" i="22"/>
  <c r="AU369" i="22" s="1"/>
  <c r="D39" i="22"/>
  <c r="AM410" i="27"/>
  <c r="AR425" i="27" s="1"/>
  <c r="F19" i="27"/>
  <c r="F20" i="27" s="1"/>
  <c r="F21" i="27" s="1"/>
  <c r="AM425" i="26"/>
  <c r="AR440" i="26" s="1"/>
  <c r="AM419" i="22"/>
  <c r="AM423" i="22"/>
  <c r="AM420" i="22"/>
  <c r="AM422" i="22"/>
  <c r="AM424" i="22"/>
  <c r="AM427" i="22"/>
  <c r="AO427" i="22" s="1"/>
  <c r="AP427" i="22" s="1"/>
  <c r="AM416" i="22"/>
  <c r="AO416" i="22" s="1"/>
  <c r="AP416" i="22" s="1"/>
  <c r="AM414" i="22"/>
  <c r="AM412" i="22" s="1"/>
  <c r="AM421" i="22"/>
  <c r="AM425" i="22"/>
  <c r="AO426" i="22" s="1"/>
  <c r="AP426" i="22" s="1"/>
  <c r="AR426" i="22" s="1"/>
  <c r="AM417" i="22"/>
  <c r="AM418" i="22"/>
  <c r="AM415" i="22"/>
  <c r="AO415" i="22" s="1"/>
  <c r="AP415" i="22" s="1"/>
  <c r="AO502" i="22"/>
  <c r="AO458" i="22"/>
  <c r="AO412" i="24"/>
  <c r="AO413" i="30"/>
  <c r="AM393" i="30"/>
  <c r="AU373" i="30"/>
  <c r="AR383" i="30"/>
  <c r="AU390" i="30"/>
  <c r="AO457" i="22"/>
  <c r="AM405" i="26" l="1"/>
  <c r="AM395" i="26" s="1"/>
  <c r="AR395" i="26"/>
  <c r="AU385" i="26"/>
  <c r="AM389" i="22"/>
  <c r="AM378" i="22" s="1"/>
  <c r="AU387" i="27"/>
  <c r="AM390" i="27"/>
  <c r="AM378" i="27" s="1"/>
  <c r="AR380" i="27"/>
  <c r="AM450" i="26"/>
  <c r="AM440" i="26" s="1"/>
  <c r="AU430" i="26"/>
  <c r="AR379" i="22"/>
  <c r="AU386" i="22"/>
  <c r="AM435" i="27"/>
  <c r="AM422" i="27" s="1"/>
  <c r="AU415" i="27"/>
  <c r="AR382" i="24"/>
  <c r="AU389" i="24"/>
  <c r="AU372" i="24"/>
  <c r="AM382" i="24"/>
  <c r="AM372" i="24"/>
  <c r="AM373" i="24"/>
  <c r="AO373" i="24" s="1"/>
  <c r="AP373" i="24" s="1"/>
  <c r="AM384" i="24"/>
  <c r="AM375" i="24"/>
  <c r="AM383" i="24"/>
  <c r="AM378" i="24"/>
  <c r="AM374" i="24"/>
  <c r="AO374" i="24" s="1"/>
  <c r="AP374" i="24" s="1"/>
  <c r="AM376" i="24"/>
  <c r="AM377" i="24"/>
  <c r="AM379" i="24"/>
  <c r="AM381" i="24"/>
  <c r="AM385" i="24"/>
  <c r="AM380" i="24"/>
  <c r="AO424" i="22"/>
  <c r="AP424" i="22" s="1"/>
  <c r="AO419" i="22"/>
  <c r="AP419" i="22" s="1"/>
  <c r="AR419" i="22" s="1"/>
  <c r="AT419" i="22" s="1"/>
  <c r="AO414" i="22"/>
  <c r="AP414" i="22" s="1"/>
  <c r="AU430" i="22" s="1"/>
  <c r="AO420" i="22"/>
  <c r="AP420" i="22" s="1"/>
  <c r="AO425" i="22"/>
  <c r="AP425" i="22" s="1"/>
  <c r="AS425" i="22" s="1"/>
  <c r="AO422" i="22"/>
  <c r="AP422" i="22" s="1"/>
  <c r="AR422" i="22" s="1"/>
  <c r="AO421" i="22"/>
  <c r="AP421" i="22" s="1"/>
  <c r="AR421" i="22" s="1"/>
  <c r="AM396" i="26"/>
  <c r="AO396" i="26" s="1"/>
  <c r="AP396" i="26" s="1"/>
  <c r="AR396" i="26" s="1"/>
  <c r="AO423" i="22"/>
  <c r="AP423" i="22" s="1"/>
  <c r="AR423" i="22" s="1"/>
  <c r="AT423" i="22" s="1"/>
  <c r="AM387" i="26"/>
  <c r="AO387" i="26" s="1"/>
  <c r="AP387" i="26" s="1"/>
  <c r="AM388" i="26"/>
  <c r="AM398" i="26"/>
  <c r="AM389" i="26"/>
  <c r="AO417" i="22"/>
  <c r="AP417" i="22" s="1"/>
  <c r="AT415" i="22" s="1"/>
  <c r="AM391" i="26"/>
  <c r="AM386" i="26"/>
  <c r="AO386" i="26" s="1"/>
  <c r="AP386" i="26" s="1"/>
  <c r="AM394" i="26"/>
  <c r="AM385" i="26"/>
  <c r="AM383" i="26" s="1"/>
  <c r="AM390" i="26"/>
  <c r="AO418" i="22"/>
  <c r="AP418" i="22" s="1"/>
  <c r="AR418" i="22" s="1"/>
  <c r="AS418" i="22" s="1"/>
  <c r="AT418" i="22" s="1"/>
  <c r="AM392" i="26"/>
  <c r="AM397" i="26"/>
  <c r="AM393" i="26"/>
  <c r="AS426" i="22"/>
  <c r="AT426" i="22" s="1"/>
  <c r="AR427" i="22"/>
  <c r="AM379" i="22"/>
  <c r="AM375" i="30"/>
  <c r="AO375" i="30" s="1"/>
  <c r="AP375" i="30" s="1"/>
  <c r="AM378" i="30"/>
  <c r="AM380" i="30"/>
  <c r="AM377" i="30"/>
  <c r="AM379" i="30"/>
  <c r="AM386" i="30"/>
  <c r="AM376" i="30"/>
  <c r="AM374" i="30"/>
  <c r="AO374" i="30" s="1"/>
  <c r="AP374" i="30" s="1"/>
  <c r="AM381" i="30"/>
  <c r="AM383" i="30"/>
  <c r="AM385" i="30"/>
  <c r="AM384" i="30"/>
  <c r="AM373" i="30"/>
  <c r="AM382" i="30"/>
  <c r="AO395" i="26" l="1"/>
  <c r="AP395" i="26" s="1"/>
  <c r="AM376" i="27"/>
  <c r="AM371" i="27"/>
  <c r="AO371" i="27" s="1"/>
  <c r="AP371" i="27" s="1"/>
  <c r="AM374" i="27"/>
  <c r="AM375" i="27"/>
  <c r="AM380" i="22"/>
  <c r="AO380" i="22" s="1"/>
  <c r="AP380" i="22" s="1"/>
  <c r="AR380" i="22" s="1"/>
  <c r="AM373" i="27"/>
  <c r="AM383" i="27"/>
  <c r="AM371" i="22"/>
  <c r="AO371" i="22" s="1"/>
  <c r="AP371" i="22" s="1"/>
  <c r="AM421" i="27"/>
  <c r="AO422" i="27" s="1"/>
  <c r="AP422" i="27" s="1"/>
  <c r="AM376" i="22"/>
  <c r="AM382" i="22"/>
  <c r="AM373" i="22"/>
  <c r="AM377" i="22"/>
  <c r="AO378" i="22" s="1"/>
  <c r="AP378" i="22" s="1"/>
  <c r="AR378" i="22" s="1"/>
  <c r="AT378" i="22" s="1"/>
  <c r="AM372" i="27"/>
  <c r="AO372" i="27" s="1"/>
  <c r="AP372" i="27" s="1"/>
  <c r="AM379" i="27"/>
  <c r="AO379" i="27" s="1"/>
  <c r="AP379" i="27" s="1"/>
  <c r="AR379" i="27" s="1"/>
  <c r="AT379" i="27" s="1"/>
  <c r="AM370" i="22"/>
  <c r="AO370" i="22" s="1"/>
  <c r="AP370" i="22" s="1"/>
  <c r="AM381" i="22"/>
  <c r="AM380" i="27"/>
  <c r="AM375" i="22"/>
  <c r="AM372" i="22"/>
  <c r="AM370" i="27"/>
  <c r="AO370" i="27" s="1"/>
  <c r="AP370" i="27" s="1"/>
  <c r="AM374" i="22"/>
  <c r="AM369" i="22"/>
  <c r="AO369" i="22" s="1"/>
  <c r="AP369" i="22" s="1"/>
  <c r="AM417" i="27"/>
  <c r="AO417" i="27" s="1"/>
  <c r="AP417" i="27" s="1"/>
  <c r="AM381" i="27"/>
  <c r="AM382" i="27"/>
  <c r="AM425" i="27"/>
  <c r="AM436" i="26"/>
  <c r="AM433" i="26"/>
  <c r="AM430" i="26"/>
  <c r="AM428" i="26" s="1"/>
  <c r="AM434" i="26"/>
  <c r="AM432" i="26"/>
  <c r="AO432" i="26" s="1"/>
  <c r="AP432" i="26" s="1"/>
  <c r="AM441" i="26"/>
  <c r="AM437" i="26"/>
  <c r="AM439" i="26"/>
  <c r="AM443" i="26"/>
  <c r="AM431" i="26"/>
  <c r="AO431" i="26" s="1"/>
  <c r="AP431" i="26" s="1"/>
  <c r="AM442" i="26"/>
  <c r="AM438" i="26"/>
  <c r="AM435" i="26"/>
  <c r="AM377" i="27"/>
  <c r="AO378" i="27" s="1"/>
  <c r="AP378" i="27" s="1"/>
  <c r="AM428" i="27"/>
  <c r="AM426" i="27"/>
  <c r="AM424" i="27"/>
  <c r="AM427" i="27"/>
  <c r="AM423" i="27"/>
  <c r="AO423" i="27" s="1"/>
  <c r="AP423" i="27" s="1"/>
  <c r="AM418" i="27"/>
  <c r="AM415" i="27"/>
  <c r="AO415" i="27" s="1"/>
  <c r="AP415" i="27" s="1"/>
  <c r="AM420" i="27"/>
  <c r="AM416" i="27"/>
  <c r="AO416" i="27" s="1"/>
  <c r="AP416" i="27" s="1"/>
  <c r="AM419" i="27"/>
  <c r="AO376" i="24"/>
  <c r="AP376" i="24" s="1"/>
  <c r="AR376" i="24" s="1"/>
  <c r="AS376" i="24" s="1"/>
  <c r="AT376" i="24" s="1"/>
  <c r="AO385" i="24"/>
  <c r="AP385" i="24" s="1"/>
  <c r="AR385" i="24" s="1"/>
  <c r="AT385" i="24" s="1"/>
  <c r="AO379" i="24"/>
  <c r="AP379" i="24" s="1"/>
  <c r="AR379" i="24" s="1"/>
  <c r="AO377" i="24"/>
  <c r="AP377" i="24" s="1"/>
  <c r="AR377" i="24" s="1"/>
  <c r="AT377" i="24" s="1"/>
  <c r="AV425" i="22"/>
  <c r="AV424" i="22"/>
  <c r="AO382" i="24"/>
  <c r="AP382" i="24" s="1"/>
  <c r="AO378" i="24"/>
  <c r="AP378" i="24" s="1"/>
  <c r="AO380" i="24"/>
  <c r="AP380" i="24" s="1"/>
  <c r="AO383" i="24"/>
  <c r="AP383" i="24" s="1"/>
  <c r="AO375" i="24"/>
  <c r="AP375" i="24" s="1"/>
  <c r="AO381" i="24"/>
  <c r="AP381" i="24" s="1"/>
  <c r="AR381" i="24" s="1"/>
  <c r="AT381" i="24" s="1"/>
  <c r="AO384" i="24"/>
  <c r="AP384" i="24" s="1"/>
  <c r="AM370" i="24"/>
  <c r="AO372" i="24"/>
  <c r="AP372" i="24" s="1"/>
  <c r="AU388" i="24" s="1"/>
  <c r="AU413" i="22"/>
  <c r="AO392" i="26"/>
  <c r="AP392" i="26" s="1"/>
  <c r="AR392" i="26" s="1"/>
  <c r="AV426" i="22"/>
  <c r="AR425" i="22"/>
  <c r="AT425" i="22" s="1"/>
  <c r="AU426" i="22"/>
  <c r="AO397" i="26"/>
  <c r="AP397" i="26" s="1"/>
  <c r="AR397" i="26" s="1"/>
  <c r="AS397" i="26" s="1"/>
  <c r="AT397" i="26" s="1"/>
  <c r="AO385" i="26"/>
  <c r="AP385" i="26" s="1"/>
  <c r="AU401" i="26" s="1"/>
  <c r="AS422" i="22"/>
  <c r="AT422" i="22" s="1"/>
  <c r="AU422" i="22" s="1"/>
  <c r="AS421" i="22"/>
  <c r="AT421" i="22" s="1"/>
  <c r="AU421" i="22" s="1"/>
  <c r="AV421" i="22"/>
  <c r="AU423" i="22"/>
  <c r="AS417" i="22"/>
  <c r="AR420" i="22"/>
  <c r="AW420" i="22" s="1"/>
  <c r="AO389" i="26"/>
  <c r="AP389" i="26" s="1"/>
  <c r="AR389" i="26" s="1"/>
  <c r="AS389" i="26" s="1"/>
  <c r="AT389" i="26" s="1"/>
  <c r="AO388" i="26"/>
  <c r="AP388" i="26" s="1"/>
  <c r="AU419" i="22"/>
  <c r="AS415" i="22"/>
  <c r="AU415" i="22" s="1"/>
  <c r="AV417" i="22"/>
  <c r="AR417" i="22"/>
  <c r="AM431" i="22"/>
  <c r="AU418" i="22"/>
  <c r="AO390" i="26"/>
  <c r="AP390" i="26" s="1"/>
  <c r="AR390" i="26" s="1"/>
  <c r="AT390" i="26" s="1"/>
  <c r="AO391" i="26"/>
  <c r="AP391" i="26" s="1"/>
  <c r="AO393" i="26"/>
  <c r="AP393" i="26" s="1"/>
  <c r="AR393" i="26" s="1"/>
  <c r="AS393" i="26" s="1"/>
  <c r="AT393" i="26" s="1"/>
  <c r="AO394" i="26"/>
  <c r="AP394" i="26" s="1"/>
  <c r="AR394" i="26" s="1"/>
  <c r="AT394" i="26" s="1"/>
  <c r="AO398" i="26"/>
  <c r="AP398" i="26" s="1"/>
  <c r="AR398" i="26" s="1"/>
  <c r="AO378" i="30"/>
  <c r="AP378" i="30" s="1"/>
  <c r="AR378" i="30" s="1"/>
  <c r="AT378" i="30" s="1"/>
  <c r="AO381" i="30"/>
  <c r="AP381" i="30" s="1"/>
  <c r="AR381" i="30" s="1"/>
  <c r="AS381" i="30" s="1"/>
  <c r="AT381" i="30" s="1"/>
  <c r="AO386" i="30"/>
  <c r="AP386" i="30" s="1"/>
  <c r="AO377" i="30"/>
  <c r="AP377" i="30" s="1"/>
  <c r="AR377" i="30" s="1"/>
  <c r="AS377" i="30" s="1"/>
  <c r="AT377" i="30" s="1"/>
  <c r="AO382" i="30"/>
  <c r="AP382" i="30" s="1"/>
  <c r="AR382" i="30" s="1"/>
  <c r="AT382" i="30" s="1"/>
  <c r="AO383" i="30"/>
  <c r="AP383" i="30" s="1"/>
  <c r="AM371" i="30"/>
  <c r="AO373" i="30"/>
  <c r="AP373" i="30" s="1"/>
  <c r="AU372" i="30" s="1"/>
  <c r="AO379" i="30"/>
  <c r="AP379" i="30" s="1"/>
  <c r="AT427" i="22"/>
  <c r="AU427" i="22" s="1"/>
  <c r="AO384" i="30"/>
  <c r="AP384" i="30" s="1"/>
  <c r="AO385" i="30"/>
  <c r="AP385" i="30" s="1"/>
  <c r="AO376" i="30"/>
  <c r="AP376" i="30" s="1"/>
  <c r="AO380" i="30"/>
  <c r="AP380" i="30" s="1"/>
  <c r="AO379" i="22"/>
  <c r="AP379" i="22" s="1"/>
  <c r="AO418" i="27" l="1"/>
  <c r="AP418" i="27" s="1"/>
  <c r="AO376" i="27"/>
  <c r="AP376" i="27" s="1"/>
  <c r="AM368" i="27"/>
  <c r="AO430" i="26"/>
  <c r="AP430" i="26" s="1"/>
  <c r="AU429" i="26" s="1"/>
  <c r="AM367" i="22"/>
  <c r="AO381" i="22"/>
  <c r="AP381" i="22" s="1"/>
  <c r="AT380" i="22" s="1"/>
  <c r="AU380" i="22" s="1"/>
  <c r="AO375" i="27"/>
  <c r="AP375" i="27" s="1"/>
  <c r="AR375" i="27" s="1"/>
  <c r="AT375" i="27" s="1"/>
  <c r="AO374" i="27"/>
  <c r="AP374" i="27" s="1"/>
  <c r="AU386" i="27"/>
  <c r="AO377" i="22"/>
  <c r="AP377" i="22" s="1"/>
  <c r="AR377" i="22" s="1"/>
  <c r="AS377" i="22" s="1"/>
  <c r="AT377" i="22" s="1"/>
  <c r="AO426" i="27"/>
  <c r="AP426" i="27" s="1"/>
  <c r="AR426" i="27" s="1"/>
  <c r="AO372" i="22"/>
  <c r="AP372" i="22" s="1"/>
  <c r="AR372" i="22" s="1"/>
  <c r="AO373" i="27"/>
  <c r="AP373" i="27" s="1"/>
  <c r="AR373" i="27" s="1"/>
  <c r="AO376" i="22"/>
  <c r="AP376" i="22" s="1"/>
  <c r="AR376" i="22" s="1"/>
  <c r="AO434" i="26"/>
  <c r="AP434" i="26" s="1"/>
  <c r="AR434" i="26" s="1"/>
  <c r="AS434" i="26" s="1"/>
  <c r="AT434" i="26" s="1"/>
  <c r="AO419" i="27"/>
  <c r="AP419" i="27" s="1"/>
  <c r="AU385" i="22"/>
  <c r="AO380" i="27"/>
  <c r="AP380" i="27" s="1"/>
  <c r="AO381" i="27"/>
  <c r="AP381" i="27" s="1"/>
  <c r="AR381" i="27" s="1"/>
  <c r="AO382" i="22"/>
  <c r="AP382" i="22" s="1"/>
  <c r="AR382" i="22" s="1"/>
  <c r="AT382" i="22" s="1"/>
  <c r="AO374" i="22"/>
  <c r="AP374" i="22" s="1"/>
  <c r="AR374" i="22" s="1"/>
  <c r="AT374" i="22" s="1"/>
  <c r="AO375" i="22"/>
  <c r="AP375" i="22" s="1"/>
  <c r="AO373" i="22"/>
  <c r="AP373" i="22" s="1"/>
  <c r="AR373" i="22" s="1"/>
  <c r="AS373" i="22" s="1"/>
  <c r="AT373" i="22" s="1"/>
  <c r="AO382" i="27"/>
  <c r="AP382" i="27" s="1"/>
  <c r="AR382" i="27" s="1"/>
  <c r="AO383" i="27"/>
  <c r="AP383" i="27" s="1"/>
  <c r="AR383" i="27" s="1"/>
  <c r="AO427" i="27"/>
  <c r="AP427" i="27" s="1"/>
  <c r="AO425" i="27"/>
  <c r="AP425" i="27" s="1"/>
  <c r="AO439" i="26"/>
  <c r="AP439" i="26" s="1"/>
  <c r="AR439" i="26" s="1"/>
  <c r="AT439" i="26" s="1"/>
  <c r="AO440" i="26"/>
  <c r="AP440" i="26" s="1"/>
  <c r="AO424" i="27"/>
  <c r="AP424" i="27" s="1"/>
  <c r="AR424" i="27" s="1"/>
  <c r="AT424" i="27" s="1"/>
  <c r="AU424" i="27" s="1"/>
  <c r="AO443" i="26"/>
  <c r="AP443" i="26" s="1"/>
  <c r="AR443" i="26" s="1"/>
  <c r="AO435" i="26"/>
  <c r="AP435" i="26" s="1"/>
  <c r="AR435" i="26" s="1"/>
  <c r="AT435" i="26" s="1"/>
  <c r="AO442" i="26"/>
  <c r="AP442" i="26" s="1"/>
  <c r="AR442" i="26" s="1"/>
  <c r="AO433" i="26"/>
  <c r="AP433" i="26" s="1"/>
  <c r="AO377" i="27"/>
  <c r="AP377" i="27" s="1"/>
  <c r="AR377" i="27" s="1"/>
  <c r="AO441" i="26"/>
  <c r="AP441" i="26" s="1"/>
  <c r="AR441" i="26" s="1"/>
  <c r="AO428" i="27"/>
  <c r="AP428" i="27" s="1"/>
  <c r="AO437" i="26"/>
  <c r="AP437" i="26" s="1"/>
  <c r="AR437" i="26" s="1"/>
  <c r="AS375" i="24"/>
  <c r="AO438" i="26"/>
  <c r="AP438" i="26" s="1"/>
  <c r="AR438" i="26" s="1"/>
  <c r="AS438" i="26" s="1"/>
  <c r="AT438" i="26" s="1"/>
  <c r="AO436" i="26"/>
  <c r="AP436" i="26" s="1"/>
  <c r="AO420" i="27"/>
  <c r="AP420" i="27" s="1"/>
  <c r="AR420" i="27" s="1"/>
  <c r="AT420" i="27" s="1"/>
  <c r="AO421" i="27"/>
  <c r="AP421" i="27" s="1"/>
  <c r="AU431" i="27"/>
  <c r="AM413" i="27"/>
  <c r="AU425" i="22"/>
  <c r="AW425" i="22" s="1"/>
  <c r="AU393" i="26"/>
  <c r="AR378" i="24"/>
  <c r="AW378" i="24" s="1"/>
  <c r="AU376" i="24"/>
  <c r="AV375" i="24"/>
  <c r="AU381" i="24"/>
  <c r="AW424" i="22"/>
  <c r="AV383" i="24"/>
  <c r="AS383" i="24"/>
  <c r="AR384" i="24"/>
  <c r="AS384" i="24" s="1"/>
  <c r="AT384" i="24" s="1"/>
  <c r="AU384" i="24" s="1"/>
  <c r="AR375" i="24"/>
  <c r="AT373" i="24"/>
  <c r="AS373" i="24"/>
  <c r="AU373" i="24" s="1"/>
  <c r="AU377" i="24"/>
  <c r="AM389" i="24"/>
  <c r="AU371" i="24"/>
  <c r="AR383" i="24"/>
  <c r="AT383" i="24" s="1"/>
  <c r="AU383" i="24" s="1"/>
  <c r="AV382" i="24"/>
  <c r="AU385" i="24"/>
  <c r="AV384" i="24"/>
  <c r="AR380" i="24"/>
  <c r="AS380" i="24" s="1"/>
  <c r="AT380" i="24" s="1"/>
  <c r="AU380" i="24" s="1"/>
  <c r="AV379" i="24"/>
  <c r="AS379" i="24"/>
  <c r="AT379" i="24" s="1"/>
  <c r="AU379" i="24" s="1"/>
  <c r="AS396" i="26"/>
  <c r="AU397" i="26"/>
  <c r="AV396" i="26"/>
  <c r="AT396" i="26"/>
  <c r="AU396" i="26" s="1"/>
  <c r="AT417" i="22"/>
  <c r="AU417" i="22" s="1"/>
  <c r="AW417" i="22" s="1"/>
  <c r="AU384" i="26"/>
  <c r="AW421" i="22"/>
  <c r="AS388" i="26"/>
  <c r="AU389" i="26"/>
  <c r="AV392" i="26"/>
  <c r="AV388" i="26"/>
  <c r="AU390" i="26"/>
  <c r="AT386" i="26"/>
  <c r="AR388" i="26"/>
  <c r="AT398" i="26"/>
  <c r="AU398" i="26" s="1"/>
  <c r="AR391" i="26"/>
  <c r="AW391" i="26" s="1"/>
  <c r="AM402" i="26"/>
  <c r="AS386" i="26"/>
  <c r="AU386" i="26" s="1"/>
  <c r="AV395" i="26"/>
  <c r="AU394" i="26"/>
  <c r="AS392" i="26"/>
  <c r="AT392" i="26" s="1"/>
  <c r="AU392" i="26" s="1"/>
  <c r="AV397" i="26"/>
  <c r="AV376" i="30"/>
  <c r="AS380" i="30"/>
  <c r="AU389" i="30"/>
  <c r="AU368" i="22"/>
  <c r="AU369" i="27"/>
  <c r="AU378" i="30"/>
  <c r="AR376" i="30"/>
  <c r="AT374" i="30"/>
  <c r="AU377" i="30"/>
  <c r="AS374" i="30"/>
  <c r="AU374" i="30"/>
  <c r="AV380" i="30"/>
  <c r="AM390" i="30"/>
  <c r="AR385" i="30"/>
  <c r="AU385" i="30" s="1"/>
  <c r="AS384" i="30"/>
  <c r="AV384" i="30"/>
  <c r="AS376" i="30"/>
  <c r="AR384" i="30"/>
  <c r="AT384" i="30" s="1"/>
  <c r="AV385" i="30"/>
  <c r="AV383" i="30"/>
  <c r="AR386" i="30"/>
  <c r="AU386" i="30" s="1"/>
  <c r="AR380" i="30"/>
  <c r="AT380" i="30" s="1"/>
  <c r="AU380" i="30" s="1"/>
  <c r="AU382" i="30"/>
  <c r="AR379" i="30"/>
  <c r="AW379" i="30" s="1"/>
  <c r="AR378" i="27"/>
  <c r="AS378" i="27" s="1"/>
  <c r="AT378" i="27" s="1"/>
  <c r="AU381" i="30"/>
  <c r="AS422" i="27"/>
  <c r="AR423" i="27"/>
  <c r="AS423" i="27" s="1"/>
  <c r="AT423" i="27" s="1"/>
  <c r="AU423" i="27" s="1"/>
  <c r="AV422" i="27"/>
  <c r="AT416" i="27"/>
  <c r="AR418" i="27"/>
  <c r="AR422" i="27"/>
  <c r="AU414" i="27"/>
  <c r="AS380" i="22" l="1"/>
  <c r="AR381" i="22"/>
  <c r="AV380" i="22"/>
  <c r="AS418" i="27"/>
  <c r="AU446" i="26"/>
  <c r="AR375" i="22"/>
  <c r="AW375" i="22" s="1"/>
  <c r="AU375" i="27"/>
  <c r="AU378" i="22"/>
  <c r="AV373" i="27"/>
  <c r="AS373" i="27"/>
  <c r="AT373" i="27" s="1"/>
  <c r="AU373" i="27" s="1"/>
  <c r="AR374" i="27"/>
  <c r="AS374" i="27" s="1"/>
  <c r="AT374" i="27" s="1"/>
  <c r="AU374" i="27" s="1"/>
  <c r="AS426" i="27"/>
  <c r="AU373" i="22"/>
  <c r="AT370" i="22"/>
  <c r="AV376" i="22"/>
  <c r="AS376" i="22"/>
  <c r="AT376" i="22" s="1"/>
  <c r="AU376" i="22" s="1"/>
  <c r="AT371" i="27"/>
  <c r="AU377" i="22"/>
  <c r="AR419" i="27"/>
  <c r="AS419" i="27" s="1"/>
  <c r="AT419" i="27" s="1"/>
  <c r="AU419" i="27" s="1"/>
  <c r="AV418" i="27"/>
  <c r="AV379" i="22"/>
  <c r="AU420" i="27"/>
  <c r="AV433" i="26"/>
  <c r="AV381" i="22"/>
  <c r="AS381" i="27"/>
  <c r="AV381" i="27"/>
  <c r="AU382" i="22"/>
  <c r="AT381" i="27"/>
  <c r="AU381" i="27" s="1"/>
  <c r="AU434" i="26"/>
  <c r="AT426" i="27"/>
  <c r="AU426" i="27" s="1"/>
  <c r="AR427" i="27"/>
  <c r="AV372" i="22"/>
  <c r="AU374" i="22"/>
  <c r="AV380" i="27"/>
  <c r="AV426" i="27"/>
  <c r="AS372" i="22"/>
  <c r="AT372" i="22" s="1"/>
  <c r="AU372" i="22" s="1"/>
  <c r="AT431" i="26"/>
  <c r="AS433" i="26"/>
  <c r="AM386" i="22"/>
  <c r="AS370" i="22"/>
  <c r="AU370" i="22" s="1"/>
  <c r="AV427" i="27"/>
  <c r="AR421" i="27"/>
  <c r="AW421" i="27" s="1"/>
  <c r="AV382" i="27"/>
  <c r="AR433" i="26"/>
  <c r="AU379" i="27"/>
  <c r="AM387" i="27"/>
  <c r="AR376" i="27"/>
  <c r="AW376" i="27" s="1"/>
  <c r="AU435" i="26"/>
  <c r="AV440" i="26"/>
  <c r="AV442" i="26"/>
  <c r="AU378" i="27"/>
  <c r="AM432" i="27"/>
  <c r="AS371" i="27"/>
  <c r="AU371" i="27" s="1"/>
  <c r="AT441" i="26"/>
  <c r="AU441" i="26" s="1"/>
  <c r="AV441" i="26"/>
  <c r="AV377" i="27"/>
  <c r="AS441" i="26"/>
  <c r="AS377" i="27"/>
  <c r="AT377" i="27" s="1"/>
  <c r="AU377" i="27" s="1"/>
  <c r="AU438" i="26"/>
  <c r="AU439" i="26"/>
  <c r="AM447" i="26"/>
  <c r="AV437" i="26"/>
  <c r="AR436" i="26"/>
  <c r="AW436" i="26" s="1"/>
  <c r="AS431" i="26"/>
  <c r="AU431" i="26" s="1"/>
  <c r="AT375" i="24"/>
  <c r="AU375" i="24" s="1"/>
  <c r="AW375" i="24" s="1"/>
  <c r="AS437" i="26"/>
  <c r="AT437" i="26" s="1"/>
  <c r="AU437" i="26" s="1"/>
  <c r="AW379" i="24"/>
  <c r="AW383" i="24"/>
  <c r="AW382" i="24"/>
  <c r="AW396" i="26"/>
  <c r="AO410" i="22"/>
  <c r="AT388" i="26"/>
  <c r="AU388" i="26" s="1"/>
  <c r="AW388" i="26" s="1"/>
  <c r="AW395" i="26"/>
  <c r="AW392" i="26"/>
  <c r="AO409" i="22"/>
  <c r="AW383" i="30"/>
  <c r="AS385" i="30"/>
  <c r="AT385" i="30" s="1"/>
  <c r="AS382" i="27"/>
  <c r="AT382" i="27" s="1"/>
  <c r="AU382" i="27" s="1"/>
  <c r="AT383" i="27"/>
  <c r="AU383" i="27" s="1"/>
  <c r="AS381" i="22"/>
  <c r="AT381" i="22" s="1"/>
  <c r="AU381" i="22" s="1"/>
  <c r="AU384" i="30"/>
  <c r="AW384" i="30" s="1"/>
  <c r="AT386" i="30"/>
  <c r="AT376" i="30"/>
  <c r="AU376" i="30" s="1"/>
  <c r="AW376" i="30" s="1"/>
  <c r="AW380" i="30"/>
  <c r="AT418" i="27"/>
  <c r="AU418" i="27" s="1"/>
  <c r="AT422" i="27"/>
  <c r="AU422" i="27" s="1"/>
  <c r="AW422" i="27" s="1"/>
  <c r="AR428" i="27"/>
  <c r="AS416" i="27"/>
  <c r="AU416" i="27" s="1"/>
  <c r="AV425" i="27"/>
  <c r="AT443" i="26"/>
  <c r="AU443" i="26" s="1"/>
  <c r="AS442" i="26"/>
  <c r="AT442" i="26" s="1"/>
  <c r="AU442" i="26" s="1"/>
  <c r="G8" i="22" l="1"/>
  <c r="A27" i="26" s="1"/>
  <c r="AW380" i="22"/>
  <c r="AW373" i="27"/>
  <c r="AW376" i="22"/>
  <c r="AW379" i="22"/>
  <c r="AT433" i="26"/>
  <c r="AU433" i="26" s="1"/>
  <c r="AW433" i="26" s="1"/>
  <c r="AW380" i="27"/>
  <c r="AW381" i="27"/>
  <c r="AW418" i="27"/>
  <c r="AS427" i="27"/>
  <c r="AT427" i="27" s="1"/>
  <c r="AU427" i="27" s="1"/>
  <c r="AW372" i="22"/>
  <c r="AW425" i="27"/>
  <c r="AW440" i="26"/>
  <c r="AW377" i="27"/>
  <c r="AW441" i="26"/>
  <c r="AW437" i="26"/>
  <c r="AO368" i="24"/>
  <c r="AO367" i="24"/>
  <c r="B25" i="24" s="1"/>
  <c r="AO380" i="26"/>
  <c r="AO381" i="26"/>
  <c r="AO368" i="30"/>
  <c r="AO369" i="30"/>
  <c r="AT428" i="27"/>
  <c r="AU428" i="27" s="1"/>
  <c r="AW426" i="27" l="1"/>
  <c r="AO410" i="27" s="1"/>
  <c r="AO365" i="22"/>
  <c r="AO365" i="27"/>
  <c r="B19" i="27" s="1"/>
  <c r="AO364" i="22"/>
  <c r="K8" i="22" s="1"/>
  <c r="AO425" i="26"/>
  <c r="AO366" i="27"/>
  <c r="AO426" i="26"/>
  <c r="B26" i="30"/>
  <c r="AO411" i="27" l="1"/>
</calcChain>
</file>

<file path=xl/sharedStrings.xml><?xml version="1.0" encoding="utf-8"?>
<sst xmlns="http://schemas.openxmlformats.org/spreadsheetml/2006/main" count="881" uniqueCount="125">
  <si>
    <t>Cantidad</t>
  </si>
  <si>
    <t>SUBTOTAL</t>
  </si>
  <si>
    <t>IVA</t>
  </si>
  <si>
    <t>ENTRADA</t>
  </si>
  <si>
    <t>SALIDA</t>
  </si>
  <si>
    <t>(</t>
  </si>
  <si>
    <t xml:space="preserve">  )</t>
  </si>
  <si>
    <t>/100 M.N.</t>
  </si>
  <si>
    <t>/100 U.S. Cy</t>
  </si>
  <si>
    <t>SON: (</t>
  </si>
  <si>
    <t xml:space="preserve">CIENTO </t>
  </si>
  <si>
    <t>CENTENAS</t>
  </si>
  <si>
    <t>DECENAS</t>
  </si>
  <si>
    <t>UNIDADES</t>
  </si>
  <si>
    <t>DIECI</t>
  </si>
  <si>
    <t>VEINTI</t>
  </si>
  <si>
    <t>1</t>
  </si>
  <si>
    <t xml:space="preserve">CIEN </t>
  </si>
  <si>
    <t xml:space="preserve">DIEZ  </t>
  </si>
  <si>
    <t xml:space="preserve">UN  </t>
  </si>
  <si>
    <t xml:space="preserve">ONCE  </t>
  </si>
  <si>
    <t>2</t>
  </si>
  <si>
    <t xml:space="preserve">DOSCIENTOS </t>
  </si>
  <si>
    <t xml:space="preserve">VEINTE  </t>
  </si>
  <si>
    <t xml:space="preserve">DOS  </t>
  </si>
  <si>
    <t xml:space="preserve">DOCE  </t>
  </si>
  <si>
    <t>3</t>
  </si>
  <si>
    <t xml:space="preserve">TRESCIENTOS </t>
  </si>
  <si>
    <t xml:space="preserve">TREINTA </t>
  </si>
  <si>
    <t xml:space="preserve">TRES  </t>
  </si>
  <si>
    <t xml:space="preserve">TRECE  </t>
  </si>
  <si>
    <t>4</t>
  </si>
  <si>
    <t xml:space="preserve">CUATROCIENTOS </t>
  </si>
  <si>
    <t xml:space="preserve">CUARENTA  </t>
  </si>
  <si>
    <t xml:space="preserve">CUATRO  </t>
  </si>
  <si>
    <t xml:space="preserve">CATORCE  </t>
  </si>
  <si>
    <t>5</t>
  </si>
  <si>
    <t xml:space="preserve">QUINIENTOS </t>
  </si>
  <si>
    <t xml:space="preserve">CINCUENTA  </t>
  </si>
  <si>
    <t xml:space="preserve">CINCO  </t>
  </si>
  <si>
    <t xml:space="preserve">QUINCE  </t>
  </si>
  <si>
    <t>6</t>
  </si>
  <si>
    <t xml:space="preserve">SEISCIENTOS </t>
  </si>
  <si>
    <t xml:space="preserve">SESENTA  </t>
  </si>
  <si>
    <t xml:space="preserve">SEIS  </t>
  </si>
  <si>
    <t xml:space="preserve">DIECISEIS  </t>
  </si>
  <si>
    <t>7</t>
  </si>
  <si>
    <t xml:space="preserve">SETECIENTOS </t>
  </si>
  <si>
    <t xml:space="preserve">SETENTA  </t>
  </si>
  <si>
    <t xml:space="preserve">SIETE  </t>
  </si>
  <si>
    <t xml:space="preserve">DIECISIETE  </t>
  </si>
  <si>
    <t>8</t>
  </si>
  <si>
    <t xml:space="preserve">OCHOCIENTOS </t>
  </si>
  <si>
    <t xml:space="preserve">OCHENTA  </t>
  </si>
  <si>
    <t xml:space="preserve">OCHO  </t>
  </si>
  <si>
    <t xml:space="preserve">DIECIOCHO  </t>
  </si>
  <si>
    <t>9</t>
  </si>
  <si>
    <t xml:space="preserve">NOVECIENTOS </t>
  </si>
  <si>
    <t xml:space="preserve">NOVENTA  </t>
  </si>
  <si>
    <t xml:space="preserve">NUEVE  </t>
  </si>
  <si>
    <t xml:space="preserve">DIECINUEVE  </t>
  </si>
  <si>
    <t>0</t>
  </si>
  <si>
    <t>.</t>
  </si>
  <si>
    <t>,</t>
  </si>
  <si>
    <t>TOTAL</t>
  </si>
  <si>
    <t>COTIZACION</t>
  </si>
  <si>
    <t xml:space="preserve"> </t>
  </si>
  <si>
    <t>Cliente</t>
  </si>
  <si>
    <t>Días de trabajo</t>
  </si>
  <si>
    <t>Total material neto</t>
  </si>
  <si>
    <t>Proyecto</t>
  </si>
  <si>
    <t>Total MO neto</t>
  </si>
  <si>
    <t>Contacto</t>
  </si>
  <si>
    <t>Total Viáticos neto</t>
  </si>
  <si>
    <t>Correo</t>
  </si>
  <si>
    <t>Total Gastos</t>
  </si>
  <si>
    <t>Porcentaje de Ganancia</t>
  </si>
  <si>
    <t>Total a cotizar</t>
  </si>
  <si>
    <t>Ganancia en $</t>
  </si>
  <si>
    <t>MATERIAL</t>
  </si>
  <si>
    <t>MANO DE OBRA</t>
  </si>
  <si>
    <t>VIÁTICOS</t>
  </si>
  <si>
    <t>Concepto</t>
  </si>
  <si>
    <t>Unitario Compra</t>
  </si>
  <si>
    <t>Total Compra</t>
  </si>
  <si>
    <t>Instalador por dia</t>
  </si>
  <si>
    <t>COMIDAS</t>
  </si>
  <si>
    <t>Supervisor por día</t>
  </si>
  <si>
    <t>GASOLINA</t>
  </si>
  <si>
    <t>DESGASTE HERRAMIENTA</t>
  </si>
  <si>
    <t>Subtotal</t>
  </si>
  <si>
    <t>Total</t>
  </si>
  <si>
    <t>Part.</t>
  </si>
  <si>
    <t>Unidad</t>
  </si>
  <si>
    <t>P. Unitario</t>
  </si>
  <si>
    <t>Importe</t>
  </si>
  <si>
    <t>PIEZA</t>
  </si>
  <si>
    <t>FECHA:</t>
  </si>
  <si>
    <t>Conforme a su solicitud, me permito presentar a usted la siguiente:</t>
  </si>
  <si>
    <t>U+U</t>
  </si>
  <si>
    <t>TC+U</t>
  </si>
  <si>
    <t xml:space="preserve">Inversion: </t>
  </si>
  <si>
    <t xml:space="preserve">CONCEPTO </t>
  </si>
  <si>
    <t xml:space="preserve">PRECIO UNITARIO </t>
  </si>
  <si>
    <t>SUMINISTRAO E IENTALACION DE CCTV</t>
  </si>
  <si>
    <t>sub</t>
  </si>
  <si>
    <t>iva</t>
  </si>
  <si>
    <t>Aquien corresponda</t>
  </si>
  <si>
    <t>cotización cámaras</t>
  </si>
  <si>
    <t>NVR 8 Megapixel (4K) (Compatible con Cámaras AcuSense) / 4 Canales IP / 4 Puertos PoE+ / 1 Bahía de Disco Duro / HDMI en 4K</t>
  </si>
  <si>
    <t>Disco Duro Purple de 1 TB / 5400 RPM / Optimizado para Soluciones de Videovigilancia / Uso 24-7 / 3 Años de Garantia</t>
  </si>
  <si>
    <t> WD10PURZ</t>
  </si>
  <si>
    <t>NVR-104MH-C/4P(C)</t>
  </si>
  <si>
    <t>Bobina de cable de 305 m, Cat5e, para intemperie, sin blindar, color blanco, UL, para aplicaciones en CCTV, redes de datos.</t>
  </si>
  <si>
    <t> PRO-CAT5-EXT-LITEW</t>
  </si>
  <si>
    <t>Easy Smart Switch PoE JetStream , 8 puertos 10/100/1000 Mbps 55 W</t>
  </si>
  <si>
    <t>TL-SG108PE</t>
  </si>
  <si>
    <t>Gabinete ACTECK PERFORMANCE GI210 Micro Tower Micro ATX Y Mini ITX USB 2.0 Fuente 500W</t>
  </si>
  <si>
    <t>AC-929011</t>
  </si>
  <si>
    <t>Extensión Eléctrica De 20 Mts Uso Rudo Naranja Multicontacto</t>
  </si>
  <si>
    <t>https://articulo.mercadolibre.com.mx/MLM-1817394994-extension-electrica-de-20-mts-uso-rudo-naranja-multicontacto-_JM#position=2&amp;search_layout=grid&amp;type=item&amp;tracking_id=b8e7579d-10ba-4376-a05d-a360d88099d4:~:text=Nuevo%20%20%7C%20%204%20vendidos-,Extensi%C3%B3n%20El%C3%A9ctrica%20De%2020%20Mts%20Uso%20Rudo%20Naranja%20Multicontacto,-Favorito</t>
  </si>
  <si>
    <t>Domo IP 2 Megapixel / 30 mts IR EXIR / Exterior IP67 / IK10 / Lente 2.8 mm / dWDR / PoE / ONVIF</t>
  </si>
  <si>
    <t>DS-2CD1123G0E-I(C)</t>
  </si>
  <si>
    <t>Cámara Bullet Dahua 2 MP, DH-HAC-HFW1209CN-LED-0280B, Full Color 1080p, lente de 2.8mm</t>
  </si>
  <si>
    <t>DH-HAC-HFW1209CN-LED-0280B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</si>
</sst>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\$#,##0_);&quot;($&quot;#,##0\)"/>
    <numFmt numFmtId="167" formatCode="_([$€]* #,##0.00_);_([$€]* \(#,##0.00\);_([$€]* &quot;-&quot;??_);_(@_)"/>
    <numFmt numFmtId="168" formatCode="&quot;$&quot;\ #,##0.00;[Red]&quot;$&quot;\ \-#,##0.00"/>
    <numFmt numFmtId="169" formatCode="_-[$€-2]* #,##0.00_-;\-[$€-2]* #,##0.00_-;_-[$€-2]* &quot;-&quot;??_-"/>
    <numFmt numFmtId="170" formatCode="&quot;$&quot;#,##0.00"/>
    <numFmt numFmtId="171" formatCode="[$$]#,##0.00"/>
    <numFmt numFmtId="172" formatCode="[$-F800]dddd\,\ mmmm\ dd\,\ yyyy"/>
    <numFmt numFmtId="173" formatCode="_-[$$-80A]* #,##0.00_-;\-[$$-80A]* #,##0.00_-;_-[$$-80A]* &quot;-&quot;??_-;_-@_-"/>
  </numFmts>
  <fonts count="5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6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6"/>
      <name val="Bell MT"/>
      <family val="1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12"/>
      <name val="Calibri"/>
      <family val="2"/>
    </font>
    <font>
      <b/>
      <sz val="12"/>
      <name val="Calibri"/>
      <family val="2"/>
    </font>
    <font>
      <sz val="10"/>
      <name val="Calibri"/>
      <family val="2"/>
    </font>
    <font>
      <sz val="7"/>
      <name val="Times New Roman"/>
      <family val="1"/>
    </font>
    <font>
      <sz val="8"/>
      <name val="Calibri"/>
      <family val="1"/>
    </font>
    <font>
      <sz val="11"/>
      <color rgb="FF005CB9"/>
      <name val="Arial"/>
      <family val="2"/>
    </font>
    <font>
      <sz val="11"/>
      <color rgb="FF005CB9"/>
      <name val="Arial"/>
      <family val="2"/>
    </font>
    <font>
      <sz val="11"/>
      <color rgb="FF005CB9"/>
      <name val="Arial"/>
      <family val="2"/>
    </font>
    <font>
      <sz val="11"/>
      <color rgb="FF333333"/>
      <name val="Arial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rgb="FF005CB9"/>
      <name val="Arial"/>
      <family val="2"/>
    </font>
  </fonts>
  <fills count="29">
    <fill>
      <patternFill patternType="none"/>
    </fill>
    <fill>
      <patternFill patternType="gray125"/>
    </fill>
    <fill>
      <patternFill patternType="lightUp">
        <fgColor indexed="9"/>
        <bgColor indexed="49"/>
      </patternFill>
    </fill>
    <fill>
      <patternFill patternType="lightUp">
        <fgColor indexed="9"/>
        <bgColor indexed="10"/>
      </patternFill>
    </fill>
    <fill>
      <patternFill patternType="lightUp">
        <fgColor indexed="9"/>
        <bgColor indexed="57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30"/>
        <bgColor indexed="30"/>
      </patternFill>
    </fill>
    <fill>
      <patternFill patternType="solid">
        <fgColor indexed="45"/>
        <bgColor indexed="45"/>
      </patternFill>
    </fill>
    <fill>
      <patternFill patternType="solid">
        <fgColor indexed="29"/>
        <bgColor indexed="29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46"/>
        <bgColor indexed="46"/>
      </patternFill>
    </fill>
    <fill>
      <patternFill patternType="solid">
        <fgColor indexed="36"/>
        <bgColor indexed="36"/>
      </patternFill>
    </fill>
    <fill>
      <patternFill patternType="solid">
        <fgColor indexed="27"/>
        <bgColor indexed="27"/>
      </patternFill>
    </fill>
    <fill>
      <patternFill patternType="solid">
        <fgColor indexed="49"/>
        <bgColor indexed="49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2"/>
        <bgColor indexed="5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</borders>
  <cellStyleXfs count="97">
    <xf numFmtId="0" fontId="0" fillId="0" borderId="0"/>
    <xf numFmtId="0" fontId="25" fillId="0" borderId="0" applyNumberFormat="0" applyFill="0" applyProtection="0">
      <alignment vertical="top"/>
    </xf>
    <xf numFmtId="0" fontId="26" fillId="0" borderId="0" applyNumberFormat="0" applyFill="0" applyProtection="0">
      <alignment vertical="top"/>
    </xf>
    <xf numFmtId="0" fontId="24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11" borderId="0" applyNumberFormat="0" applyBorder="0" applyAlignment="0" applyProtection="0"/>
    <xf numFmtId="0" fontId="22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2" borderId="0" applyNumberFormat="0" applyBorder="0" applyAlignment="0" applyProtection="0"/>
    <xf numFmtId="0" fontId="22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6" borderId="0" applyNumberFormat="0" applyBorder="0" applyAlignment="0" applyProtection="0"/>
    <xf numFmtId="0" fontId="22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2" fillId="18" borderId="0" applyNumberFormat="0" applyBorder="0" applyAlignment="0" applyProtection="0"/>
    <xf numFmtId="167" fontId="18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18" fillId="0" borderId="0" applyFont="0" applyFill="0" applyProtection="0">
      <alignment vertical="top"/>
    </xf>
    <xf numFmtId="2" fontId="18" fillId="0" borderId="0" applyFont="0" applyFill="0" applyProtection="0">
      <alignment vertical="top"/>
    </xf>
    <xf numFmtId="0" fontId="27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168" fontId="33" fillId="0" borderId="0" applyFont="0" applyFill="0" applyBorder="0" applyAlignment="0" applyProtection="0"/>
    <xf numFmtId="168" fontId="20" fillId="0" borderId="0" applyFont="0" applyFill="0" applyBorder="0" applyAlignment="0" applyProtection="0"/>
    <xf numFmtId="165" fontId="34" fillId="0" borderId="0" applyFont="0" applyFill="0" applyBorder="0" applyAlignment="0" applyProtection="0"/>
    <xf numFmtId="165" fontId="20" fillId="0" borderId="0" applyFont="0" applyFill="0" applyBorder="0" applyAlignment="0" applyProtection="0"/>
    <xf numFmtId="166" fontId="18" fillId="0" borderId="0" applyFont="0" applyFill="0" applyProtection="0">
      <alignment vertical="top"/>
    </xf>
    <xf numFmtId="0" fontId="20" fillId="0" borderId="0" applyFont="0" applyFill="0" applyProtection="0">
      <alignment vertical="top"/>
    </xf>
    <xf numFmtId="0" fontId="18" fillId="0" borderId="0"/>
    <xf numFmtId="0" fontId="18" fillId="0" borderId="0"/>
    <xf numFmtId="0" fontId="20" fillId="0" borderId="0"/>
    <xf numFmtId="0" fontId="20" fillId="0" borderId="0"/>
    <xf numFmtId="0" fontId="21" fillId="0" borderId="0"/>
    <xf numFmtId="0" fontId="35" fillId="0" borderId="0"/>
    <xf numFmtId="0" fontId="18" fillId="0" borderId="0"/>
    <xf numFmtId="0" fontId="18" fillId="0" borderId="0"/>
    <xf numFmtId="3" fontId="18" fillId="0" borderId="0" applyFont="0" applyFill="0" applyProtection="0">
      <alignment vertical="top"/>
    </xf>
    <xf numFmtId="0" fontId="23" fillId="0" borderId="0" applyNumberFormat="0" applyFill="0" applyBorder="0" applyAlignment="0" applyProtection="0"/>
    <xf numFmtId="164" fontId="37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7" fillId="0" borderId="0"/>
    <xf numFmtId="164" fontId="18" fillId="0" borderId="0" applyFont="0" applyFill="0" applyBorder="0" applyAlignment="0" applyProtection="0"/>
    <xf numFmtId="169" fontId="38" fillId="0" borderId="0" applyFont="0" applyFill="0" applyBorder="0" applyAlignment="0" applyProtection="0"/>
    <xf numFmtId="0" fontId="16" fillId="0" borderId="0"/>
    <xf numFmtId="164" fontId="16" fillId="0" borderId="0" applyFont="0" applyFill="0" applyBorder="0" applyAlignment="0" applyProtection="0"/>
    <xf numFmtId="165" fontId="18" fillId="0" borderId="0" applyFont="0" applyFill="0" applyBorder="0" applyAlignment="0" applyProtection="0"/>
    <xf numFmtId="44" fontId="16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39" fillId="0" borderId="0" applyNumberFormat="0" applyFill="0" applyBorder="0" applyAlignment="0" applyProtection="0"/>
    <xf numFmtId="169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 applyFont="0" applyFill="0" applyProtection="0">
      <alignment vertical="top"/>
    </xf>
    <xf numFmtId="0" fontId="18" fillId="0" borderId="0"/>
    <xf numFmtId="0" fontId="15" fillId="0" borderId="0"/>
    <xf numFmtId="44" fontId="18" fillId="0" borderId="0" applyFont="0" applyFill="0" applyBorder="0" applyAlignment="0" applyProtection="0"/>
    <xf numFmtId="0" fontId="15" fillId="0" borderId="0"/>
    <xf numFmtId="44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 applyFont="0" applyFill="0" applyProtection="0">
      <alignment vertical="top"/>
    </xf>
    <xf numFmtId="0" fontId="18" fillId="0" borderId="0"/>
    <xf numFmtId="0" fontId="15" fillId="0" borderId="0"/>
    <xf numFmtId="44" fontId="18" fillId="0" borderId="0" applyFont="0" applyFill="0" applyBorder="0" applyAlignment="0" applyProtection="0"/>
    <xf numFmtId="0" fontId="15" fillId="0" borderId="0"/>
    <xf numFmtId="44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5" fillId="0" borderId="0"/>
    <xf numFmtId="44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4" fillId="0" borderId="0"/>
    <xf numFmtId="44" fontId="14" fillId="0" borderId="0" applyFont="0" applyFill="0" applyBorder="0" applyAlignment="0" applyProtection="0"/>
    <xf numFmtId="0" fontId="13" fillId="0" borderId="0"/>
    <xf numFmtId="0" fontId="18" fillId="0" borderId="0"/>
  </cellStyleXfs>
  <cellXfs count="273">
    <xf numFmtId="0" fontId="0" fillId="0" borderId="0" xfId="0"/>
    <xf numFmtId="0" fontId="28" fillId="0" borderId="0" xfId="42" applyFont="1"/>
    <xf numFmtId="0" fontId="28" fillId="19" borderId="0" xfId="42" applyFont="1" applyFill="1"/>
    <xf numFmtId="1" fontId="18" fillId="0" borderId="0" xfId="43" applyNumberFormat="1"/>
    <xf numFmtId="1" fontId="18" fillId="19" borderId="0" xfId="43" applyNumberFormat="1" applyFill="1"/>
    <xf numFmtId="4" fontId="18" fillId="21" borderId="6" xfId="43" applyNumberFormat="1" applyFill="1" applyBorder="1" applyAlignment="1">
      <alignment horizontal="right"/>
    </xf>
    <xf numFmtId="1" fontId="29" fillId="22" borderId="0" xfId="43" applyNumberFormat="1" applyFont="1" applyFill="1"/>
    <xf numFmtId="1" fontId="29" fillId="19" borderId="0" xfId="43" applyNumberFormat="1" applyFont="1" applyFill="1"/>
    <xf numFmtId="1" fontId="18" fillId="21" borderId="6" xfId="43" applyNumberFormat="1" applyFill="1" applyBorder="1" applyAlignment="1">
      <alignment horizontal="center"/>
    </xf>
    <xf numFmtId="1" fontId="29" fillId="0" borderId="0" xfId="43" applyNumberFormat="1" applyFont="1"/>
    <xf numFmtId="1" fontId="19" fillId="19" borderId="7" xfId="43" applyNumberFormat="1" applyFont="1" applyFill="1" applyBorder="1"/>
    <xf numFmtId="1" fontId="19" fillId="19" borderId="8" xfId="43" applyNumberFormat="1" applyFont="1" applyFill="1" applyBorder="1"/>
    <xf numFmtId="1" fontId="19" fillId="19" borderId="9" xfId="43" applyNumberFormat="1" applyFont="1" applyFill="1" applyBorder="1"/>
    <xf numFmtId="1" fontId="19" fillId="19" borderId="0" xfId="43" applyNumberFormat="1" applyFont="1" applyFill="1"/>
    <xf numFmtId="1" fontId="19" fillId="19" borderId="10" xfId="43" applyNumberFormat="1" applyFont="1" applyFill="1" applyBorder="1"/>
    <xf numFmtId="1" fontId="19" fillId="19" borderId="0" xfId="43" applyNumberFormat="1" applyFont="1" applyFill="1" applyAlignment="1">
      <alignment horizontal="left"/>
    </xf>
    <xf numFmtId="1" fontId="19" fillId="19" borderId="0" xfId="43" quotePrefix="1" applyNumberFormat="1" applyFont="1" applyFill="1" applyAlignment="1">
      <alignment horizontal="left"/>
    </xf>
    <xf numFmtId="1" fontId="19" fillId="19" borderId="11" xfId="43" applyNumberFormat="1" applyFont="1" applyFill="1" applyBorder="1"/>
    <xf numFmtId="1" fontId="30" fillId="19" borderId="0" xfId="43" applyNumberFormat="1" applyFont="1" applyFill="1"/>
    <xf numFmtId="1" fontId="30" fillId="19" borderId="0" xfId="43" applyNumberFormat="1" applyFont="1" applyFill="1" applyAlignment="1">
      <alignment horizontal="center"/>
    </xf>
    <xf numFmtId="1" fontId="30" fillId="19" borderId="0" xfId="43" quotePrefix="1" applyNumberFormat="1" applyFont="1" applyFill="1" applyAlignment="1">
      <alignment horizontal="left"/>
    </xf>
    <xf numFmtId="1" fontId="19" fillId="19" borderId="12" xfId="43" applyNumberFormat="1" applyFont="1" applyFill="1" applyBorder="1"/>
    <xf numFmtId="1" fontId="19" fillId="19" borderId="13" xfId="43" applyNumberFormat="1" applyFont="1" applyFill="1" applyBorder="1"/>
    <xf numFmtId="1" fontId="30" fillId="19" borderId="13" xfId="43" applyNumberFormat="1" applyFont="1" applyFill="1" applyBorder="1" applyAlignment="1">
      <alignment horizontal="center"/>
    </xf>
    <xf numFmtId="1" fontId="19" fillId="19" borderId="14" xfId="43" applyNumberFormat="1" applyFont="1" applyFill="1" applyBorder="1"/>
    <xf numFmtId="1" fontId="30" fillId="19" borderId="1" xfId="43" applyNumberFormat="1" applyFont="1" applyFill="1" applyBorder="1"/>
    <xf numFmtId="1" fontId="30" fillId="19" borderId="15" xfId="43" applyNumberFormat="1" applyFont="1" applyFill="1" applyBorder="1"/>
    <xf numFmtId="1" fontId="30" fillId="19" borderId="16" xfId="43" applyNumberFormat="1" applyFont="1" applyFill="1" applyBorder="1"/>
    <xf numFmtId="1" fontId="19" fillId="19" borderId="17" xfId="43" applyNumberFormat="1" applyFont="1" applyFill="1" applyBorder="1"/>
    <xf numFmtId="1" fontId="30" fillId="19" borderId="2" xfId="43" applyNumberFormat="1" applyFont="1" applyFill="1" applyBorder="1"/>
    <xf numFmtId="1" fontId="30" fillId="19" borderId="3" xfId="43" applyNumberFormat="1" applyFont="1" applyFill="1" applyBorder="1"/>
    <xf numFmtId="1" fontId="19" fillId="19" borderId="18" xfId="43" applyNumberFormat="1" applyFont="1" applyFill="1" applyBorder="1"/>
    <xf numFmtId="1" fontId="19" fillId="19" borderId="19" xfId="43" applyNumberFormat="1" applyFont="1" applyFill="1" applyBorder="1"/>
    <xf numFmtId="1" fontId="30" fillId="19" borderId="19" xfId="43" applyNumberFormat="1" applyFont="1" applyFill="1" applyBorder="1" applyAlignment="1">
      <alignment horizontal="center"/>
    </xf>
    <xf numFmtId="1" fontId="19" fillId="19" borderId="20" xfId="43" applyNumberFormat="1" applyFont="1" applyFill="1" applyBorder="1"/>
    <xf numFmtId="1" fontId="30" fillId="19" borderId="4" xfId="43" applyNumberFormat="1" applyFont="1" applyFill="1" applyBorder="1"/>
    <xf numFmtId="1" fontId="19" fillId="19" borderId="21" xfId="43" applyNumberFormat="1" applyFont="1" applyFill="1" applyBorder="1"/>
    <xf numFmtId="1" fontId="30" fillId="19" borderId="21" xfId="43" applyNumberFormat="1" applyFont="1" applyFill="1" applyBorder="1"/>
    <xf numFmtId="1" fontId="30" fillId="19" borderId="5" xfId="43" applyNumberFormat="1" applyFont="1" applyFill="1" applyBorder="1"/>
    <xf numFmtId="1" fontId="31" fillId="19" borderId="10" xfId="43" applyNumberFormat="1" applyFont="1" applyFill="1" applyBorder="1"/>
    <xf numFmtId="1" fontId="19" fillId="19" borderId="22" xfId="43" applyNumberFormat="1" applyFont="1" applyFill="1" applyBorder="1"/>
    <xf numFmtId="1" fontId="19" fillId="19" borderId="15" xfId="43" applyNumberFormat="1" applyFont="1" applyFill="1" applyBorder="1"/>
    <xf numFmtId="1" fontId="32" fillId="19" borderId="15" xfId="43" quotePrefix="1" applyNumberFormat="1" applyFont="1" applyFill="1" applyBorder="1" applyAlignment="1">
      <alignment horizontal="left"/>
    </xf>
    <xf numFmtId="1" fontId="32" fillId="19" borderId="15" xfId="43" applyNumberFormat="1" applyFont="1" applyFill="1" applyBorder="1"/>
    <xf numFmtId="1" fontId="19" fillId="19" borderId="16" xfId="43" applyNumberFormat="1" applyFont="1" applyFill="1" applyBorder="1"/>
    <xf numFmtId="1" fontId="19" fillId="19" borderId="10" xfId="43" applyNumberFormat="1" applyFont="1" applyFill="1" applyBorder="1" applyAlignment="1">
      <alignment horizontal="center"/>
    </xf>
    <xf numFmtId="1" fontId="32" fillId="19" borderId="6" xfId="43" applyNumberFormat="1" applyFont="1" applyFill="1" applyBorder="1"/>
    <xf numFmtId="1" fontId="32" fillId="19" borderId="0" xfId="43" applyNumberFormat="1" applyFont="1" applyFill="1"/>
    <xf numFmtId="1" fontId="19" fillId="19" borderId="3" xfId="43" applyNumberFormat="1" applyFont="1" applyFill="1" applyBorder="1"/>
    <xf numFmtId="1" fontId="19" fillId="19" borderId="0" xfId="43" applyNumberFormat="1" applyFont="1" applyFill="1" applyAlignment="1">
      <alignment horizontal="center"/>
    </xf>
    <xf numFmtId="1" fontId="19" fillId="19" borderId="10" xfId="43" quotePrefix="1" applyNumberFormat="1" applyFont="1" applyFill="1" applyBorder="1" applyAlignment="1">
      <alignment horizontal="left"/>
    </xf>
    <xf numFmtId="1" fontId="32" fillId="19" borderId="0" xfId="43" quotePrefix="1" applyNumberFormat="1" applyFont="1" applyFill="1" applyAlignment="1">
      <alignment horizontal="left"/>
    </xf>
    <xf numFmtId="1" fontId="19" fillId="19" borderId="23" xfId="43" applyNumberFormat="1" applyFont="1" applyFill="1" applyBorder="1"/>
    <xf numFmtId="1" fontId="19" fillId="19" borderId="5" xfId="43" applyNumberFormat="1" applyFont="1" applyFill="1" applyBorder="1"/>
    <xf numFmtId="1" fontId="19" fillId="19" borderId="24" xfId="43" applyNumberFormat="1" applyFont="1" applyFill="1" applyBorder="1"/>
    <xf numFmtId="1" fontId="19" fillId="19" borderId="25" xfId="43" applyNumberFormat="1" applyFont="1" applyFill="1" applyBorder="1"/>
    <xf numFmtId="1" fontId="19" fillId="19" borderId="26" xfId="43" applyNumberFormat="1" applyFont="1" applyFill="1" applyBorder="1"/>
    <xf numFmtId="1" fontId="18" fillId="20" borderId="0" xfId="43" applyNumberFormat="1" applyFill="1"/>
    <xf numFmtId="4" fontId="18" fillId="20" borderId="6" xfId="43" applyNumberFormat="1" applyFill="1" applyBorder="1" applyAlignment="1">
      <alignment horizontal="right"/>
    </xf>
    <xf numFmtId="1" fontId="29" fillId="20" borderId="0" xfId="43" applyNumberFormat="1" applyFont="1" applyFill="1"/>
    <xf numFmtId="1" fontId="18" fillId="20" borderId="6" xfId="43" applyNumberFormat="1" applyFill="1" applyBorder="1" applyAlignment="1">
      <alignment horizontal="center"/>
    </xf>
    <xf numFmtId="1" fontId="19" fillId="20" borderId="7" xfId="43" applyNumberFormat="1" applyFont="1" applyFill="1" applyBorder="1"/>
    <xf numFmtId="1" fontId="19" fillId="20" borderId="8" xfId="43" applyNumberFormat="1" applyFont="1" applyFill="1" applyBorder="1"/>
    <xf numFmtId="1" fontId="19" fillId="20" borderId="9" xfId="43" applyNumberFormat="1" applyFont="1" applyFill="1" applyBorder="1"/>
    <xf numFmtId="1" fontId="19" fillId="20" borderId="10" xfId="43" applyNumberFormat="1" applyFont="1" applyFill="1" applyBorder="1"/>
    <xf numFmtId="1" fontId="19" fillId="20" borderId="0" xfId="43" applyNumberFormat="1" applyFont="1" applyFill="1"/>
    <xf numFmtId="1" fontId="19" fillId="20" borderId="0" xfId="43" applyNumberFormat="1" applyFont="1" applyFill="1" applyAlignment="1">
      <alignment horizontal="left"/>
    </xf>
    <xf numFmtId="1" fontId="19" fillId="20" borderId="0" xfId="43" quotePrefix="1" applyNumberFormat="1" applyFont="1" applyFill="1" applyAlignment="1">
      <alignment horizontal="left"/>
    </xf>
    <xf numFmtId="1" fontId="19" fillId="20" borderId="11" xfId="43" applyNumberFormat="1" applyFont="1" applyFill="1" applyBorder="1"/>
    <xf numFmtId="1" fontId="30" fillId="20" borderId="0" xfId="43" applyNumberFormat="1" applyFont="1" applyFill="1"/>
    <xf numFmtId="1" fontId="30" fillId="20" borderId="0" xfId="43" applyNumberFormat="1" applyFont="1" applyFill="1" applyAlignment="1">
      <alignment horizontal="center"/>
    </xf>
    <xf numFmtId="1" fontId="30" fillId="20" borderId="0" xfId="43" quotePrefix="1" applyNumberFormat="1" applyFont="1" applyFill="1" applyAlignment="1">
      <alignment horizontal="left"/>
    </xf>
    <xf numFmtId="1" fontId="19" fillId="20" borderId="12" xfId="43" applyNumberFormat="1" applyFont="1" applyFill="1" applyBorder="1"/>
    <xf numFmtId="1" fontId="19" fillId="20" borderId="13" xfId="43" applyNumberFormat="1" applyFont="1" applyFill="1" applyBorder="1"/>
    <xf numFmtId="1" fontId="30" fillId="20" borderId="13" xfId="43" applyNumberFormat="1" applyFont="1" applyFill="1" applyBorder="1" applyAlignment="1">
      <alignment horizontal="center"/>
    </xf>
    <xf numFmtId="1" fontId="19" fillId="20" borderId="14" xfId="43" applyNumberFormat="1" applyFont="1" applyFill="1" applyBorder="1"/>
    <xf numFmtId="1" fontId="30" fillId="20" borderId="1" xfId="43" applyNumberFormat="1" applyFont="1" applyFill="1" applyBorder="1"/>
    <xf numFmtId="1" fontId="30" fillId="20" borderId="15" xfId="43" applyNumberFormat="1" applyFont="1" applyFill="1" applyBorder="1"/>
    <xf numFmtId="1" fontId="30" fillId="20" borderId="16" xfId="43" applyNumberFormat="1" applyFont="1" applyFill="1" applyBorder="1"/>
    <xf numFmtId="1" fontId="19" fillId="20" borderId="17" xfId="43" applyNumberFormat="1" applyFont="1" applyFill="1" applyBorder="1"/>
    <xf numFmtId="1" fontId="30" fillId="20" borderId="2" xfId="43" applyNumberFormat="1" applyFont="1" applyFill="1" applyBorder="1"/>
    <xf numFmtId="1" fontId="30" fillId="20" borderId="3" xfId="43" applyNumberFormat="1" applyFont="1" applyFill="1" applyBorder="1"/>
    <xf numFmtId="1" fontId="19" fillId="20" borderId="18" xfId="43" applyNumberFormat="1" applyFont="1" applyFill="1" applyBorder="1"/>
    <xf numFmtId="1" fontId="19" fillId="20" borderId="19" xfId="43" applyNumberFormat="1" applyFont="1" applyFill="1" applyBorder="1"/>
    <xf numFmtId="1" fontId="30" fillId="20" borderId="19" xfId="43" applyNumberFormat="1" applyFont="1" applyFill="1" applyBorder="1" applyAlignment="1">
      <alignment horizontal="center"/>
    </xf>
    <xf numFmtId="1" fontId="19" fillId="20" borderId="20" xfId="43" applyNumberFormat="1" applyFont="1" applyFill="1" applyBorder="1"/>
    <xf numFmtId="1" fontId="30" fillId="20" borderId="4" xfId="43" applyNumberFormat="1" applyFont="1" applyFill="1" applyBorder="1"/>
    <xf numFmtId="1" fontId="19" fillId="20" borderId="21" xfId="43" applyNumberFormat="1" applyFont="1" applyFill="1" applyBorder="1"/>
    <xf numFmtId="1" fontId="30" fillId="20" borderId="21" xfId="43" applyNumberFormat="1" applyFont="1" applyFill="1" applyBorder="1"/>
    <xf numFmtId="1" fontId="30" fillId="20" borderId="5" xfId="43" applyNumberFormat="1" applyFont="1" applyFill="1" applyBorder="1"/>
    <xf numFmtId="1" fontId="31" fillId="20" borderId="10" xfId="43" applyNumberFormat="1" applyFont="1" applyFill="1" applyBorder="1"/>
    <xf numFmtId="1" fontId="19" fillId="20" borderId="22" xfId="43" applyNumberFormat="1" applyFont="1" applyFill="1" applyBorder="1"/>
    <xf numFmtId="1" fontId="19" fillId="20" borderId="15" xfId="43" applyNumberFormat="1" applyFont="1" applyFill="1" applyBorder="1"/>
    <xf numFmtId="1" fontId="32" fillId="20" borderId="15" xfId="43" quotePrefix="1" applyNumberFormat="1" applyFont="1" applyFill="1" applyBorder="1" applyAlignment="1">
      <alignment horizontal="left"/>
    </xf>
    <xf numFmtId="1" fontId="32" fillId="20" borderId="15" xfId="43" applyNumberFormat="1" applyFont="1" applyFill="1" applyBorder="1"/>
    <xf numFmtId="1" fontId="19" fillId="20" borderId="16" xfId="43" applyNumberFormat="1" applyFont="1" applyFill="1" applyBorder="1"/>
    <xf numFmtId="1" fontId="19" fillId="20" borderId="10" xfId="43" applyNumberFormat="1" applyFont="1" applyFill="1" applyBorder="1" applyAlignment="1">
      <alignment horizontal="center"/>
    </xf>
    <xf numFmtId="1" fontId="32" fillId="20" borderId="6" xfId="43" applyNumberFormat="1" applyFont="1" applyFill="1" applyBorder="1"/>
    <xf numFmtId="1" fontId="32" fillId="20" borderId="0" xfId="43" applyNumberFormat="1" applyFont="1" applyFill="1"/>
    <xf numFmtId="1" fontId="19" fillId="20" borderId="3" xfId="43" applyNumberFormat="1" applyFont="1" applyFill="1" applyBorder="1"/>
    <xf numFmtId="1" fontId="19" fillId="20" borderId="0" xfId="43" applyNumberFormat="1" applyFont="1" applyFill="1" applyAlignment="1">
      <alignment horizontal="center"/>
    </xf>
    <xf numFmtId="1" fontId="19" fillId="20" borderId="10" xfId="43" quotePrefix="1" applyNumberFormat="1" applyFont="1" applyFill="1" applyBorder="1" applyAlignment="1">
      <alignment horizontal="left"/>
    </xf>
    <xf numFmtId="1" fontId="32" fillId="20" borderId="0" xfId="43" quotePrefix="1" applyNumberFormat="1" applyFont="1" applyFill="1" applyAlignment="1">
      <alignment horizontal="left"/>
    </xf>
    <xf numFmtId="1" fontId="19" fillId="20" borderId="23" xfId="43" applyNumberFormat="1" applyFont="1" applyFill="1" applyBorder="1"/>
    <xf numFmtId="1" fontId="19" fillId="20" borderId="5" xfId="43" applyNumberFormat="1" applyFont="1" applyFill="1" applyBorder="1"/>
    <xf numFmtId="1" fontId="19" fillId="20" borderId="24" xfId="43" applyNumberFormat="1" applyFont="1" applyFill="1" applyBorder="1"/>
    <xf numFmtId="1" fontId="19" fillId="20" borderId="25" xfId="43" applyNumberFormat="1" applyFont="1" applyFill="1" applyBorder="1"/>
    <xf numFmtId="1" fontId="19" fillId="20" borderId="26" xfId="43" applyNumberFormat="1" applyFont="1" applyFill="1" applyBorder="1"/>
    <xf numFmtId="1" fontId="18" fillId="23" borderId="0" xfId="43" applyNumberFormat="1" applyFill="1"/>
    <xf numFmtId="4" fontId="18" fillId="23" borderId="6" xfId="43" applyNumberFormat="1" applyFill="1" applyBorder="1" applyAlignment="1">
      <alignment horizontal="right"/>
    </xf>
    <xf numFmtId="1" fontId="29" fillId="23" borderId="0" xfId="43" applyNumberFormat="1" applyFont="1" applyFill="1"/>
    <xf numFmtId="1" fontId="18" fillId="23" borderId="6" xfId="43" applyNumberFormat="1" applyFill="1" applyBorder="1" applyAlignment="1">
      <alignment horizontal="center"/>
    </xf>
    <xf numFmtId="1" fontId="19" fillId="23" borderId="7" xfId="43" applyNumberFormat="1" applyFont="1" applyFill="1" applyBorder="1"/>
    <xf numFmtId="1" fontId="19" fillId="23" borderId="8" xfId="43" applyNumberFormat="1" applyFont="1" applyFill="1" applyBorder="1"/>
    <xf numFmtId="1" fontId="19" fillId="23" borderId="9" xfId="43" applyNumberFormat="1" applyFont="1" applyFill="1" applyBorder="1"/>
    <xf numFmtId="1" fontId="19" fillId="23" borderId="10" xfId="43" applyNumberFormat="1" applyFont="1" applyFill="1" applyBorder="1"/>
    <xf numFmtId="1" fontId="19" fillId="23" borderId="0" xfId="43" applyNumberFormat="1" applyFont="1" applyFill="1"/>
    <xf numFmtId="1" fontId="19" fillId="23" borderId="0" xfId="43" applyNumberFormat="1" applyFont="1" applyFill="1" applyAlignment="1">
      <alignment horizontal="left"/>
    </xf>
    <xf numFmtId="1" fontId="19" fillId="23" borderId="0" xfId="43" quotePrefix="1" applyNumberFormat="1" applyFont="1" applyFill="1" applyAlignment="1">
      <alignment horizontal="left"/>
    </xf>
    <xf numFmtId="1" fontId="19" fillId="23" borderId="11" xfId="43" applyNumberFormat="1" applyFont="1" applyFill="1" applyBorder="1"/>
    <xf numFmtId="1" fontId="30" fillId="23" borderId="0" xfId="43" applyNumberFormat="1" applyFont="1" applyFill="1"/>
    <xf numFmtId="1" fontId="30" fillId="23" borderId="0" xfId="43" applyNumberFormat="1" applyFont="1" applyFill="1" applyAlignment="1">
      <alignment horizontal="center"/>
    </xf>
    <xf numFmtId="1" fontId="30" fillId="23" borderId="0" xfId="43" quotePrefix="1" applyNumberFormat="1" applyFont="1" applyFill="1" applyAlignment="1">
      <alignment horizontal="left"/>
    </xf>
    <xf numFmtId="1" fontId="19" fillId="23" borderId="12" xfId="43" applyNumberFormat="1" applyFont="1" applyFill="1" applyBorder="1"/>
    <xf numFmtId="1" fontId="19" fillId="23" borderId="13" xfId="43" applyNumberFormat="1" applyFont="1" applyFill="1" applyBorder="1"/>
    <xf numFmtId="1" fontId="30" fillId="23" borderId="13" xfId="43" applyNumberFormat="1" applyFont="1" applyFill="1" applyBorder="1" applyAlignment="1">
      <alignment horizontal="center"/>
    </xf>
    <xf numFmtId="1" fontId="19" fillId="23" borderId="14" xfId="43" applyNumberFormat="1" applyFont="1" applyFill="1" applyBorder="1"/>
    <xf numFmtId="1" fontId="30" fillId="23" borderId="1" xfId="43" applyNumberFormat="1" applyFont="1" applyFill="1" applyBorder="1"/>
    <xf numFmtId="1" fontId="30" fillId="23" borderId="15" xfId="43" applyNumberFormat="1" applyFont="1" applyFill="1" applyBorder="1"/>
    <xf numFmtId="1" fontId="30" fillId="23" borderId="16" xfId="43" applyNumberFormat="1" applyFont="1" applyFill="1" applyBorder="1"/>
    <xf numFmtId="1" fontId="19" fillId="23" borderId="17" xfId="43" applyNumberFormat="1" applyFont="1" applyFill="1" applyBorder="1"/>
    <xf numFmtId="1" fontId="30" fillId="23" borderId="2" xfId="43" applyNumberFormat="1" applyFont="1" applyFill="1" applyBorder="1"/>
    <xf numFmtId="1" fontId="30" fillId="23" borderId="3" xfId="43" applyNumberFormat="1" applyFont="1" applyFill="1" applyBorder="1"/>
    <xf numFmtId="1" fontId="19" fillId="23" borderId="18" xfId="43" applyNumberFormat="1" applyFont="1" applyFill="1" applyBorder="1"/>
    <xf numFmtId="1" fontId="19" fillId="23" borderId="19" xfId="43" applyNumberFormat="1" applyFont="1" applyFill="1" applyBorder="1"/>
    <xf numFmtId="1" fontId="30" fillId="23" borderId="19" xfId="43" applyNumberFormat="1" applyFont="1" applyFill="1" applyBorder="1" applyAlignment="1">
      <alignment horizontal="center"/>
    </xf>
    <xf numFmtId="1" fontId="19" fillId="23" borderId="20" xfId="43" applyNumberFormat="1" applyFont="1" applyFill="1" applyBorder="1"/>
    <xf numFmtId="1" fontId="30" fillId="23" borderId="4" xfId="43" applyNumberFormat="1" applyFont="1" applyFill="1" applyBorder="1"/>
    <xf numFmtId="1" fontId="19" fillId="23" borderId="21" xfId="43" applyNumberFormat="1" applyFont="1" applyFill="1" applyBorder="1"/>
    <xf numFmtId="1" fontId="30" fillId="23" borderId="21" xfId="43" applyNumberFormat="1" applyFont="1" applyFill="1" applyBorder="1"/>
    <xf numFmtId="1" fontId="30" fillId="23" borderId="5" xfId="43" applyNumberFormat="1" applyFont="1" applyFill="1" applyBorder="1"/>
    <xf numFmtId="1" fontId="31" fillId="23" borderId="10" xfId="43" applyNumberFormat="1" applyFont="1" applyFill="1" applyBorder="1"/>
    <xf numFmtId="1" fontId="19" fillId="23" borderId="22" xfId="43" applyNumberFormat="1" applyFont="1" applyFill="1" applyBorder="1"/>
    <xf numFmtId="1" fontId="19" fillId="23" borderId="15" xfId="43" applyNumberFormat="1" applyFont="1" applyFill="1" applyBorder="1"/>
    <xf numFmtId="1" fontId="32" fillId="23" borderId="15" xfId="43" quotePrefix="1" applyNumberFormat="1" applyFont="1" applyFill="1" applyBorder="1" applyAlignment="1">
      <alignment horizontal="left"/>
    </xf>
    <xf numFmtId="1" fontId="32" fillId="23" borderId="15" xfId="43" applyNumberFormat="1" applyFont="1" applyFill="1" applyBorder="1"/>
    <xf numFmtId="1" fontId="19" fillId="23" borderId="16" xfId="43" applyNumberFormat="1" applyFont="1" applyFill="1" applyBorder="1"/>
    <xf numFmtId="1" fontId="19" fillId="23" borderId="10" xfId="43" applyNumberFormat="1" applyFont="1" applyFill="1" applyBorder="1" applyAlignment="1">
      <alignment horizontal="center"/>
    </xf>
    <xf numFmtId="1" fontId="32" fillId="23" borderId="6" xfId="43" applyNumberFormat="1" applyFont="1" applyFill="1" applyBorder="1"/>
    <xf numFmtId="1" fontId="32" fillId="23" borderId="0" xfId="43" applyNumberFormat="1" applyFont="1" applyFill="1"/>
    <xf numFmtId="1" fontId="19" fillId="23" borderId="3" xfId="43" applyNumberFormat="1" applyFont="1" applyFill="1" applyBorder="1"/>
    <xf numFmtId="1" fontId="19" fillId="23" borderId="0" xfId="43" applyNumberFormat="1" applyFont="1" applyFill="1" applyAlignment="1">
      <alignment horizontal="center"/>
    </xf>
    <xf numFmtId="1" fontId="19" fillId="23" borderId="10" xfId="43" quotePrefix="1" applyNumberFormat="1" applyFont="1" applyFill="1" applyBorder="1" applyAlignment="1">
      <alignment horizontal="left"/>
    </xf>
    <xf numFmtId="1" fontId="32" fillId="23" borderId="0" xfId="43" quotePrefix="1" applyNumberFormat="1" applyFont="1" applyFill="1" applyAlignment="1">
      <alignment horizontal="left"/>
    </xf>
    <xf numFmtId="1" fontId="19" fillId="23" borderId="23" xfId="43" applyNumberFormat="1" applyFont="1" applyFill="1" applyBorder="1"/>
    <xf numFmtId="1" fontId="19" fillId="23" borderId="5" xfId="43" applyNumberFormat="1" applyFont="1" applyFill="1" applyBorder="1"/>
    <xf numFmtId="1" fontId="19" fillId="23" borderId="24" xfId="43" applyNumberFormat="1" applyFont="1" applyFill="1" applyBorder="1"/>
    <xf numFmtId="1" fontId="19" fillId="23" borderId="25" xfId="43" applyNumberFormat="1" applyFont="1" applyFill="1" applyBorder="1"/>
    <xf numFmtId="1" fontId="19" fillId="23" borderId="26" xfId="43" applyNumberFormat="1" applyFont="1" applyFill="1" applyBorder="1"/>
    <xf numFmtId="0" fontId="14" fillId="0" borderId="6" xfId="93" applyBorder="1"/>
    <xf numFmtId="0" fontId="14" fillId="0" borderId="0" xfId="93"/>
    <xf numFmtId="0" fontId="14" fillId="0" borderId="6" xfId="93" applyBorder="1" applyAlignment="1">
      <alignment horizontal="center"/>
    </xf>
    <xf numFmtId="0" fontId="14" fillId="24" borderId="6" xfId="93" applyFill="1" applyBorder="1" applyAlignment="1">
      <alignment horizontal="left"/>
    </xf>
    <xf numFmtId="0" fontId="14" fillId="25" borderId="6" xfId="93" applyFill="1" applyBorder="1" applyAlignment="1">
      <alignment horizontal="left"/>
    </xf>
    <xf numFmtId="0" fontId="14" fillId="26" borderId="6" xfId="93" applyFill="1" applyBorder="1" applyAlignment="1">
      <alignment horizontal="left"/>
    </xf>
    <xf numFmtId="0" fontId="14" fillId="0" borderId="6" xfId="93" applyBorder="1" applyAlignment="1">
      <alignment horizontal="left"/>
    </xf>
    <xf numFmtId="9" fontId="14" fillId="0" borderId="0" xfId="93" applyNumberFormat="1"/>
    <xf numFmtId="0" fontId="14" fillId="27" borderId="6" xfId="93" applyFill="1" applyBorder="1" applyAlignment="1">
      <alignment horizontal="left"/>
    </xf>
    <xf numFmtId="44" fontId="14" fillId="0" borderId="0" xfId="93" applyNumberFormat="1"/>
    <xf numFmtId="0" fontId="14" fillId="24" borderId="6" xfId="93" applyFill="1" applyBorder="1" applyAlignment="1">
      <alignment horizontal="center"/>
    </xf>
    <xf numFmtId="0" fontId="14" fillId="25" borderId="6" xfId="93" applyFill="1" applyBorder="1" applyAlignment="1">
      <alignment horizontal="center"/>
    </xf>
    <xf numFmtId="0" fontId="14" fillId="26" borderId="6" xfId="93" applyFill="1" applyBorder="1" applyAlignment="1">
      <alignment horizontal="center"/>
    </xf>
    <xf numFmtId="0" fontId="14" fillId="24" borderId="6" xfId="93" applyFill="1" applyBorder="1"/>
    <xf numFmtId="0" fontId="14" fillId="24" borderId="6" xfId="93" applyFill="1" applyBorder="1" applyAlignment="1">
      <alignment wrapText="1"/>
    </xf>
    <xf numFmtId="44" fontId="0" fillId="24" borderId="6" xfId="94" applyFont="1" applyFill="1" applyBorder="1"/>
    <xf numFmtId="0" fontId="14" fillId="25" borderId="6" xfId="93" applyFill="1" applyBorder="1"/>
    <xf numFmtId="44" fontId="0" fillId="25" borderId="6" xfId="94" applyFont="1" applyFill="1" applyBorder="1"/>
    <xf numFmtId="0" fontId="14" fillId="26" borderId="6" xfId="93" applyFill="1" applyBorder="1"/>
    <xf numFmtId="44" fontId="0" fillId="0" borderId="6" xfId="94" applyFont="1" applyBorder="1"/>
    <xf numFmtId="0" fontId="18" fillId="0" borderId="0" xfId="36"/>
    <xf numFmtId="0" fontId="13" fillId="0" borderId="0" xfId="95"/>
    <xf numFmtId="0" fontId="41" fillId="0" borderId="0" xfId="96" applyFont="1" applyAlignment="1">
      <alignment horizontal="left" vertical="top"/>
    </xf>
    <xf numFmtId="0" fontId="42" fillId="0" borderId="0" xfId="96" applyFont="1" applyAlignment="1">
      <alignment vertical="top"/>
    </xf>
    <xf numFmtId="0" fontId="43" fillId="0" borderId="0" xfId="96" applyFont="1" applyAlignment="1">
      <alignment horizontal="left" vertical="top"/>
    </xf>
    <xf numFmtId="0" fontId="42" fillId="0" borderId="0" xfId="96" applyFont="1" applyAlignment="1">
      <alignment horizontal="left" vertical="top"/>
    </xf>
    <xf numFmtId="14" fontId="43" fillId="0" borderId="0" xfId="96" applyNumberFormat="1" applyFont="1" applyAlignment="1">
      <alignment horizontal="left" vertical="top"/>
    </xf>
    <xf numFmtId="0" fontId="42" fillId="0" borderId="6" xfId="36" applyFont="1" applyBorder="1" applyAlignment="1">
      <alignment horizontal="center"/>
    </xf>
    <xf numFmtId="0" fontId="42" fillId="0" borderId="27" xfId="96" applyFont="1" applyBorder="1" applyAlignment="1">
      <alignment horizontal="center" vertical="center"/>
    </xf>
    <xf numFmtId="0" fontId="42" fillId="0" borderId="6" xfId="96" applyFont="1" applyBorder="1" applyAlignment="1">
      <alignment horizontal="center" vertical="center"/>
    </xf>
    <xf numFmtId="0" fontId="26" fillId="0" borderId="0" xfId="96" applyFont="1" applyAlignment="1">
      <alignment horizontal="center" vertical="center"/>
    </xf>
    <xf numFmtId="0" fontId="42" fillId="0" borderId="0" xfId="96" applyFont="1" applyAlignment="1">
      <alignment horizontal="center" vertical="center"/>
    </xf>
    <xf numFmtId="0" fontId="43" fillId="0" borderId="0" xfId="36" applyFont="1" applyAlignment="1">
      <alignment horizontal="center" vertical="top"/>
    </xf>
    <xf numFmtId="0" fontId="43" fillId="0" borderId="0" xfId="96" applyFont="1" applyAlignment="1">
      <alignment horizontal="justify" vertical="top"/>
    </xf>
    <xf numFmtId="0" fontId="43" fillId="0" borderId="0" xfId="96" applyFont="1" applyAlignment="1">
      <alignment horizontal="center" vertical="top"/>
    </xf>
    <xf numFmtId="49" fontId="43" fillId="0" borderId="0" xfId="36" applyNumberFormat="1" applyFont="1" applyAlignment="1">
      <alignment horizontal="center" vertical="top"/>
    </xf>
    <xf numFmtId="170" fontId="43" fillId="0" borderId="0" xfId="36" applyNumberFormat="1" applyFont="1" applyAlignment="1">
      <alignment horizontal="center" vertical="top"/>
    </xf>
    <xf numFmtId="171" fontId="43" fillId="0" borderId="0" xfId="96" applyNumberFormat="1" applyFont="1" applyAlignment="1">
      <alignment horizontal="center" vertical="top"/>
    </xf>
    <xf numFmtId="0" fontId="43" fillId="0" borderId="0" xfId="36" applyFont="1" applyAlignment="1">
      <alignment horizontal="center"/>
    </xf>
    <xf numFmtId="0" fontId="43" fillId="0" borderId="0" xfId="36" applyFont="1"/>
    <xf numFmtId="0" fontId="42" fillId="0" borderId="0" xfId="96" applyFont="1" applyAlignment="1">
      <alignment horizontal="right" vertical="top"/>
    </xf>
    <xf numFmtId="171" fontId="42" fillId="0" borderId="0" xfId="96" applyNumberFormat="1" applyFont="1" applyAlignment="1">
      <alignment horizontal="center" vertical="top"/>
    </xf>
    <xf numFmtId="171" fontId="42" fillId="0" borderId="0" xfId="36" applyNumberFormat="1" applyFont="1" applyAlignment="1">
      <alignment horizontal="center"/>
    </xf>
    <xf numFmtId="0" fontId="42" fillId="0" borderId="0" xfId="96" applyFont="1" applyAlignment="1">
      <alignment horizontal="center" vertical="top"/>
    </xf>
    <xf numFmtId="2" fontId="40" fillId="0" borderId="0" xfId="93" applyNumberFormat="1" applyFont="1"/>
    <xf numFmtId="1" fontId="14" fillId="0" borderId="0" xfId="93" applyNumberFormat="1"/>
    <xf numFmtId="2" fontId="14" fillId="24" borderId="6" xfId="93" applyNumberFormat="1" applyFill="1" applyBorder="1"/>
    <xf numFmtId="2" fontId="43" fillId="0" borderId="0" xfId="36" applyNumberFormat="1" applyFont="1" applyAlignment="1">
      <alignment horizontal="center" vertical="top"/>
    </xf>
    <xf numFmtId="0" fontId="43" fillId="0" borderId="0" xfId="96" applyFont="1" applyAlignment="1">
      <alignment horizontal="right" vertical="top"/>
    </xf>
    <xf numFmtId="172" fontId="43" fillId="0" borderId="0" xfId="96" applyNumberFormat="1" applyFont="1" applyAlignment="1">
      <alignment horizontal="center" vertical="top"/>
    </xf>
    <xf numFmtId="0" fontId="45" fillId="0" borderId="0" xfId="0" applyFont="1" applyAlignment="1">
      <alignment vertical="center"/>
    </xf>
    <xf numFmtId="1" fontId="43" fillId="0" borderId="0" xfId="36" applyNumberFormat="1" applyFont="1"/>
    <xf numFmtId="0" fontId="14" fillId="24" borderId="0" xfId="93" applyFill="1" applyAlignment="1">
      <alignment horizontal="center"/>
    </xf>
    <xf numFmtId="44" fontId="0" fillId="24" borderId="0" xfId="94" applyFont="1" applyFill="1" applyBorder="1"/>
    <xf numFmtId="44" fontId="0" fillId="0" borderId="0" xfId="94" applyFont="1" applyBorder="1"/>
    <xf numFmtId="0" fontId="12" fillId="24" borderId="6" xfId="93" applyFont="1" applyFill="1" applyBorder="1" applyAlignment="1">
      <alignment horizontal="center"/>
    </xf>
    <xf numFmtId="0" fontId="12" fillId="24" borderId="0" xfId="93" applyFont="1" applyFill="1" applyAlignment="1">
      <alignment horizontal="center"/>
    </xf>
    <xf numFmtId="0" fontId="18" fillId="0" borderId="0" xfId="0" applyFont="1"/>
    <xf numFmtId="0" fontId="46" fillId="0" borderId="0" xfId="0" applyFont="1"/>
    <xf numFmtId="0" fontId="18" fillId="0" borderId="0" xfId="0" applyFont="1" applyAlignment="1">
      <alignment horizontal="left" vertical="top"/>
    </xf>
    <xf numFmtId="0" fontId="27" fillId="0" borderId="6" xfId="28" applyBorder="1" applyAlignment="1" applyProtection="1"/>
    <xf numFmtId="0" fontId="47" fillId="0" borderId="0" xfId="0" applyFont="1" applyAlignment="1">
      <alignment vertical="center"/>
    </xf>
    <xf numFmtId="164" fontId="43" fillId="0" borderId="0" xfId="46" applyFont="1" applyAlignment="1">
      <alignment horizontal="left" vertical="top"/>
    </xf>
    <xf numFmtId="0" fontId="49" fillId="0" borderId="0" xfId="0" applyFont="1" applyAlignment="1">
      <alignment vertical="center"/>
    </xf>
    <xf numFmtId="0" fontId="50" fillId="0" borderId="0" xfId="0" applyFont="1"/>
    <xf numFmtId="0" fontId="27" fillId="0" borderId="0" xfId="28" applyAlignment="1" applyProtection="1"/>
    <xf numFmtId="0" fontId="11" fillId="0" borderId="0" xfId="93" applyFont="1"/>
    <xf numFmtId="164" fontId="14" fillId="0" borderId="0" xfId="46" applyFont="1"/>
    <xf numFmtId="0" fontId="48" fillId="0" borderId="0" xfId="0" applyFont="1" applyAlignment="1">
      <alignment vertical="center"/>
    </xf>
    <xf numFmtId="0" fontId="10" fillId="24" borderId="6" xfId="93" applyFont="1" applyFill="1" applyBorder="1" applyAlignment="1">
      <alignment wrapText="1"/>
    </xf>
    <xf numFmtId="0" fontId="9" fillId="24" borderId="6" xfId="93" applyFont="1" applyFill="1" applyBorder="1" applyAlignment="1">
      <alignment wrapText="1"/>
    </xf>
    <xf numFmtId="164" fontId="14" fillId="24" borderId="6" xfId="46" applyFont="1" applyFill="1" applyBorder="1" applyAlignment="1">
      <alignment horizontal="right"/>
    </xf>
    <xf numFmtId="164" fontId="14" fillId="25" borderId="6" xfId="46" applyFont="1" applyFill="1" applyBorder="1" applyAlignment="1">
      <alignment horizontal="right"/>
    </xf>
    <xf numFmtId="164" fontId="14" fillId="26" borderId="6" xfId="46" applyFont="1" applyFill="1" applyBorder="1" applyAlignment="1">
      <alignment horizontal="right"/>
    </xf>
    <xf numFmtId="164" fontId="14" fillId="27" borderId="6" xfId="46" applyFont="1" applyFill="1" applyBorder="1" applyAlignment="1">
      <alignment horizontal="right"/>
    </xf>
    <xf numFmtId="164" fontId="14" fillId="0" borderId="6" xfId="46" applyFont="1" applyBorder="1" applyAlignment="1">
      <alignment horizontal="right"/>
    </xf>
    <xf numFmtId="164" fontId="0" fillId="27" borderId="6" xfId="46" applyFont="1" applyFill="1" applyBorder="1" applyAlignment="1">
      <alignment horizontal="right"/>
    </xf>
    <xf numFmtId="0" fontId="8" fillId="0" borderId="6" xfId="93" applyFont="1" applyBorder="1"/>
    <xf numFmtId="0" fontId="18" fillId="0" borderId="0" xfId="36" applyAlignment="1">
      <alignment horizontal="center" vertical="center"/>
    </xf>
    <xf numFmtId="173" fontId="43" fillId="0" borderId="0" xfId="36" applyNumberFormat="1" applyFont="1" applyAlignment="1">
      <alignment horizontal="right" vertical="center"/>
    </xf>
    <xf numFmtId="0" fontId="51" fillId="0" borderId="0" xfId="0" applyFont="1"/>
    <xf numFmtId="0" fontId="52" fillId="0" borderId="0" xfId="0" applyFont="1"/>
    <xf numFmtId="0" fontId="53" fillId="0" borderId="0" xfId="0" applyFont="1"/>
    <xf numFmtId="0" fontId="7" fillId="24" borderId="6" xfId="93" applyFont="1" applyFill="1" applyBorder="1"/>
    <xf numFmtId="0" fontId="18" fillId="0" borderId="0" xfId="96" applyAlignment="1">
      <alignment horizontal="center" vertical="center"/>
    </xf>
    <xf numFmtId="0" fontId="6" fillId="24" borderId="6" xfId="93" applyFont="1" applyFill="1" applyBorder="1" applyAlignment="1">
      <alignment horizontal="center"/>
    </xf>
    <xf numFmtId="0" fontId="5" fillId="24" borderId="6" xfId="93" applyFont="1" applyFill="1" applyBorder="1" applyAlignment="1">
      <alignment wrapText="1"/>
    </xf>
    <xf numFmtId="44" fontId="0" fillId="24" borderId="6" xfId="94" applyFont="1" applyFill="1" applyBorder="1" applyAlignment="1">
      <alignment horizontal="center" vertical="center"/>
    </xf>
    <xf numFmtId="44" fontId="18" fillId="24" borderId="6" xfId="94" applyFont="1" applyFill="1" applyBorder="1" applyAlignment="1">
      <alignment horizontal="center" vertical="center"/>
    </xf>
    <xf numFmtId="44" fontId="0" fillId="24" borderId="0" xfId="94" applyFont="1" applyFill="1" applyBorder="1" applyAlignment="1">
      <alignment horizontal="center" vertical="center"/>
    </xf>
    <xf numFmtId="0" fontId="5" fillId="24" borderId="6" xfId="93" applyFont="1" applyFill="1" applyBorder="1" applyAlignment="1">
      <alignment horizontal="left" wrapText="1"/>
    </xf>
    <xf numFmtId="0" fontId="4" fillId="24" borderId="6" xfId="93" applyFont="1" applyFill="1" applyBorder="1" applyAlignment="1">
      <alignment wrapText="1"/>
    </xf>
    <xf numFmtId="0" fontId="42" fillId="0" borderId="0" xfId="36" applyFont="1" applyAlignment="1">
      <alignment horizontal="center" vertical="top"/>
    </xf>
    <xf numFmtId="2" fontId="42" fillId="0" borderId="0" xfId="36" applyNumberFormat="1" applyFont="1" applyAlignment="1">
      <alignment horizontal="center" vertical="top"/>
    </xf>
    <xf numFmtId="0" fontId="3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0" borderId="0" xfId="96" applyFont="1" applyAlignment="1">
      <alignment horizontal="center" vertical="top" wrapText="1"/>
    </xf>
    <xf numFmtId="170" fontId="55" fillId="0" borderId="0" xfId="36" applyNumberFormat="1" applyFont="1" applyAlignment="1">
      <alignment horizontal="center" vertical="top"/>
    </xf>
    <xf numFmtId="0" fontId="56" fillId="0" borderId="0" xfId="0" applyFont="1"/>
    <xf numFmtId="0" fontId="2" fillId="0" borderId="0" xfId="93" applyFont="1" applyAlignment="1">
      <alignment wrapText="1"/>
    </xf>
    <xf numFmtId="0" fontId="54" fillId="0" borderId="0" xfId="0" applyFont="1" applyAlignment="1">
      <alignment horizontal="center" vertical="center" wrapText="1"/>
    </xf>
    <xf numFmtId="0" fontId="1" fillId="0" borderId="6" xfId="93" applyFont="1" applyBorder="1"/>
    <xf numFmtId="2" fontId="14" fillId="24" borderId="6" xfId="93" applyNumberFormat="1" applyFill="1" applyBorder="1" applyAlignment="1">
      <alignment horizontal="center" vertical="center"/>
    </xf>
    <xf numFmtId="8" fontId="18" fillId="24" borderId="6" xfId="94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5" fillId="24" borderId="6" xfId="93" applyFont="1" applyFill="1" applyBorder="1" applyAlignment="1">
      <alignment horizontal="center" wrapText="1"/>
    </xf>
    <xf numFmtId="0" fontId="14" fillId="24" borderId="6" xfId="93" applyFill="1" applyBorder="1" applyAlignment="1">
      <alignment horizontal="center"/>
    </xf>
    <xf numFmtId="0" fontId="14" fillId="25" borderId="6" xfId="93" applyFill="1" applyBorder="1" applyAlignment="1">
      <alignment horizontal="center"/>
    </xf>
    <xf numFmtId="0" fontId="14" fillId="26" borderId="6" xfId="93" applyFill="1" applyBorder="1" applyAlignment="1">
      <alignment horizontal="center"/>
    </xf>
    <xf numFmtId="172" fontId="43" fillId="0" borderId="0" xfId="96" applyNumberFormat="1" applyFont="1" applyAlignment="1">
      <alignment horizontal="center" vertical="top"/>
    </xf>
    <xf numFmtId="0" fontId="44" fillId="28" borderId="0" xfId="96" applyFont="1" applyFill="1" applyAlignment="1">
      <alignment horizontal="center" vertical="top"/>
    </xf>
    <xf numFmtId="172" fontId="43" fillId="0" borderId="0" xfId="96" applyNumberFormat="1" applyFont="1" applyAlignment="1">
      <alignment horizontal="right" vertical="top"/>
    </xf>
    <xf numFmtId="172" fontId="13" fillId="0" borderId="0" xfId="95" applyNumberFormat="1" applyAlignment="1">
      <alignment horizontal="center"/>
    </xf>
  </cellXfs>
  <cellStyles count="97">
    <cellStyle name="Encabezado 1" xfId="1" xr:uid="{00000000-0005-0000-0000-000000000000}"/>
    <cellStyle name="Encabezado 2" xfId="2" xr:uid="{00000000-0005-0000-0000-000001000000}"/>
    <cellStyle name="Énfasis 1" xfId="3" xr:uid="{00000000-0005-0000-0000-000002000000}"/>
    <cellStyle name="Énfasis 2" xfId="4" xr:uid="{00000000-0005-0000-0000-000003000000}"/>
    <cellStyle name="Énfasis 3" xfId="5" xr:uid="{00000000-0005-0000-0000-000004000000}"/>
    <cellStyle name="Énfasis1 - 20%" xfId="6" xr:uid="{00000000-0005-0000-0000-000005000000}"/>
    <cellStyle name="Énfasis1 - 40%" xfId="7" xr:uid="{00000000-0005-0000-0000-000006000000}"/>
    <cellStyle name="Énfasis1 - 60%" xfId="8" xr:uid="{00000000-0005-0000-0000-000007000000}"/>
    <cellStyle name="Énfasis2 - 20%" xfId="9" xr:uid="{00000000-0005-0000-0000-000008000000}"/>
    <cellStyle name="Énfasis2 - 40%" xfId="10" xr:uid="{00000000-0005-0000-0000-000009000000}"/>
    <cellStyle name="Énfasis2 - 60%" xfId="11" xr:uid="{00000000-0005-0000-0000-00000A000000}"/>
    <cellStyle name="Énfasis3 - 20%" xfId="12" xr:uid="{00000000-0005-0000-0000-00000B000000}"/>
    <cellStyle name="Énfasis3 - 40%" xfId="13" xr:uid="{00000000-0005-0000-0000-00000C000000}"/>
    <cellStyle name="Énfasis3 - 60%" xfId="14" xr:uid="{00000000-0005-0000-0000-00000D000000}"/>
    <cellStyle name="Énfasis4 - 20%" xfId="15" xr:uid="{00000000-0005-0000-0000-00000E000000}"/>
    <cellStyle name="Énfasis4 - 40%" xfId="16" xr:uid="{00000000-0005-0000-0000-00000F000000}"/>
    <cellStyle name="Énfasis4 - 60%" xfId="17" xr:uid="{00000000-0005-0000-0000-000010000000}"/>
    <cellStyle name="Énfasis5 - 20%" xfId="18" xr:uid="{00000000-0005-0000-0000-000011000000}"/>
    <cellStyle name="Énfasis5 - 40%" xfId="19" xr:uid="{00000000-0005-0000-0000-000012000000}"/>
    <cellStyle name="Énfasis5 - 60%" xfId="20" xr:uid="{00000000-0005-0000-0000-000013000000}"/>
    <cellStyle name="Énfasis6 - 20%" xfId="21" xr:uid="{00000000-0005-0000-0000-000014000000}"/>
    <cellStyle name="Énfasis6 - 40%" xfId="22" xr:uid="{00000000-0005-0000-0000-000015000000}"/>
    <cellStyle name="Énfasis6 - 60%" xfId="23" xr:uid="{00000000-0005-0000-0000-000016000000}"/>
    <cellStyle name="Euro" xfId="24" xr:uid="{00000000-0005-0000-0000-000017000000}"/>
    <cellStyle name="Euro 2" xfId="25" xr:uid="{00000000-0005-0000-0000-000018000000}"/>
    <cellStyle name="Euro 2 2" xfId="75" xr:uid="{00000000-0005-0000-0000-000019000000}"/>
    <cellStyle name="Euro 2 3" xfId="57" xr:uid="{00000000-0005-0000-0000-00001A000000}"/>
    <cellStyle name="Euro 3" xfId="50" xr:uid="{00000000-0005-0000-0000-00001B000000}"/>
    <cellStyle name="Euro 3 2" xfId="87" xr:uid="{00000000-0005-0000-0000-00001C000000}"/>
    <cellStyle name="Euro 3 3" xfId="69" xr:uid="{00000000-0005-0000-0000-00001D000000}"/>
    <cellStyle name="Fecha" xfId="26" xr:uid="{00000000-0005-0000-0000-00001E000000}"/>
    <cellStyle name="Fijo" xfId="27" xr:uid="{00000000-0005-0000-0000-00001F000000}"/>
    <cellStyle name="Hipervínculo" xfId="28" builtinId="8"/>
    <cellStyle name="Hipervínculo 2" xfId="29" xr:uid="{00000000-0005-0000-0000-000021000000}"/>
    <cellStyle name="Hipervínculo 3" xfId="56" xr:uid="{00000000-0005-0000-0000-000022000000}"/>
    <cellStyle name="Millares 2" xfId="30" xr:uid="{00000000-0005-0000-0000-000024000000}"/>
    <cellStyle name="Millares 2 2" xfId="31" xr:uid="{00000000-0005-0000-0000-000025000000}"/>
    <cellStyle name="Millares 2 2 2" xfId="77" xr:uid="{00000000-0005-0000-0000-000026000000}"/>
    <cellStyle name="Millares 2 2 3" xfId="59" xr:uid="{00000000-0005-0000-0000-000027000000}"/>
    <cellStyle name="Millares 2 3" xfId="55" xr:uid="{00000000-0005-0000-0000-000028000000}"/>
    <cellStyle name="Millares 2 3 2" xfId="92" xr:uid="{00000000-0005-0000-0000-000029000000}"/>
    <cellStyle name="Millares 2 3 3" xfId="74" xr:uid="{00000000-0005-0000-0000-00002A000000}"/>
    <cellStyle name="Millares 2 4" xfId="76" xr:uid="{00000000-0005-0000-0000-00002B000000}"/>
    <cellStyle name="Millares 2 5" xfId="58" xr:uid="{00000000-0005-0000-0000-00002C000000}"/>
    <cellStyle name="Millares 2 6" xfId="96" xr:uid="{26F796B5-B48A-47DC-8A47-5561D48A773F}"/>
    <cellStyle name="Millares 3" xfId="32" xr:uid="{00000000-0005-0000-0000-00002D000000}"/>
    <cellStyle name="Millares 3 2" xfId="78" xr:uid="{00000000-0005-0000-0000-00002E000000}"/>
    <cellStyle name="Millares 3 3" xfId="60" xr:uid="{00000000-0005-0000-0000-00002F000000}"/>
    <cellStyle name="Millares 4" xfId="33" xr:uid="{00000000-0005-0000-0000-000030000000}"/>
    <cellStyle name="Millares 4 2" xfId="79" xr:uid="{00000000-0005-0000-0000-000031000000}"/>
    <cellStyle name="Millares 4 3" xfId="61" xr:uid="{00000000-0005-0000-0000-000032000000}"/>
    <cellStyle name="Millares 5" xfId="53" xr:uid="{00000000-0005-0000-0000-000033000000}"/>
    <cellStyle name="Millares 5 2" xfId="90" xr:uid="{00000000-0005-0000-0000-000034000000}"/>
    <cellStyle name="Millares 5 3" xfId="72" xr:uid="{00000000-0005-0000-0000-000035000000}"/>
    <cellStyle name="Millares 6" xfId="86" xr:uid="{00000000-0005-0000-0000-000036000000}"/>
    <cellStyle name="Millares 7" xfId="68" xr:uid="{00000000-0005-0000-0000-000037000000}"/>
    <cellStyle name="Moneda" xfId="46" builtinId="4"/>
    <cellStyle name="Moneda 2" xfId="47" xr:uid="{00000000-0005-0000-0000-000039000000}"/>
    <cellStyle name="Moneda 2 2" xfId="83" xr:uid="{00000000-0005-0000-0000-00003A000000}"/>
    <cellStyle name="Moneda 2 3" xfId="65" xr:uid="{00000000-0005-0000-0000-00003B000000}"/>
    <cellStyle name="Moneda 3" xfId="49" xr:uid="{00000000-0005-0000-0000-00003C000000}"/>
    <cellStyle name="Moneda 3 2" xfId="85" xr:uid="{00000000-0005-0000-0000-00003D000000}"/>
    <cellStyle name="Moneda 3 3" xfId="67" xr:uid="{00000000-0005-0000-0000-00003E000000}"/>
    <cellStyle name="Moneda 4" xfId="52" xr:uid="{00000000-0005-0000-0000-00003F000000}"/>
    <cellStyle name="Moneda 4 2" xfId="89" xr:uid="{00000000-0005-0000-0000-000040000000}"/>
    <cellStyle name="Moneda 4 3" xfId="71" xr:uid="{00000000-0005-0000-0000-000041000000}"/>
    <cellStyle name="Moneda 5" xfId="54" xr:uid="{00000000-0005-0000-0000-000042000000}"/>
    <cellStyle name="Moneda 5 2" xfId="91" xr:uid="{00000000-0005-0000-0000-000043000000}"/>
    <cellStyle name="Moneda 5 3" xfId="73" xr:uid="{00000000-0005-0000-0000-000044000000}"/>
    <cellStyle name="Moneda 6" xfId="94" xr:uid="{9B59AC78-0D7E-4B6B-99A7-6B3B0182C3E8}"/>
    <cellStyle name="Moneda0" xfId="34" xr:uid="{00000000-0005-0000-0000-000046000000}"/>
    <cellStyle name="Moneda0 2" xfId="35" xr:uid="{00000000-0005-0000-0000-000047000000}"/>
    <cellStyle name="Moneda0 2 2" xfId="80" xr:uid="{00000000-0005-0000-0000-000048000000}"/>
    <cellStyle name="Moneda0 2 3" xfId="62" xr:uid="{00000000-0005-0000-0000-000049000000}"/>
    <cellStyle name="Normal" xfId="0" builtinId="0"/>
    <cellStyle name="Normal 2" xfId="36" xr:uid="{00000000-0005-0000-0000-00004B000000}"/>
    <cellStyle name="Normal 2 2" xfId="37" xr:uid="{00000000-0005-0000-0000-00004C000000}"/>
    <cellStyle name="Normal 2 3" xfId="38" xr:uid="{00000000-0005-0000-0000-00004D000000}"/>
    <cellStyle name="Normal 2 3 2" xfId="81" xr:uid="{00000000-0005-0000-0000-00004E000000}"/>
    <cellStyle name="Normal 2 3 3" xfId="63" xr:uid="{00000000-0005-0000-0000-00004F000000}"/>
    <cellStyle name="Normal 2_COTIZADOR" xfId="39" xr:uid="{00000000-0005-0000-0000-000050000000}"/>
    <cellStyle name="Normal 3" xfId="40" xr:uid="{00000000-0005-0000-0000-000051000000}"/>
    <cellStyle name="Normal 4" xfId="41" xr:uid="{00000000-0005-0000-0000-000052000000}"/>
    <cellStyle name="Normal 4 2" xfId="82" xr:uid="{00000000-0005-0000-0000-000053000000}"/>
    <cellStyle name="Normal 4 3" xfId="64" xr:uid="{00000000-0005-0000-0000-000054000000}"/>
    <cellStyle name="Normal 5" xfId="48" xr:uid="{00000000-0005-0000-0000-000055000000}"/>
    <cellStyle name="Normal 5 2" xfId="84" xr:uid="{00000000-0005-0000-0000-000056000000}"/>
    <cellStyle name="Normal 5 3" xfId="66" xr:uid="{00000000-0005-0000-0000-000057000000}"/>
    <cellStyle name="Normal 6" xfId="51" xr:uid="{00000000-0005-0000-0000-000058000000}"/>
    <cellStyle name="Normal 6 2" xfId="88" xr:uid="{00000000-0005-0000-0000-000059000000}"/>
    <cellStyle name="Normal 6 3" xfId="70" xr:uid="{00000000-0005-0000-0000-00005A000000}"/>
    <cellStyle name="Normal 7" xfId="93" xr:uid="{5DB34AEE-DD0F-4732-B666-D1F4CB785AC5}"/>
    <cellStyle name="Normal 8" xfId="95" xr:uid="{D2270568-86C1-459B-B30D-57242BE72620}"/>
    <cellStyle name="Normal_FORMATO COTIZACION" xfId="42" xr:uid="{00000000-0005-0000-0000-00005B000000}"/>
    <cellStyle name="Normal_Hoja1_PRECIOS" xfId="43" xr:uid="{00000000-0005-0000-0000-00005C000000}"/>
    <cellStyle name="Punto0" xfId="44" xr:uid="{00000000-0005-0000-0000-00005D000000}"/>
    <cellStyle name="Título de hoja" xfId="45" xr:uid="{00000000-0005-0000-0000-00005E000000}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149088</xdr:colOff>
      <xdr:row>32</xdr:row>
      <xdr:rowOff>148673</xdr:rowOff>
    </xdr:from>
    <xdr:to>
      <xdr:col>5</xdr:col>
      <xdr:colOff>737883</xdr:colOff>
      <xdr:row>50</xdr:row>
      <xdr:rowOff>120324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3336" b="7092"/>
        <a:stretch>
          <a:fillRect/>
        </a:stretch>
      </xdr:blipFill>
      <xdr:spPr bwMode="auto">
        <a:xfrm>
          <a:off x="149088" y="6650521"/>
          <a:ext cx="6220969" cy="2953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172343</xdr:colOff>
      <xdr:row>0</xdr:row>
      <xdr:rowOff>98180</xdr:rowOff>
    </xdr:from>
    <xdr:to>
      <xdr:col>6</xdr:col>
      <xdr:colOff>257284</xdr:colOff>
      <xdr:row>4</xdr:row>
      <xdr:rowOff>13627</xdr:rowOff>
    </xdr:to>
    <xdr:pic>
      <xdr:nvPicPr>
        <xdr:cNvPr id="2" name="Imagen 1" descr="membret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10" b="90169"/>
        <a:stretch/>
      </xdr:blipFill>
      <xdr:spPr bwMode="auto">
        <a:xfrm>
          <a:off x="3559930" y="98180"/>
          <a:ext cx="2843050" cy="818251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1</xdr:col>
      <xdr:colOff>2352260</xdr:colOff>
      <xdr:row>43</xdr:row>
      <xdr:rowOff>157369</xdr:rowOff>
    </xdr:from>
    <xdr:ext cx="2156296" cy="609013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DD1B4A6-9760-4F42-BC4A-087CEAF068EE}"/>
            </a:ext>
          </a:extLst>
        </xdr:cNvPr>
        <xdr:cNvSpPr txBox="1"/>
      </xdr:nvSpPr>
      <xdr:spPr>
        <a:xfrm>
          <a:off x="2749825" y="8390282"/>
          <a:ext cx="2156296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100" b="1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ATENTAMENTE</a:t>
          </a:r>
        </a:p>
        <a:p>
          <a:r>
            <a:rPr lang="es-MX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Ing. Gustavo Mosqueda González</a:t>
          </a:r>
          <a:r>
            <a:rPr lang="es-MX"/>
            <a:t> </a:t>
          </a:r>
          <a:endParaRPr lang="es-MX" sz="1100"/>
        </a:p>
        <a:p>
          <a:endParaRPr lang="es-MX" sz="1100"/>
        </a:p>
      </xdr:txBody>
    </xdr:sp>
    <xdr:clientData/>
  </xdr:oneCellAnchor>
  <xdr:oneCellAnchor>
    <xdr:from>
      <xdr:col>0</xdr:col>
      <xdr:colOff>82826</xdr:colOff>
      <xdr:row>32</xdr:row>
      <xdr:rowOff>0</xdr:rowOff>
    </xdr:from>
    <xdr:ext cx="6182013" cy="1751954"/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1A97EA4C-752C-4488-BC65-3CB5D483D797}"/>
            </a:ext>
          </a:extLst>
        </xdr:cNvPr>
        <xdr:cNvSpPr txBox="1"/>
      </xdr:nvSpPr>
      <xdr:spPr>
        <a:xfrm>
          <a:off x="82826" y="6410739"/>
          <a:ext cx="6182013" cy="17519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Precios sujetos a cambio sin previo aviso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60%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anticipo y 4</a:t>
          </a: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0 % contra entrega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Cualquier concepto no considerado en esta cotización será cobrado de manera independiente.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Tiempo de entrega: 10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días. (sujeto a disponibilidad)</a:t>
          </a: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Debido a la volatilidad de los precios, la vigencia de la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cotizacion, sera de 10 dias habiles.</a:t>
          </a:r>
          <a:endParaRPr lang="es-E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Agradezco de antemano la atención prestada al presente y me reitero a sus órdenes para cualquier duda</a:t>
          </a:r>
        </a:p>
        <a:p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 comentario</a:t>
          </a:r>
          <a:endParaRPr lang="es-MX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s-MX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248010</xdr:colOff>
      <xdr:row>33</xdr:row>
      <xdr:rowOff>144852</xdr:rowOff>
    </xdr:from>
    <xdr:to>
      <xdr:col>4</xdr:col>
      <xdr:colOff>31021</xdr:colOff>
      <xdr:row>46</xdr:row>
      <xdr:rowOff>25160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3336" b="7092"/>
        <a:stretch>
          <a:fillRect/>
        </a:stretch>
      </xdr:blipFill>
      <xdr:spPr bwMode="auto">
        <a:xfrm>
          <a:off x="248010" y="7495277"/>
          <a:ext cx="5138577" cy="2018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2377022</xdr:colOff>
      <xdr:row>0</xdr:row>
      <xdr:rowOff>0</xdr:rowOff>
    </xdr:from>
    <xdr:to>
      <xdr:col>5</xdr:col>
      <xdr:colOff>163883</xdr:colOff>
      <xdr:row>3</xdr:row>
      <xdr:rowOff>71310</xdr:rowOff>
    </xdr:to>
    <xdr:pic>
      <xdr:nvPicPr>
        <xdr:cNvPr id="3" name="Imagen 2" descr="membret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10" b="90169"/>
        <a:stretch/>
      </xdr:blipFill>
      <xdr:spPr bwMode="auto">
        <a:xfrm>
          <a:off x="3281897" y="0"/>
          <a:ext cx="2826485" cy="8047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</xdr:col>
      <xdr:colOff>1251907</xdr:colOff>
      <xdr:row>41</xdr:row>
      <xdr:rowOff>59309</xdr:rowOff>
    </xdr:from>
    <xdr:to>
      <xdr:col>2</xdr:col>
      <xdr:colOff>632783</xdr:colOff>
      <xdr:row>45</xdr:row>
      <xdr:rowOff>154379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159478" y="8739639"/>
          <a:ext cx="2058659" cy="7420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/>
            <a:t>ATENTAMENTE:</a:t>
          </a:r>
        </a:p>
        <a:p>
          <a:pPr algn="ctr"/>
          <a:endParaRPr lang="es-MX" sz="1100" b="1"/>
        </a:p>
        <a:p>
          <a:pPr algn="ctr"/>
          <a:r>
            <a:rPr lang="es-MX" sz="1100" b="1"/>
            <a:t>Ing.</a:t>
          </a:r>
          <a:r>
            <a:rPr lang="es-MX" sz="1100" b="1" baseline="0"/>
            <a:t> Gustavo Mosqueda González</a:t>
          </a:r>
          <a:endParaRPr lang="es-MX" sz="1100" b="1"/>
        </a:p>
      </xdr:txBody>
    </xdr:sp>
    <xdr:clientData/>
  </xdr:twoCellAnchor>
  <xdr:oneCellAnchor>
    <xdr:from>
      <xdr:col>0</xdr:col>
      <xdr:colOff>0</xdr:colOff>
      <xdr:row>26</xdr:row>
      <xdr:rowOff>174505</xdr:rowOff>
    </xdr:from>
    <xdr:ext cx="6182013" cy="2096408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CC03A468-5E78-474D-8E99-E8EF9A87122F}"/>
            </a:ext>
          </a:extLst>
        </xdr:cNvPr>
        <xdr:cNvSpPr txBox="1"/>
      </xdr:nvSpPr>
      <xdr:spPr>
        <a:xfrm>
          <a:off x="0" y="5979363"/>
          <a:ext cx="6182013" cy="20964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lvl="1"/>
          <a:r>
            <a:rPr lang="es-E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Nota</a:t>
          </a:r>
          <a:r>
            <a:rPr lang="es-E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:Los precios estan convertidos a pesos mexicanos, cualquier cambio en el dolar se</a:t>
          </a:r>
        </a:p>
        <a:p>
          <a:pPr lvl="1"/>
          <a:r>
            <a:rPr lang="es-E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modificara el precio.</a:t>
          </a:r>
          <a:endParaRPr lang="es-ES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Precios sujetos a cambio sin previo aviso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60%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anticipo y 4</a:t>
          </a: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0 % contra entrega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Cualquier concepto no considerado en esta cotización será cobrado de manera independiente.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Tiempo de entrega:  5</a:t>
          </a:r>
          <a:r>
            <a:rPr lang="es-ES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 8 semanas</a:t>
          </a:r>
          <a:r>
            <a:rPr lang="es-E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(sujeto a disponibilidad)</a:t>
          </a: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Debido a la volatilidad de los precios, la vigencia de la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cotizacion, sera de 5 dias habiles.</a:t>
          </a:r>
          <a:endParaRPr lang="es-E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Agradezco de antemano la atención prestada al presente y me reitero a sus órdenes para cualquier duda</a:t>
          </a:r>
        </a:p>
        <a:p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 comentario</a:t>
          </a:r>
          <a:endParaRPr lang="es-MX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s-MX" sz="1100"/>
        </a:p>
      </xdr:txBody>
    </xdr:sp>
    <xdr:clientData/>
  </xdr:oneCellAnchor>
  <xdr:twoCellAnchor editAs="oneCell">
    <xdr:from>
      <xdr:col>1</xdr:col>
      <xdr:colOff>1382369</xdr:colOff>
      <xdr:row>39</xdr:row>
      <xdr:rowOff>44571</xdr:rowOff>
    </xdr:from>
    <xdr:to>
      <xdr:col>2</xdr:col>
      <xdr:colOff>127425</xdr:colOff>
      <xdr:row>46</xdr:row>
      <xdr:rowOff>89859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78B5584-A8C8-4888-9F77-EDFC4F680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9940" y="8365467"/>
          <a:ext cx="1422839" cy="12134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0</xdr:rowOff>
    </xdr:from>
    <xdr:to>
      <xdr:col>3</xdr:col>
      <xdr:colOff>438978</xdr:colOff>
      <xdr:row>35</xdr:row>
      <xdr:rowOff>42054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DF011B5-582E-4DD6-96D1-48E6E7316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3336" b="7092"/>
        <a:stretch>
          <a:fillRect/>
        </a:stretch>
      </xdr:blipFill>
      <xdr:spPr bwMode="auto">
        <a:xfrm>
          <a:off x="0" y="5800725"/>
          <a:ext cx="5630103" cy="20232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2377022</xdr:colOff>
      <xdr:row>0</xdr:row>
      <xdr:rowOff>0</xdr:rowOff>
    </xdr:from>
    <xdr:to>
      <xdr:col>3</xdr:col>
      <xdr:colOff>917257</xdr:colOff>
      <xdr:row>3</xdr:row>
      <xdr:rowOff>71310</xdr:rowOff>
    </xdr:to>
    <xdr:pic>
      <xdr:nvPicPr>
        <xdr:cNvPr id="3" name="Imagen 2" descr="membrete">
          <a:extLst>
            <a:ext uri="{FF2B5EF4-FFF2-40B4-BE49-F238E27FC236}">
              <a16:creationId xmlns:a16="http://schemas.microsoft.com/office/drawing/2014/main" id="{631D1CB6-5DB6-4CB4-9CAC-EBA08BF2F540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10" b="90169"/>
        <a:stretch/>
      </xdr:blipFill>
      <xdr:spPr bwMode="auto">
        <a:xfrm>
          <a:off x="3281897" y="0"/>
          <a:ext cx="2826485" cy="8047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1</xdr:col>
      <xdr:colOff>1314449</xdr:colOff>
      <xdr:row>31</xdr:row>
      <xdr:rowOff>57150</xdr:rowOff>
    </xdr:from>
    <xdr:to>
      <xdr:col>2</xdr:col>
      <xdr:colOff>695325</xdr:colOff>
      <xdr:row>35</xdr:row>
      <xdr:rowOff>152400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91E6AF84-2CB7-4A51-8178-A1555B2BFD69}"/>
            </a:ext>
          </a:extLst>
        </xdr:cNvPr>
        <xdr:cNvSpPr txBox="1"/>
      </xdr:nvSpPr>
      <xdr:spPr>
        <a:xfrm>
          <a:off x="2219324" y="7191375"/>
          <a:ext cx="2552701" cy="742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100" b="1"/>
            <a:t>ATENTAMENTE:</a:t>
          </a:r>
        </a:p>
        <a:p>
          <a:pPr algn="ctr"/>
          <a:endParaRPr lang="es-MX" sz="1100" b="1"/>
        </a:p>
        <a:p>
          <a:pPr algn="ctr"/>
          <a:r>
            <a:rPr lang="es-MX" sz="1100" b="1"/>
            <a:t>Ing.</a:t>
          </a:r>
          <a:r>
            <a:rPr lang="es-MX" sz="1100" b="1" baseline="0"/>
            <a:t> Gustavo Mosqueda González</a:t>
          </a:r>
          <a:endParaRPr lang="es-MX" sz="1100" b="1"/>
        </a:p>
      </xdr:txBody>
    </xdr:sp>
    <xdr:clientData/>
  </xdr:twoCellAnchor>
  <xdr:oneCellAnchor>
    <xdr:from>
      <xdr:col>0</xdr:col>
      <xdr:colOff>0</xdr:colOff>
      <xdr:row>20</xdr:row>
      <xdr:rowOff>28575</xdr:rowOff>
    </xdr:from>
    <xdr:ext cx="6707285" cy="1924181"/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44419BAF-3B79-4941-9A2E-A61B06B60B3F}"/>
            </a:ext>
          </a:extLst>
        </xdr:cNvPr>
        <xdr:cNvSpPr txBox="1"/>
      </xdr:nvSpPr>
      <xdr:spPr>
        <a:xfrm>
          <a:off x="0" y="5343525"/>
          <a:ext cx="6707285" cy="19241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Precios sujetos a cambio sin previo aviso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60%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de anticipo y 4</a:t>
          </a:r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0 % contra entrega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Cualquier concepto no considerado en esta cotización será cobrado de manera independiente.</a:t>
          </a:r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Tiempo de entrega: 2 días.</a:t>
          </a:r>
        </a:p>
        <a:p>
          <a:pPr lvl="1"/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Debido a la volatilidad de los precios, la vigencia de la</a:t>
          </a:r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cotizacion, sera de 5 dias habiles.</a:t>
          </a:r>
        </a:p>
        <a:p>
          <a:pPr lvl="1"/>
          <a:r>
            <a:rPr lang="es-E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en caso de exceder el tiempo de actividad por cuestiones imputables al cliente, se cobrara como adicional</a:t>
          </a:r>
          <a:endParaRPr lang="es-E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1"/>
          <a:endParaRPr lang="es-MX" sz="1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Agradezco de antemano la atención prestada al presente y me reitero a sus órdenes para cualquier duda</a:t>
          </a:r>
        </a:p>
        <a:p>
          <a:r>
            <a:rPr lang="es-E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 comentario</a:t>
          </a:r>
          <a:endParaRPr lang="es-MX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s-MX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24848</xdr:rowOff>
    </xdr:from>
    <xdr:to>
      <xdr:col>5</xdr:col>
      <xdr:colOff>588795</xdr:colOff>
      <xdr:row>40</xdr:row>
      <xdr:rowOff>24848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CA25D63-D1C1-4847-976A-651EB73CEA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3336" b="7092"/>
        <a:stretch>
          <a:fillRect/>
        </a:stretch>
      </xdr:blipFill>
      <xdr:spPr bwMode="auto">
        <a:xfrm>
          <a:off x="0" y="5955196"/>
          <a:ext cx="6220969" cy="26835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329712</xdr:colOff>
      <xdr:row>0</xdr:row>
      <xdr:rowOff>98180</xdr:rowOff>
    </xdr:from>
    <xdr:to>
      <xdr:col>5</xdr:col>
      <xdr:colOff>928175</xdr:colOff>
      <xdr:row>4</xdr:row>
      <xdr:rowOff>13627</xdr:rowOff>
    </xdr:to>
    <xdr:pic>
      <xdr:nvPicPr>
        <xdr:cNvPr id="3" name="Imagen 2" descr="membrete">
          <a:extLst>
            <a:ext uri="{FF2B5EF4-FFF2-40B4-BE49-F238E27FC236}">
              <a16:creationId xmlns:a16="http://schemas.microsoft.com/office/drawing/2014/main" id="{B30EB14F-3C1B-43FE-99FA-1A41B0CD493B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10" b="90169"/>
        <a:stretch/>
      </xdr:blipFill>
      <xdr:spPr bwMode="auto">
        <a:xfrm>
          <a:off x="3720612" y="98180"/>
          <a:ext cx="2846363" cy="81079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oneCellAnchor>
    <xdr:from>
      <xdr:col>1</xdr:col>
      <xdr:colOff>2294284</xdr:colOff>
      <xdr:row>35</xdr:row>
      <xdr:rowOff>99392</xdr:rowOff>
    </xdr:from>
    <xdr:ext cx="2551043" cy="43678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613E4C2D-556D-435E-ADF5-2F437036BC2D}"/>
            </a:ext>
          </a:extLst>
        </xdr:cNvPr>
        <xdr:cNvSpPr txBox="1"/>
      </xdr:nvSpPr>
      <xdr:spPr>
        <a:xfrm>
          <a:off x="2691849" y="7885044"/>
          <a:ext cx="2551043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ATENTAMENTE</a:t>
          </a:r>
        </a:p>
        <a:p>
          <a:r>
            <a:rPr lang="es-MX" sz="1100"/>
            <a:t>Ing. Gustavo Mosqueda González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zzrg/rgv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in1\respaldo%2005012010\Documents%20and%20Settings\Grupo%20DyVEC\Mis%20documentos\FACTURAS\zzrg\rgv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62_164_55_5/Desktop/ERG%20V/PEC_VIII/COMO%20SURTIR/TODAS%20LAS%20ESCUELA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EX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dor/Mis%20documentos/Mis%20archivos%20recibidos/ListasPreciosPub201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ergv/pec_9/COTIZADOR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ANEXO_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min1\respaldo%2005012010\Documents%20and%20Settings\Grupo%20DyVEC\Mis%20documentos\FACTURAS\aaeRG\CHEQU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1999"/>
      <sheetName val="CAPACITADORES"/>
      <sheetName val="Módulo1"/>
      <sheetName val="Módulo2"/>
      <sheetName val="Módulo3"/>
    </sheetNames>
    <sheetDataSet>
      <sheetData sheetId="0"/>
      <sheetData sheetId="1">
        <row r="1">
          <cell r="A1" t="str">
            <v>TIPO DE CAMBIO 1999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"/>
      <sheetName val="1999"/>
      <sheetName val="CAPACITADORES"/>
      <sheetName val="Módulo1"/>
      <sheetName val="Módulo2"/>
      <sheetName val="Módulo3"/>
      <sheetName val="Precios"/>
    </sheetNames>
    <sheetDataSet>
      <sheetData sheetId="0"/>
      <sheetData sheetId="1">
        <row r="1">
          <cell r="A1" t="str">
            <v>TIPO DE CAMBIO 1999</v>
          </cell>
        </row>
        <row r="4">
          <cell r="A4" t="str">
            <v>dia</v>
          </cell>
          <cell r="B4" t="str">
            <v>DIAS</v>
          </cell>
          <cell r="C4" t="str">
            <v>feb</v>
          </cell>
          <cell r="D4" t="str">
            <v>mar</v>
          </cell>
          <cell r="E4" t="str">
            <v>abr</v>
          </cell>
          <cell r="F4" t="str">
            <v>may</v>
          </cell>
          <cell r="G4" t="str">
            <v>jun</v>
          </cell>
          <cell r="H4" t="str">
            <v>jul</v>
          </cell>
          <cell r="I4" t="str">
            <v>ago</v>
          </cell>
          <cell r="J4" t="str">
            <v>sep</v>
          </cell>
          <cell r="K4" t="str">
            <v>oct</v>
          </cell>
          <cell r="L4" t="str">
            <v>nov</v>
          </cell>
          <cell r="M4" t="str">
            <v>dic</v>
          </cell>
        </row>
        <row r="5">
          <cell r="A5">
            <v>1</v>
          </cell>
          <cell r="B5">
            <v>1</v>
          </cell>
          <cell r="C5">
            <v>10.154299999999999</v>
          </cell>
          <cell r="D5">
            <v>9.9441000000000006</v>
          </cell>
          <cell r="E5" t="str">
            <v>-</v>
          </cell>
          <cell r="F5" t="str">
            <v>-</v>
          </cell>
          <cell r="G5">
            <v>9.6872000000000007</v>
          </cell>
          <cell r="H5">
            <v>9.4408999999999992</v>
          </cell>
          <cell r="I5" t="str">
            <v>-</v>
          </cell>
          <cell r="J5" t="str">
            <v>-</v>
          </cell>
          <cell r="K5">
            <v>9.3483000000000001</v>
          </cell>
          <cell r="L5">
            <v>9.625</v>
          </cell>
          <cell r="M5">
            <v>9.4320000000000004</v>
          </cell>
        </row>
        <row r="6">
          <cell r="A6">
            <v>2</v>
          </cell>
          <cell r="B6">
            <v>2</v>
          </cell>
          <cell r="C6">
            <v>10.098599999999999</v>
          </cell>
          <cell r="D6">
            <v>9.9071999999999996</v>
          </cell>
          <cell r="E6" t="str">
            <v>-</v>
          </cell>
          <cell r="F6" t="str">
            <v>-</v>
          </cell>
          <cell r="G6">
            <v>9.8155999999999999</v>
          </cell>
          <cell r="H6">
            <v>9.3773</v>
          </cell>
          <cell r="I6">
            <v>9.4009999999999998</v>
          </cell>
          <cell r="J6">
            <v>9.3849999999999998</v>
          </cell>
          <cell r="K6" t="str">
            <v>-</v>
          </cell>
          <cell r="L6" t="str">
            <v>-</v>
          </cell>
          <cell r="M6">
            <v>9.4682999999999993</v>
          </cell>
        </row>
        <row r="7">
          <cell r="A7">
            <v>3</v>
          </cell>
          <cell r="B7">
            <v>3</v>
          </cell>
          <cell r="C7">
            <v>10.0823</v>
          </cell>
          <cell r="D7">
            <v>9.9527999999999999</v>
          </cell>
          <cell r="E7" t="str">
            <v>-</v>
          </cell>
          <cell r="F7">
            <v>9.2446999999999999</v>
          </cell>
          <cell r="G7">
            <v>9.7652999999999999</v>
          </cell>
          <cell r="H7" t="str">
            <v>-</v>
          </cell>
          <cell r="I7">
            <v>9.4057999999999993</v>
          </cell>
          <cell r="J7">
            <v>9.3739000000000008</v>
          </cell>
          <cell r="K7" t="str">
            <v>-</v>
          </cell>
          <cell r="L7">
            <v>9.6207999999999991</v>
          </cell>
          <cell r="M7">
            <v>9.5326000000000004</v>
          </cell>
        </row>
        <row r="8">
          <cell r="A8">
            <v>4</v>
          </cell>
          <cell r="B8">
            <v>4</v>
          </cell>
          <cell r="C8">
            <v>10.113799999999999</v>
          </cell>
          <cell r="D8">
            <v>9.9641000000000002</v>
          </cell>
          <cell r="E8" t="str">
            <v>-</v>
          </cell>
          <cell r="F8">
            <v>9.2689000000000004</v>
          </cell>
          <cell r="G8">
            <v>9.6545000000000005</v>
          </cell>
          <cell r="H8" t="str">
            <v>-</v>
          </cell>
          <cell r="I8">
            <v>9.4551999999999996</v>
          </cell>
          <cell r="J8" t="str">
            <v>-</v>
          </cell>
          <cell r="K8">
            <v>9.4062999999999999</v>
          </cell>
          <cell r="L8">
            <v>9.5551999999999992</v>
          </cell>
          <cell r="M8" t="str">
            <v>-</v>
          </cell>
        </row>
        <row r="9">
          <cell r="A9">
            <v>5</v>
          </cell>
          <cell r="B9">
            <v>5</v>
          </cell>
          <cell r="C9" t="str">
            <v>-</v>
          </cell>
          <cell r="D9">
            <v>9.9334000000000007</v>
          </cell>
          <cell r="E9">
            <v>9.5218000000000007</v>
          </cell>
          <cell r="F9" t="str">
            <v>-</v>
          </cell>
          <cell r="G9">
            <v>0</v>
          </cell>
          <cell r="H9">
            <v>9.3513000000000002</v>
          </cell>
          <cell r="I9">
            <v>9.4364000000000008</v>
          </cell>
          <cell r="J9" t="str">
            <v>-</v>
          </cell>
          <cell r="K9">
            <v>9.4530999999999992</v>
          </cell>
          <cell r="L9">
            <v>9.4711999999999996</v>
          </cell>
          <cell r="M9" t="str">
            <v>-</v>
          </cell>
        </row>
        <row r="10">
          <cell r="A10">
            <v>6</v>
          </cell>
          <cell r="B10">
            <v>6</v>
          </cell>
          <cell r="C10" t="str">
            <v>-</v>
          </cell>
          <cell r="D10" t="str">
            <v>-</v>
          </cell>
          <cell r="E10">
            <v>9.4817999999999998</v>
          </cell>
          <cell r="F10">
            <v>9.2749000000000006</v>
          </cell>
          <cell r="G10">
            <v>0</v>
          </cell>
          <cell r="H10">
            <v>9.3167000000000009</v>
          </cell>
          <cell r="I10">
            <v>9.5097000000000005</v>
          </cell>
          <cell r="J10">
            <v>9.3382000000000005</v>
          </cell>
          <cell r="K10">
            <v>9.4757999999999996</v>
          </cell>
          <cell r="L10" t="str">
            <v>-</v>
          </cell>
          <cell r="M10">
            <v>9.4941999999999993</v>
          </cell>
        </row>
        <row r="11">
          <cell r="A11">
            <v>7</v>
          </cell>
          <cell r="B11">
            <v>7</v>
          </cell>
          <cell r="C11" t="str">
            <v>-</v>
          </cell>
          <cell r="D11" t="str">
            <v>-</v>
          </cell>
          <cell r="E11">
            <v>9.4846000000000004</v>
          </cell>
          <cell r="F11">
            <v>9.3330000000000002</v>
          </cell>
          <cell r="G11">
            <v>9.6272000000000002</v>
          </cell>
          <cell r="H11">
            <v>9.3314000000000004</v>
          </cell>
          <cell r="I11" t="str">
            <v>-</v>
          </cell>
          <cell r="J11">
            <v>9.3461999999999996</v>
          </cell>
          <cell r="K11">
            <v>9.4322999999999997</v>
          </cell>
          <cell r="L11" t="str">
            <v>-</v>
          </cell>
          <cell r="M11">
            <v>9.4562000000000008</v>
          </cell>
        </row>
        <row r="12">
          <cell r="A12">
            <v>8</v>
          </cell>
          <cell r="B12">
            <v>8</v>
          </cell>
          <cell r="C12">
            <v>10.121700000000001</v>
          </cell>
          <cell r="D12">
            <v>9.8732000000000006</v>
          </cell>
          <cell r="E12">
            <v>9.4968000000000004</v>
          </cell>
          <cell r="F12" t="str">
            <v>-</v>
          </cell>
          <cell r="G12">
            <v>9.5045000000000002</v>
          </cell>
          <cell r="H12">
            <v>9.3636999999999997</v>
          </cell>
          <cell r="I12" t="str">
            <v>-</v>
          </cell>
          <cell r="J12">
            <v>9.3497000000000003</v>
          </cell>
          <cell r="K12">
            <v>9.4597999999999995</v>
          </cell>
          <cell r="L12">
            <v>9.4518000000000004</v>
          </cell>
          <cell r="M12">
            <v>9.4415999999999993</v>
          </cell>
        </row>
        <row r="13">
          <cell r="A13">
            <v>9</v>
          </cell>
          <cell r="B13">
            <v>9</v>
          </cell>
          <cell r="C13">
            <v>10.082100000000001</v>
          </cell>
          <cell r="D13">
            <v>9.8434000000000008</v>
          </cell>
          <cell r="E13">
            <v>9.4771000000000001</v>
          </cell>
          <cell r="F13" t="str">
            <v>-</v>
          </cell>
          <cell r="G13">
            <v>9.4878999999999998</v>
          </cell>
          <cell r="H13">
            <v>9.3302999999999994</v>
          </cell>
          <cell r="I13">
            <v>9.4962</v>
          </cell>
          <cell r="J13">
            <v>9.3577999999999992</v>
          </cell>
          <cell r="K13" t="str">
            <v>-</v>
          </cell>
          <cell r="L13">
            <v>9.4571000000000005</v>
          </cell>
          <cell r="M13">
            <v>9.4755000000000003</v>
          </cell>
        </row>
        <row r="14">
          <cell r="A14">
            <v>10</v>
          </cell>
          <cell r="B14">
            <v>10</v>
          </cell>
          <cell r="C14">
            <v>10.0764</v>
          </cell>
          <cell r="D14">
            <v>9.7927</v>
          </cell>
          <cell r="E14" t="str">
            <v>-</v>
          </cell>
          <cell r="F14">
            <v>9.3480000000000008</v>
          </cell>
          <cell r="G14">
            <v>9.5816999999999997</v>
          </cell>
          <cell r="H14" t="str">
            <v>-</v>
          </cell>
          <cell r="I14">
            <v>9.4873999999999992</v>
          </cell>
          <cell r="J14">
            <v>9.3470999999999993</v>
          </cell>
          <cell r="K14" t="str">
            <v>-</v>
          </cell>
          <cell r="L14">
            <v>9.4158000000000008</v>
          </cell>
          <cell r="M14">
            <v>9.4288000000000007</v>
          </cell>
        </row>
        <row r="15">
          <cell r="A15">
            <v>11</v>
          </cell>
          <cell r="B15">
            <v>11</v>
          </cell>
          <cell r="C15">
            <v>10.060600000000001</v>
          </cell>
          <cell r="D15">
            <v>9.8011999999999997</v>
          </cell>
          <cell r="E15" t="str">
            <v>-</v>
          </cell>
          <cell r="F15">
            <v>9.2992000000000008</v>
          </cell>
          <cell r="G15">
            <v>9.5984999999999996</v>
          </cell>
          <cell r="H15" t="str">
            <v>-</v>
          </cell>
          <cell r="I15">
            <v>9.5062999999999995</v>
          </cell>
          <cell r="J15" t="str">
            <v>-</v>
          </cell>
          <cell r="K15">
            <v>9.4681999999999995</v>
          </cell>
          <cell r="L15">
            <v>9.4125999999999994</v>
          </cell>
          <cell r="M15" t="str">
            <v>-</v>
          </cell>
        </row>
        <row r="16">
          <cell r="A16">
            <v>12</v>
          </cell>
          <cell r="B16">
            <v>12</v>
          </cell>
          <cell r="C16">
            <v>9.9793000000000003</v>
          </cell>
          <cell r="D16">
            <v>9.7479999999999993</v>
          </cell>
          <cell r="E16">
            <v>9.5728000000000009</v>
          </cell>
          <cell r="F16">
            <v>9.2532999999999994</v>
          </cell>
          <cell r="G16">
            <v>0</v>
          </cell>
          <cell r="H16">
            <v>9.3522999999999996</v>
          </cell>
          <cell r="I16">
            <v>9.4149999999999991</v>
          </cell>
          <cell r="J16" t="str">
            <v>-</v>
          </cell>
          <cell r="K16">
            <v>9.4506999999999994</v>
          </cell>
          <cell r="L16">
            <v>9.3856999999999999</v>
          </cell>
          <cell r="M16" t="str">
            <v>-</v>
          </cell>
        </row>
        <row r="17">
          <cell r="A17">
            <v>13</v>
          </cell>
          <cell r="B17">
            <v>13</v>
          </cell>
          <cell r="C17" t="str">
            <v>-</v>
          </cell>
          <cell r="D17" t="str">
            <v>-</v>
          </cell>
          <cell r="E17">
            <v>9.5569000000000006</v>
          </cell>
          <cell r="F17">
            <v>9.3247</v>
          </cell>
          <cell r="G17">
            <v>0</v>
          </cell>
          <cell r="H17">
            <v>9.4358000000000004</v>
          </cell>
          <cell r="I17">
            <v>9.3533000000000008</v>
          </cell>
          <cell r="J17">
            <v>9.3173999999999992</v>
          </cell>
          <cell r="K17">
            <v>9.4674999999999994</v>
          </cell>
          <cell r="L17" t="str">
            <v>-</v>
          </cell>
          <cell r="M17">
            <v>9.4143000000000008</v>
          </cell>
        </row>
        <row r="18">
          <cell r="A18">
            <v>14</v>
          </cell>
          <cell r="B18">
            <v>14</v>
          </cell>
          <cell r="C18" t="str">
            <v>-</v>
          </cell>
          <cell r="D18" t="str">
            <v>-</v>
          </cell>
          <cell r="E18">
            <v>9.5058000000000007</v>
          </cell>
          <cell r="F18">
            <v>9.2698</v>
          </cell>
          <cell r="G18">
            <v>9.5451999999999995</v>
          </cell>
          <cell r="H18">
            <v>9.4589999999999996</v>
          </cell>
          <cell r="I18" t="str">
            <v>-</v>
          </cell>
          <cell r="J18">
            <v>9.3192000000000004</v>
          </cell>
          <cell r="K18">
            <v>9.5190000000000001</v>
          </cell>
          <cell r="L18" t="str">
            <v>-</v>
          </cell>
          <cell r="M18">
            <v>9.4143000000000008</v>
          </cell>
        </row>
        <row r="19">
          <cell r="A19">
            <v>15</v>
          </cell>
          <cell r="B19">
            <v>15</v>
          </cell>
          <cell r="C19">
            <v>9.9486000000000008</v>
          </cell>
          <cell r="D19">
            <v>9.7527000000000008</v>
          </cell>
          <cell r="E19">
            <v>9.5084999999999997</v>
          </cell>
          <cell r="F19" t="str">
            <v>-</v>
          </cell>
          <cell r="G19">
            <v>9.5767000000000007</v>
          </cell>
          <cell r="H19">
            <v>9.3388000000000009</v>
          </cell>
          <cell r="I19" t="str">
            <v>-</v>
          </cell>
          <cell r="J19">
            <v>9.3323</v>
          </cell>
          <cell r="K19">
            <v>9.6308000000000007</v>
          </cell>
          <cell r="L19">
            <v>9.3787000000000003</v>
          </cell>
          <cell r="M19">
            <v>9.4109999999999996</v>
          </cell>
        </row>
        <row r="20">
          <cell r="A20">
            <v>16</v>
          </cell>
          <cell r="B20">
            <v>16</v>
          </cell>
          <cell r="C20">
            <v>9.9314999999999998</v>
          </cell>
          <cell r="D20">
            <v>9.7052999999999994</v>
          </cell>
          <cell r="E20">
            <v>9.5429999999999993</v>
          </cell>
          <cell r="F20" t="str">
            <v>-</v>
          </cell>
          <cell r="G20">
            <v>9.5017999999999994</v>
          </cell>
          <cell r="H20">
            <v>9.3343000000000007</v>
          </cell>
          <cell r="I20">
            <v>9.3882999999999992</v>
          </cell>
          <cell r="J20" t="str">
            <v>-</v>
          </cell>
          <cell r="K20" t="str">
            <v>-</v>
          </cell>
          <cell r="L20">
            <v>9.3684999999999992</v>
          </cell>
          <cell r="M20">
            <v>9.3789999999999996</v>
          </cell>
        </row>
        <row r="21">
          <cell r="A21">
            <v>17</v>
          </cell>
          <cell r="B21">
            <v>17</v>
          </cell>
          <cell r="C21">
            <v>9.9190000000000005</v>
          </cell>
          <cell r="D21">
            <v>9.6586999999999996</v>
          </cell>
          <cell r="E21" t="str">
            <v>-</v>
          </cell>
          <cell r="F21">
            <v>9.3590999999999998</v>
          </cell>
          <cell r="G21">
            <v>9.4585000000000008</v>
          </cell>
          <cell r="H21" t="str">
            <v>-</v>
          </cell>
          <cell r="I21">
            <v>9.3567999999999998</v>
          </cell>
          <cell r="J21">
            <v>9.3092000000000006</v>
          </cell>
          <cell r="K21" t="str">
            <v>-</v>
          </cell>
          <cell r="L21">
            <v>9.4017999999999997</v>
          </cell>
          <cell r="M21">
            <v>9.3577999999999992</v>
          </cell>
        </row>
        <row r="22">
          <cell r="A22">
            <v>18</v>
          </cell>
          <cell r="B22">
            <v>18</v>
          </cell>
          <cell r="C22">
            <v>9.9042999999999992</v>
          </cell>
          <cell r="D22">
            <v>9.6888000000000005</v>
          </cell>
          <cell r="E22" t="str">
            <v>-</v>
          </cell>
          <cell r="F22">
            <v>9.3663000000000007</v>
          </cell>
          <cell r="G22">
            <v>9.4038000000000004</v>
          </cell>
          <cell r="H22" t="str">
            <v>-</v>
          </cell>
          <cell r="I22">
            <v>9.3331999999999997</v>
          </cell>
          <cell r="J22" t="str">
            <v>-</v>
          </cell>
          <cell r="K22">
            <v>9.7113999999999994</v>
          </cell>
          <cell r="L22">
            <v>9.3549000000000007</v>
          </cell>
          <cell r="M22" t="str">
            <v>-</v>
          </cell>
        </row>
        <row r="23">
          <cell r="A23">
            <v>19</v>
          </cell>
          <cell r="B23">
            <v>19</v>
          </cell>
          <cell r="C23">
            <v>9.8809000000000005</v>
          </cell>
          <cell r="D23">
            <v>9.6462000000000003</v>
          </cell>
          <cell r="E23">
            <v>9.5236999999999998</v>
          </cell>
          <cell r="F23">
            <v>9.2982999999999993</v>
          </cell>
          <cell r="G23">
            <v>0</v>
          </cell>
          <cell r="H23">
            <v>9.3562999999999992</v>
          </cell>
          <cell r="I23">
            <v>9.3217999999999996</v>
          </cell>
          <cell r="J23" t="str">
            <v>-</v>
          </cell>
          <cell r="K23">
            <v>9.7142999999999997</v>
          </cell>
          <cell r="L23">
            <v>9.3460000000000001</v>
          </cell>
          <cell r="M23" t="str">
            <v>-</v>
          </cell>
        </row>
        <row r="24">
          <cell r="A24">
            <v>20</v>
          </cell>
          <cell r="B24">
            <v>20</v>
          </cell>
          <cell r="C24" t="str">
            <v>-</v>
          </cell>
          <cell r="D24" t="str">
            <v>-</v>
          </cell>
          <cell r="E24">
            <v>9.3831000000000007</v>
          </cell>
          <cell r="F24">
            <v>9.3086000000000002</v>
          </cell>
          <cell r="G24">
            <v>0</v>
          </cell>
          <cell r="H24">
            <v>9.3008000000000006</v>
          </cell>
          <cell r="I24">
            <v>9.3744999999999994</v>
          </cell>
          <cell r="J24">
            <v>9.3712</v>
          </cell>
          <cell r="K24">
            <v>9.6713000000000005</v>
          </cell>
          <cell r="L24" t="str">
            <v>-</v>
          </cell>
          <cell r="M24">
            <v>9.3298000000000005</v>
          </cell>
        </row>
        <row r="25">
          <cell r="A25">
            <v>21</v>
          </cell>
          <cell r="B25">
            <v>21</v>
          </cell>
          <cell r="C25" t="str">
            <v>-</v>
          </cell>
          <cell r="D25" t="str">
            <v>-</v>
          </cell>
          <cell r="E25">
            <v>9.4077000000000002</v>
          </cell>
          <cell r="F25">
            <v>9.3241999999999994</v>
          </cell>
          <cell r="G25">
            <v>9.3550000000000004</v>
          </cell>
          <cell r="H25">
            <v>9.3012999999999995</v>
          </cell>
          <cell r="I25" t="str">
            <v>-</v>
          </cell>
          <cell r="J25">
            <v>9.3223000000000003</v>
          </cell>
          <cell r="K25">
            <v>9.6113999999999997</v>
          </cell>
          <cell r="L25" t="str">
            <v>-</v>
          </cell>
          <cell r="M25">
            <v>9.3338000000000001</v>
          </cell>
        </row>
        <row r="26">
          <cell r="A26">
            <v>22</v>
          </cell>
          <cell r="B26">
            <v>22</v>
          </cell>
          <cell r="C26">
            <v>9.9332999999999991</v>
          </cell>
          <cell r="D26">
            <v>9.6675000000000004</v>
          </cell>
          <cell r="E26">
            <v>9.3643000000000001</v>
          </cell>
          <cell r="F26" t="str">
            <v>-</v>
          </cell>
          <cell r="G26">
            <v>9.3780999999999999</v>
          </cell>
          <cell r="H26">
            <v>9.3347999999999995</v>
          </cell>
          <cell r="I26" t="str">
            <v>-</v>
          </cell>
          <cell r="J26">
            <v>9.3043999999999993</v>
          </cell>
          <cell r="K26">
            <v>9.6481999999999992</v>
          </cell>
          <cell r="L26">
            <v>9.3287999999999993</v>
          </cell>
          <cell r="M26">
            <v>9.3141999999999996</v>
          </cell>
        </row>
        <row r="27">
          <cell r="A27">
            <v>23</v>
          </cell>
          <cell r="B27">
            <v>23</v>
          </cell>
          <cell r="C27">
            <v>9.9314999999999998</v>
          </cell>
          <cell r="D27">
            <v>9.7116000000000007</v>
          </cell>
          <cell r="E27">
            <v>9.3316999999999997</v>
          </cell>
          <cell r="F27" t="str">
            <v>-</v>
          </cell>
          <cell r="G27">
            <v>9.3717000000000006</v>
          </cell>
          <cell r="H27">
            <v>9.3745999999999992</v>
          </cell>
          <cell r="I27">
            <v>9.3867999999999991</v>
          </cell>
          <cell r="J27">
            <v>9.2858000000000001</v>
          </cell>
          <cell r="K27" t="str">
            <v>-</v>
          </cell>
          <cell r="L27">
            <v>9.3190000000000008</v>
          </cell>
          <cell r="M27">
            <v>9.3094999999999999</v>
          </cell>
        </row>
        <row r="28">
          <cell r="A28">
            <v>24</v>
          </cell>
          <cell r="B28">
            <v>24</v>
          </cell>
          <cell r="C28">
            <v>9.9565000000000001</v>
          </cell>
          <cell r="D28">
            <v>9.6722999999999999</v>
          </cell>
          <cell r="E28" t="str">
            <v>-</v>
          </cell>
          <cell r="F28">
            <v>9.3589000000000002</v>
          </cell>
          <cell r="G28">
            <v>9.4038000000000004</v>
          </cell>
          <cell r="H28" t="str">
            <v>-</v>
          </cell>
          <cell r="I28">
            <v>9.3435000000000006</v>
          </cell>
          <cell r="J28">
            <v>9.3055000000000003</v>
          </cell>
          <cell r="K28" t="str">
            <v>-</v>
          </cell>
          <cell r="L28">
            <v>9.3323999999999998</v>
          </cell>
          <cell r="M28">
            <v>9.3695000000000004</v>
          </cell>
        </row>
        <row r="29">
          <cell r="A29">
            <v>25</v>
          </cell>
          <cell r="B29">
            <v>25</v>
          </cell>
          <cell r="C29">
            <v>9.9357000000000006</v>
          </cell>
          <cell r="D29">
            <v>9.6917000000000009</v>
          </cell>
          <cell r="E29" t="str">
            <v>-</v>
          </cell>
          <cell r="F29">
            <v>9.3844999999999992</v>
          </cell>
          <cell r="G29">
            <v>9.4589999999999996</v>
          </cell>
          <cell r="H29" t="str">
            <v>-</v>
          </cell>
          <cell r="I29">
            <v>9.3309999999999995</v>
          </cell>
          <cell r="J29" t="str">
            <v>-</v>
          </cell>
          <cell r="K29">
            <v>9.6029999999999998</v>
          </cell>
          <cell r="L29">
            <v>9.3194999999999997</v>
          </cell>
          <cell r="M29" t="str">
            <v>-</v>
          </cell>
        </row>
        <row r="30">
          <cell r="A30">
            <v>26</v>
          </cell>
          <cell r="B30">
            <v>26</v>
          </cell>
          <cell r="C30">
            <v>9.9835999999999991</v>
          </cell>
          <cell r="D30">
            <v>9.6454000000000004</v>
          </cell>
          <cell r="E30">
            <v>9.3004999999999995</v>
          </cell>
          <cell r="F30">
            <v>9.5467999999999993</v>
          </cell>
          <cell r="G30">
            <v>0</v>
          </cell>
          <cell r="H30">
            <v>9.3856000000000002</v>
          </cell>
          <cell r="I30">
            <v>9.3080999999999996</v>
          </cell>
          <cell r="J30" t="str">
            <v>-</v>
          </cell>
          <cell r="K30">
            <v>9.6373999999999995</v>
          </cell>
          <cell r="L30">
            <v>9.2944999999999993</v>
          </cell>
          <cell r="M30" t="str">
            <v>-</v>
          </cell>
        </row>
        <row r="31">
          <cell r="A31">
            <v>27</v>
          </cell>
          <cell r="B31">
            <v>27</v>
          </cell>
          <cell r="C31" t="str">
            <v>-</v>
          </cell>
          <cell r="D31" t="str">
            <v>-</v>
          </cell>
          <cell r="E31">
            <v>9.3084000000000007</v>
          </cell>
          <cell r="F31">
            <v>9.6715</v>
          </cell>
          <cell r="G31">
            <v>0</v>
          </cell>
          <cell r="H31">
            <v>9.4235000000000007</v>
          </cell>
          <cell r="I31">
            <v>9.3393999999999995</v>
          </cell>
          <cell r="J31">
            <v>9.3565000000000005</v>
          </cell>
          <cell r="K31">
            <v>9.6298999999999992</v>
          </cell>
          <cell r="L31" t="str">
            <v>-</v>
          </cell>
          <cell r="M31">
            <v>9.4187999999999992</v>
          </cell>
        </row>
        <row r="32">
          <cell r="A32">
            <v>28</v>
          </cell>
          <cell r="B32">
            <v>28</v>
          </cell>
          <cell r="C32" t="str">
            <v>-</v>
          </cell>
          <cell r="D32" t="str">
            <v>-</v>
          </cell>
          <cell r="E32">
            <v>9.3285</v>
          </cell>
          <cell r="F32">
            <v>9.7498000000000005</v>
          </cell>
          <cell r="G32">
            <v>9.4717000000000002</v>
          </cell>
          <cell r="H32">
            <v>9.3680000000000003</v>
          </cell>
          <cell r="I32" t="str">
            <v>-</v>
          </cell>
          <cell r="J32">
            <v>9.3157999999999994</v>
          </cell>
          <cell r="K32">
            <v>9.6503999999999994</v>
          </cell>
          <cell r="L32" t="str">
            <v>-</v>
          </cell>
          <cell r="M32">
            <v>9.4632000000000005</v>
          </cell>
        </row>
        <row r="33">
          <cell r="A33">
            <v>29</v>
          </cell>
          <cell r="B33">
            <v>29</v>
          </cell>
          <cell r="C33" t="str">
            <v>-</v>
          </cell>
          <cell r="D33">
            <v>9.5953999999999997</v>
          </cell>
          <cell r="E33">
            <v>9.2871000000000006</v>
          </cell>
          <cell r="F33" t="str">
            <v>-</v>
          </cell>
          <cell r="G33">
            <v>9.4875000000000007</v>
          </cell>
          <cell r="H33">
            <v>9.3826999999999998</v>
          </cell>
          <cell r="I33" t="str">
            <v>-</v>
          </cell>
          <cell r="J33">
            <v>9.3582000000000001</v>
          </cell>
          <cell r="K33">
            <v>9.6356999999999999</v>
          </cell>
          <cell r="L33">
            <v>3.355</v>
          </cell>
          <cell r="M33">
            <v>9.5143000000000004</v>
          </cell>
        </row>
        <row r="34">
          <cell r="A34">
            <v>30</v>
          </cell>
          <cell r="B34">
            <v>30</v>
          </cell>
          <cell r="C34" t="str">
            <v>-</v>
          </cell>
          <cell r="D34">
            <v>9.5158000000000005</v>
          </cell>
          <cell r="E34">
            <v>9.2622</v>
          </cell>
          <cell r="F34" t="str">
            <v>-</v>
          </cell>
          <cell r="G34">
            <v>9.4164999999999992</v>
          </cell>
          <cell r="H34">
            <v>9.4260000000000002</v>
          </cell>
          <cell r="I34">
            <v>9.3818999999999999</v>
          </cell>
          <cell r="J34">
            <v>9.3565000000000005</v>
          </cell>
          <cell r="L34">
            <v>9.3736999999999995</v>
          </cell>
          <cell r="M34">
            <v>9.5221999999999998</v>
          </cell>
        </row>
        <row r="35">
          <cell r="A35">
            <v>31</v>
          </cell>
          <cell r="B35">
            <v>31</v>
          </cell>
          <cell r="C35" t="str">
            <v>-</v>
          </cell>
          <cell r="D35">
            <v>9.5375999999999994</v>
          </cell>
          <cell r="E35" t="str">
            <v>-</v>
          </cell>
          <cell r="F35">
            <v>9.7833000000000006</v>
          </cell>
          <cell r="G35" t="str">
            <v>-</v>
          </cell>
          <cell r="I35">
            <v>9.4094999999999995</v>
          </cell>
          <cell r="J35" t="str">
            <v>-</v>
          </cell>
          <cell r="L35" t="str">
            <v>-</v>
          </cell>
          <cell r="M35" t="str">
            <v>-</v>
          </cell>
        </row>
        <row r="36">
          <cell r="A36" t="str">
            <v>Cierre</v>
          </cell>
          <cell r="B36">
            <v>10.1752</v>
          </cell>
          <cell r="C36">
            <v>9.9835999999999991</v>
          </cell>
          <cell r="D36">
            <v>9.5158000000000005</v>
          </cell>
          <cell r="E36">
            <v>9.2871000000000006</v>
          </cell>
          <cell r="F36">
            <v>9.7498000000000005</v>
          </cell>
          <cell r="G36">
            <v>0</v>
          </cell>
          <cell r="H36">
            <v>9.3826999999999998</v>
          </cell>
          <cell r="I36">
            <v>9.3818999999999999</v>
          </cell>
          <cell r="J36">
            <v>9.3582000000000001</v>
          </cell>
          <cell r="K36">
            <v>9.6356999999999999</v>
          </cell>
          <cell r="L36">
            <v>9.3550000000000004</v>
          </cell>
          <cell r="M36">
            <v>9.5221999999999998</v>
          </cell>
        </row>
        <row r="37">
          <cell r="A37" t="str">
            <v>Promd.</v>
          </cell>
          <cell r="B37">
            <v>10.122229999999998</v>
          </cell>
          <cell r="C37">
            <v>10.004899999999999</v>
          </cell>
          <cell r="D37">
            <v>9.75</v>
          </cell>
          <cell r="E37">
            <v>9.4322999999999997</v>
          </cell>
          <cell r="F37">
            <v>9.3884000000000007</v>
          </cell>
          <cell r="G37">
            <v>9.5221999999999998</v>
          </cell>
          <cell r="H37">
            <v>9.3674999999999997</v>
          </cell>
          <cell r="I37">
            <v>9.3972999999999995</v>
          </cell>
          <cell r="J37">
            <v>9.3376000000000001</v>
          </cell>
          <cell r="K37">
            <v>9.5535619047619047</v>
          </cell>
          <cell r="L37">
            <v>9.4079999999999995</v>
          </cell>
          <cell r="M37">
            <v>9.4219000000000008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 275"/>
      <sheetName val="TV 966"/>
      <sheetName val="Precios"/>
      <sheetName val="COT"/>
      <sheetName val="TV_275"/>
      <sheetName val="TV_966"/>
    </sheetNames>
    <sheetDataSet>
      <sheetData sheetId="0"/>
      <sheetData sheetId="1"/>
      <sheetData sheetId="2">
        <row r="4">
          <cell r="B4" t="str">
            <v>IMPRESORA HP LASERJET P1005 600 X 600 DPI 2MB HASTA 15PPM</v>
          </cell>
        </row>
        <row r="5">
          <cell r="B5" t="str">
            <v>IMPRESORA HP LASERJET P1505 1200 X 1200 DPI 2MB HASTA 25PPM</v>
          </cell>
        </row>
        <row r="6">
          <cell r="B6" t="str">
            <v>MULTIFUNCIONAL HP C4280 IMP/COP/SCANNER 26PPM NEGR  1200X2400DPI</v>
          </cell>
        </row>
        <row r="7">
          <cell r="B7" t="str">
            <v xml:space="preserve">OFICCEJET HP 3680, VERTICAL CON AURICULAR </v>
          </cell>
        </row>
        <row r="8">
          <cell r="B8" t="str">
            <v>MULTIFUNCIONAL HP LASER JET M1120 COP 600 X600 DPI,DIGITAL1200 X 1200</v>
          </cell>
        </row>
        <row r="9">
          <cell r="B9" t="str">
            <v xml:space="preserve">HPLASERJETM1522N MFPIMPRESORA24 COPIADORA20PPM/SCANNER1200X1200DPI </v>
          </cell>
        </row>
        <row r="10">
          <cell r="B10" t="str">
            <v xml:space="preserve">HP D1560 IMPRESORA DE INYECCION 18 PPM </v>
          </cell>
        </row>
        <row r="11">
          <cell r="B11" t="str">
            <v>DESKJET 6940 39PPN Y 27PPC 4800DPI USB</v>
          </cell>
        </row>
        <row r="12">
          <cell r="B12" t="str">
            <v>CAMARAS DIGITALES FOTOGRAFICAS</v>
          </cell>
        </row>
        <row r="13">
          <cell r="B13" t="str">
            <v>CAMARA DIGITAL BENQ E800, 8 MP/LCD 2.5, ZOOM 3X, VIDEO BAT REC</v>
          </cell>
        </row>
        <row r="14">
          <cell r="B14" t="str">
            <v>CAMARA DIGITAL BENQ DC C850, 8 MP/LCD 2.7, ZOOM 4X, PENTAX</v>
          </cell>
        </row>
        <row r="15">
          <cell r="B15" t="str">
            <v>CAMARA DIGITAL CANON A470, 7.1MP LCD 2.5 ZOOM 3.4X</v>
          </cell>
        </row>
        <row r="16">
          <cell r="B16" t="str">
            <v>CAMARA DIGITAL SONY CYBER-SHOT DSC-W120 7.1MP SMILE SHOT PANT 2.5 BAT REC</v>
          </cell>
        </row>
        <row r="17">
          <cell r="B17" t="str">
            <v>CAMARA DIGITAL SONY CYBER-SHOT DSC-S730 7.1MP SMILE SHOT PANT 2.5 AA</v>
          </cell>
        </row>
        <row r="18">
          <cell r="B18" t="str">
            <v xml:space="preserve"> COMPUTADORAS HP Y ACER </v>
          </cell>
        </row>
        <row r="19">
          <cell r="B19" t="str">
            <v>EMACHINES ET1160-03M ATHLON 64 X2 2.1 GHZ  2G 160G DVSM MONITOR LCD 17"</v>
          </cell>
        </row>
        <row r="20">
          <cell r="B20" t="str">
            <v>PC ACER VM264 CEL.440 A 2.2GHZ 1GB DD160GB DVD CRT 17"</v>
          </cell>
        </row>
        <row r="21">
          <cell r="B21" t="str">
            <v>PC ACER VM264 CEL.440 A 2.2GHZ 2GB DD160GB DVD LCD 17"</v>
          </cell>
        </row>
        <row r="22">
          <cell r="B22" t="str">
            <v>VM261 SD2200L DUAL CORE E2200 2G 160G DVSM MONITOR LCD 19"</v>
          </cell>
        </row>
        <row r="23">
          <cell r="B23" t="str">
            <v>AL5100-SS1251A LE1250 2G 160G DVSM VHP U-SLIM 5-1 CAM MONITOR LCD 19"</v>
          </cell>
        </row>
        <row r="24">
          <cell r="B24" t="str">
            <v xml:space="preserve">COMPUTADORA COMPAQ PRESARIO SG3302 CEL 1.20 1GB 120GB DVDSM V STARTED MONITOR CRT 17" </v>
          </cell>
        </row>
        <row r="25">
          <cell r="B25" t="str">
            <v>DX2450, MT, AMD AT 1640, 1GB 250 GB,DVDRW MONITOR LCD 15"</v>
          </cell>
        </row>
        <row r="26">
          <cell r="B26" t="str">
            <v xml:space="preserve">LAPTOP AS5335-2086 15.6 CM575 2G 160G DVSM VHB BG 5-1 CAM GEM E </v>
          </cell>
        </row>
        <row r="27">
          <cell r="B27" t="str">
            <v xml:space="preserve">LAPTOP AS5315-2368 15.4 C560 2G 120G DVSM  </v>
          </cell>
        </row>
        <row r="28">
          <cell r="B28" t="str">
            <v>LAPTOP AS5520-5195 ATHLON X2 TK57 2G 120GB DVDSM VHB 5-1 CAM</v>
          </cell>
        </row>
        <row r="29">
          <cell r="B29" t="str">
            <v xml:space="preserve">LAPTOP HP550 CORE2DUO 1.6GHZ 3GB 160GB DVDRW WIFI 15.4 V.BASIC </v>
          </cell>
        </row>
        <row r="30">
          <cell r="B30" t="str">
            <v xml:space="preserve">LAPTOP PRESARIO CQ40-320LA SEMP 2.1 3GB/160GB/DVDSM/14.1 /V.STARTED </v>
          </cell>
        </row>
        <row r="31">
          <cell r="B31" t="str">
            <v>COMPUTADORA ULTRAPORTATIL ACER ASPIRE ONE CEL ATOM 1GB 120GB WEBCAM 5-1 8.9"</v>
          </cell>
        </row>
        <row r="32">
          <cell r="B32" t="str">
            <v>* TODOS LOS EQUIPOS DE ESCRITORIO INCLUYEN MESA PARA COMPUTADORA, REGULADOR,  INSTALACION Y GARANTIA EN SITIO. EN PORTATILES MALETIN Y MOUSE OPTICO</v>
          </cell>
        </row>
        <row r="34">
          <cell r="B34" t="str">
            <v>CAMARAS DIGITALES DE VIDEO</v>
          </cell>
        </row>
        <row r="35">
          <cell r="B35" t="str">
            <v>Formato DVD, CCD 680,000 píxeles,  Compatible con formato DVD +R DL doble capa,  Optica Carl Zeiss Vario-Tessar,  Zoom Óptico 40x,  Pantalla a color de 2.5” con Menú de Toque Suave,  Entrada para Memory Stick Duo y PRO Duo, Grabación en oscuridad Super Ni</v>
          </cell>
        </row>
        <row r="36">
          <cell r="B36" t="str">
            <v>Formato MiniDV, CCD 680,000 Píxeles,  Optica Carl Zeiss Vario-Tessar,  Zoom Óptico 20x,  Pantalla a color de 2.5” con Menú de Toque Suave,  Grabación en oscuridad NightShot Plus,  Estabilizador de imagen Super SteadyShot</v>
          </cell>
        </row>
        <row r="38">
          <cell r="B38" t="str">
            <v>TELEVISIONES</v>
          </cell>
        </row>
        <row r="39">
          <cell r="B39" t="str">
            <v>TELEVISOR SAMSUNG DE 21 PULGADAS</v>
          </cell>
        </row>
        <row r="40">
          <cell r="B40" t="str">
            <v xml:space="preserve">TELEVISOR LCD SAMSUNG DE 32 PULG </v>
          </cell>
        </row>
        <row r="41">
          <cell r="B41" t="str">
            <v>TELEVISOR LCD AOC DE 32 PULG</v>
          </cell>
        </row>
        <row r="42">
          <cell r="B42" t="str">
            <v>TELEVISION SONY 32 PULG LCD</v>
          </cell>
        </row>
        <row r="43">
          <cell r="B43" t="str">
            <v>TELEVISION PANASONIC DE 29 PULG</v>
          </cell>
        </row>
        <row r="44">
          <cell r="B44" t="str">
            <v>TELEVISION LG DE 29 PULG</v>
          </cell>
        </row>
        <row r="45">
          <cell r="B45" t="str">
            <v>DVD</v>
          </cell>
        </row>
        <row r="46">
          <cell r="B46" t="str">
            <v>Reproductor de DVD LG USB Y KARAOKE</v>
          </cell>
        </row>
        <row r="47">
          <cell r="B47" t="str">
            <v>Reproductor de DVD SAMSUNG</v>
          </cell>
        </row>
        <row r="48">
          <cell r="B48" t="str">
            <v>Reproductor de DVD+RW/+R, DVD-RW/-R, DVD + R DL, CD-R/RW, Super VCD, Video CD, CD Graphics, MP3, JPEG y Kodak Photo CD SONY</v>
          </cell>
        </row>
        <row r="50">
          <cell r="B50" t="str">
            <v>EQUIPOS DE SONIDO (PAQUETES)</v>
          </cell>
        </row>
        <row r="51">
          <cell r="B51" t="str">
            <v>SISTEMA DE SONIDO INTEGRADO, CONSOLA DE 4 CANALES, 2 BAFLES DE 10" 2 EXTENSIONES DE 10MTS. MIC INALAMBRICO, MIC ALAMBRICO, REGULADOR DE VOLTAJE</v>
          </cell>
        </row>
        <row r="52">
          <cell r="B52" t="str">
            <v>CONSOLA DE 8 CANALES, 2 BAFLES DE 15" 2 EXTENSIONES DE 10MTS. MIC INALAMBRICO, MIC ALAMBRICO, REGULADOR DE VOLTAJE</v>
          </cell>
        </row>
        <row r="53">
          <cell r="B53" t="str">
            <v>CONSOLA DE 8 CANALES, 2 BAFLES DOBLES DE 15", 2 EXTENSIONES DE 10MTS, JUEGO DE MICS INALAMBRICOS, MIC. ALAMBRICO, REGULADOR DE VOLTAJE</v>
          </cell>
        </row>
        <row r="54">
          <cell r="B54" t="str">
            <v>CONSOLA DE 8 CANALES, 2 BAFLES DE 15", 2 PEDESTALES PARA BAFLE, 2 EXTENSIONES DE 10MTS, JUEGO DE MICS INALAMBRICOS, MIC. ALAMBRICO, PEDESTALES PARA 2 MICS, MIC DE DIADEMA Y SOLAPA, REGULADOR DE VOLTAJE</v>
          </cell>
        </row>
        <row r="56">
          <cell r="B56" t="str">
            <v>COPIADORAS</v>
          </cell>
        </row>
        <row r="57">
          <cell r="B57" t="str">
            <v>COPIADORA KYOSERA 1500LA 15 PAGS POR MINUTO, CHAROLA PARA 250H, CARTA Y OFICIO AMPLIACION 200% Y REDUCCION AL 50%  ACETATO, RENDIMIENTO DE TONER 7,000 A 10,000 PAG</v>
          </cell>
        </row>
        <row r="58">
          <cell r="B58" t="str">
            <v>MULTIFUNCIONAL LASER CANON IMAGE CLASS MF6540 24PPM, CHAROLA PARA 250H, CARTA OFICIO AMP RED</v>
          </cell>
        </row>
        <row r="59">
          <cell r="B59" t="str">
            <v>COPIADORA RICOH 1500, 15 COPIAS POR MINUTO, CHAROLA PARA 250H, BYPASS PARA OFICIO, CARTA DOBLE CARTA, AMPLIACION 250% Y REDUCCION AL 33%, ACETATO, RENDIMIENTO DE TONER 9000 HOJAS PROMEDIO</v>
          </cell>
        </row>
        <row r="60">
          <cell r="B60" t="str">
            <v>CAÑONES</v>
          </cell>
        </row>
        <row r="61">
          <cell r="B61" t="str">
            <v xml:space="preserve">PROYECTOR SONY ES5 SVGA, 2000 L+M, PC,MAC Y VIDEO </v>
          </cell>
        </row>
        <row r="62">
          <cell r="B62" t="str">
            <v xml:space="preserve">PROYECTOR SONY EX5 SVGA, 2200 L+M, PC,MAC Y VIDEO </v>
          </cell>
        </row>
        <row r="63">
          <cell r="B63" t="str">
            <v>PROYECTOR BENQ MP512 SVGA DLP 2200 LUM 2000:1 2.7K 4000HRS</v>
          </cell>
        </row>
        <row r="64">
          <cell r="B64" t="str">
            <v>PROYECTOR BENQ MP513 SVGA DLP 2500 LUM 2000:1 2.7K 4000HRS</v>
          </cell>
        </row>
        <row r="65">
          <cell r="B65" t="str">
            <v xml:space="preserve">PROYECTOR IN2102, 2500 LUM/DLP SVGA/BRILLIANT COLOR </v>
          </cell>
        </row>
        <row r="66">
          <cell r="B66" t="str">
            <v>LAMPARA PARA VIDEOPROYECTOR INFOCUS IN24</v>
          </cell>
        </row>
        <row r="67">
          <cell r="B67" t="str">
            <v>LAMPARA PARA VIDEOPROYECTOR BENQ MP512</v>
          </cell>
        </row>
        <row r="68">
          <cell r="B68" t="str">
            <v>LAMPARA PARA VIDEOPROYECTOR SONY VPLHS1</v>
          </cell>
        </row>
        <row r="70">
          <cell r="B70" t="str">
            <v xml:space="preserve">MEMORIAS USB &amp; SD </v>
          </cell>
        </row>
        <row r="71">
          <cell r="B71" t="str">
            <v>Dispositivo de Almacenamiento Externo, 1.0GB, 2.0</v>
          </cell>
        </row>
        <row r="72">
          <cell r="B72" t="str">
            <v>Dispositivo de Almacenamiento Externo, 2.0GB, 2.0</v>
          </cell>
        </row>
        <row r="73">
          <cell r="B73" t="str">
            <v>Dispositivo de Almacenamiento Externo, 4.0GB, 2.0</v>
          </cell>
        </row>
        <row r="74">
          <cell r="B74" t="str">
            <v>SECURE DIGITAL Tarjeta de 1.0 GB para Camaras Digitales, MP3's Players, GPS, Teléfonos…</v>
          </cell>
        </row>
        <row r="75">
          <cell r="B75" t="str">
            <v>SECURE DIGITAL Tarjeta de 2.0 GB para Camaras Digitales, MP3's Players, GPS, Teléfonos…</v>
          </cell>
        </row>
        <row r="76">
          <cell r="B76" t="str">
            <v>MICRO SECURE DIGITAL Tarjeta de 1 GB para Camaras Digitales, MP3's Players, GPS, Teléfonos…</v>
          </cell>
        </row>
        <row r="77">
          <cell r="B77" t="str">
            <v>EQUIPO DE OFICINA</v>
          </cell>
        </row>
        <row r="78">
          <cell r="B78" t="str">
            <v>ARCHIVERO METALICO DE 4 GAVETAS COLOR ARENA</v>
          </cell>
        </row>
        <row r="79">
          <cell r="B79" t="str">
            <v>ARCHIVERO METALICO DE 4 GAVETAS COLOR GRIS</v>
          </cell>
        </row>
        <row r="80">
          <cell r="B80" t="str">
            <v>ARCHIVERO METALICO DE 3 GAVETAS COLOR ARENA</v>
          </cell>
        </row>
        <row r="81">
          <cell r="B81" t="str">
            <v>ARCHIVERO METALICO DE 3 GAVETAS COLOR GRIS</v>
          </cell>
        </row>
        <row r="82">
          <cell r="B82" t="str">
            <v>ARCHIVERO METALICO DE 2 GAVETAS COLOR ARENA</v>
          </cell>
        </row>
        <row r="83">
          <cell r="B83" t="str">
            <v>ARCHIVERO METALICO DE 2 GAVETAS COLOR GRIS</v>
          </cell>
        </row>
        <row r="85">
          <cell r="B85" t="str">
            <v>ARCHIVERO MELAMINA DE 16MM DE 4 GAVETAS COLOR GRAFITO</v>
          </cell>
        </row>
        <row r="86">
          <cell r="B86" t="str">
            <v>ARCHIVERO MELAMINA DE 16MM DE 4 GAVETAS COLOR CAOBA</v>
          </cell>
        </row>
        <row r="87">
          <cell r="B87" t="str">
            <v>ARCHIVERO MELAMINA DE 16MM DE 3 GAVETAS COLOR GRAFITO</v>
          </cell>
        </row>
        <row r="88">
          <cell r="B88" t="str">
            <v>ARCHIVERO MELAMINA DE 16MM DE 3 GAVETAS COLOR CAOBA</v>
          </cell>
        </row>
        <row r="89">
          <cell r="B89" t="str">
            <v>ARCHIVERO MELAMINA DE 16MM DE 2 GAVETAS COLOR GRAFITO</v>
          </cell>
        </row>
        <row r="90">
          <cell r="B90" t="str">
            <v>ARCHIVERO MELAMINA DE 16MM DE 2 GAVETAS COLOR CAOBA</v>
          </cell>
        </row>
        <row r="92">
          <cell r="B92" t="str">
            <v>LOCKER DEPORTIVO 2 PUERTAS COLOR ARENA</v>
          </cell>
        </row>
        <row r="93">
          <cell r="B93" t="str">
            <v>LOCKER DEPORTIVO 2 PUERTAS COLOR GRIS</v>
          </cell>
        </row>
        <row r="94">
          <cell r="B94" t="str">
            <v>LOCKER DEPORTIVO 3 PUERTAS COLOR ARENA</v>
          </cell>
        </row>
        <row r="95">
          <cell r="B95" t="str">
            <v>LOCKER DEPORTIVO 3 PUERTAS COLOR GRIS</v>
          </cell>
        </row>
        <row r="96">
          <cell r="B96" t="str">
            <v>LOCKER DEPORTIVO 4 PUERTAS COLOR ARENA</v>
          </cell>
        </row>
        <row r="97">
          <cell r="B97" t="str">
            <v>LOCKER DEPORTIVO 4 PUERTAS COLOR GRIS</v>
          </cell>
        </row>
        <row r="98">
          <cell r="B98" t="str">
            <v>LOCKER DEPORTIVO 5 PUERTAS COLOR ARENA</v>
          </cell>
        </row>
        <row r="99">
          <cell r="B99" t="str">
            <v>LOCKER DEPORTIVO 5 PUERTAS COLOR GRIS</v>
          </cell>
        </row>
        <row r="101">
          <cell r="B101" t="str">
            <v>GABINETE UNIVERSAL DE 1.50MTS DE ALTO 2 ENTREPAÑOS COLOR ARENA</v>
          </cell>
        </row>
        <row r="102">
          <cell r="B102" t="str">
            <v>GABINETE UNIVERSAL DE 1.80MTS DE ALTO 3 ENTREPAÑOS COLOR ARENA</v>
          </cell>
        </row>
        <row r="105">
          <cell r="B105" t="str">
            <v>ESCRITORIO MELAMINA DE 16MM DE 1.20 X 0.60 MTS CON DOS CAJONES LAPICERA Y OFICIO COLOR GRAFITO</v>
          </cell>
        </row>
        <row r="106">
          <cell r="B106" t="str">
            <v>ESCRITORIO MELAMINA DE 16MM DE 1.20 X 0.60 MTS CON DOS CAJONES LAPICERA Y OFICIO COLOR CAOBA</v>
          </cell>
        </row>
        <row r="107">
          <cell r="B107" t="str">
            <v>ESCRITORIO MELAMINA DE 16MM DE 1.40 X 0.75 MTS CON DOS CAJONES LAPICERA Y OFICIO COLOR GRAFITO</v>
          </cell>
        </row>
        <row r="108">
          <cell r="B108" t="str">
            <v>ESCRITORIO MELAMINA DE 16MM DE 1.40 X 0.75 MTS CON DOS CAJONES LAPICERA Y OFICIO COLOR CAOBA</v>
          </cell>
        </row>
        <row r="109">
          <cell r="B109" t="str">
            <v>ESCRITORIO MELAMINA DE 16MM DE 1.60 X 0.75 MTS CON DOS CAJONES LAPICERA Y OFICIO COLOR GRAFITO</v>
          </cell>
        </row>
        <row r="110">
          <cell r="B110" t="str">
            <v>ESCRITORIO MELAMINA DE 16MM DE 1.60 X 0.75 MTS CON DOS CAJONES LAPICERA Y OFICIO COLOR CAOBA</v>
          </cell>
        </row>
        <row r="111">
          <cell r="B111" t="str">
            <v>ESCRITORIO SUB-EJECUTIVO MELAMINA DE 16MM DE 1.60 X 0.75 MTS CON DOBLE CAJONERA LAPICERA Y OFICIO COLOR GRAFITO</v>
          </cell>
        </row>
        <row r="112">
          <cell r="B112" t="str">
            <v>ESCRITORIO SUB-EJECUTIVO MELAMINA DE 16MM DE 1.60 X 0.75 MTS CON DOBLE CAJONERA LAPICERA Y OFICIO COLOR CAOBA</v>
          </cell>
        </row>
        <row r="113">
          <cell r="B113" t="str">
            <v>ESCRITORIO EJECUTIVO MELAMINA DE 16MM DE 1.80 X 0.80 MTS CON DOBLE CAJONERA LAPICERA Y OFICIO COLOR GRAFITO</v>
          </cell>
        </row>
        <row r="114">
          <cell r="B114" t="str">
            <v>ESCRITORIO EJECUTIVO MELAMINA DE 16MM DE 1.80 X 0.80 MTS CON DOBLE CAJONERA LAPICERA Y OFICIO COLOR CAOBA</v>
          </cell>
        </row>
        <row r="115">
          <cell r="B115" t="str">
            <v xml:space="preserve">LIBRERO INDIVIDUAL DE 1.80MTS X 0.80 X 0.30 CON 4 ENTREPAÑOS COLOR GRAFITO </v>
          </cell>
        </row>
        <row r="116">
          <cell r="B116" t="str">
            <v>LIBRERO INDIVIDUAL DE 1.80MTS X 0.80 X 0.30 CON 4 ENTREPAÑOS COLOR CAOBA</v>
          </cell>
        </row>
        <row r="117">
          <cell r="B117" t="str">
            <v>CREDENZA EJECUTIVA DE 1.80MTS X 1.55 X 0.30 CON LIBRERO</v>
          </cell>
        </row>
        <row r="118">
          <cell r="B118" t="str">
            <v>MESA DE TRABAJO DE 1.20 X 0.60 COLOR GRAFITO</v>
          </cell>
        </row>
        <row r="119">
          <cell r="B119" t="str">
            <v>MESA DE TRABAJO DE 1.20 X 0.60 COLOR CAOBA</v>
          </cell>
        </row>
        <row r="120">
          <cell r="B120" t="str">
            <v>MESA DE TRABAJO DE 1.50 X 0.75 COLOR GRAFITO</v>
          </cell>
        </row>
        <row r="121">
          <cell r="B121" t="str">
            <v>MESA DE TRABAJO DE 1.50 X 0.75 COLOR CAOBA</v>
          </cell>
        </row>
        <row r="122">
          <cell r="B122" t="str">
            <v>MESA DE TRABAJO DE 1.80 X 0.80 COLOR GRAFITO</v>
          </cell>
        </row>
        <row r="123">
          <cell r="B123" t="str">
            <v>MESA DE TRABAJO DE 1.80 X 0.80 COLOR CAOBA</v>
          </cell>
        </row>
        <row r="124">
          <cell r="B124" t="str">
            <v>SILLA PLEGABLE METALICA TIPO FIESTAS</v>
          </cell>
        </row>
        <row r="125">
          <cell r="B125" t="str">
            <v>EQUIPO DE OFICINA</v>
          </cell>
        </row>
        <row r="126">
          <cell r="B126" t="str">
            <v>SILLA PLEGABLE METALICA CON ASIENTO Y RESPALDO DE PLASTICO</v>
          </cell>
        </row>
        <row r="127">
          <cell r="B127" t="str">
            <v>SILLA ACOJINADA TIPO VISITANTE FORRO EN TELA COLOR NEGRO LINEA ECONOMICA</v>
          </cell>
        </row>
        <row r="128">
          <cell r="B128" t="str">
            <v>SILLA ACOJINADA TIPO VISITANTE FORRO EN TELA COLOR TINTO LINEA ECONOMICA</v>
          </cell>
        </row>
        <row r="129">
          <cell r="B129" t="str">
            <v>SILLA ACOJINADA TIPO VISITANTE FORRO EN TELA COLOR AZUL ELECTRICO LINEA ECONOMICA</v>
          </cell>
        </row>
        <row r="130">
          <cell r="B130" t="str">
            <v>SILLA ACOJINADA TIPO VISITANTE FORRO EN TELA COLOR NEGRO LINEA HERGONOMICA</v>
          </cell>
        </row>
        <row r="131">
          <cell r="B131" t="str">
            <v>SILLA ACOJINADA TIPO VISITANTE FORRO EN TELA COLOR TINTO LINEA HERGONOMICA</v>
          </cell>
        </row>
        <row r="132">
          <cell r="B132" t="str">
            <v>SILLA ACOJINADA TIPO VISITANTE FORRO EN TELA COLOR AZUL ELECTRICO LINEA HERGONOMICA</v>
          </cell>
        </row>
        <row r="133">
          <cell r="B133" t="str">
            <v>ESTANTE DE 2.20MTS CON 5 CHAROLAS DE 0.85 X 0.30 METALICO INCLUYE TORNILLOS</v>
          </cell>
        </row>
        <row r="134">
          <cell r="B134" t="str">
            <v>ESTANTE DE 1.10MTS CON 3 CHAROLAS DE 0.85 X 0.30 METALICO INCLUYE TORNILLOS</v>
          </cell>
        </row>
        <row r="135">
          <cell r="B135" t="str">
            <v>PINTARRONES &amp; MARCADORES</v>
          </cell>
        </row>
        <row r="136">
          <cell r="B136" t="str">
            <v>PINTARRON ESCOBOARD MARCO DE ALUMINIO DE 1.20 X .90</v>
          </cell>
        </row>
        <row r="137">
          <cell r="B137" t="str">
            <v>PINTARRON ESCOBOARD MARCO DE ALUMINIO DE 1.80 X 1.20</v>
          </cell>
        </row>
        <row r="138">
          <cell r="B138" t="str">
            <v>PINTARRON ESCOBOARD MARCO DE ALUMINIO DE 2.40 X 1.20</v>
          </cell>
        </row>
        <row r="139">
          <cell r="B139" t="str">
            <v>ROTAFOLIO ESCO CUADRUPLE EMBUTIBLE FIJO UNA CARA 1.75 X 60 X 90</v>
          </cell>
        </row>
        <row r="140">
          <cell r="B140" t="str">
            <v>MARCADOR DE TINTA FUGAZ MAGISTRAL PUNTA DE CINCEL COLOR NEGRO</v>
          </cell>
        </row>
        <row r="141">
          <cell r="B141" t="str">
            <v>MARCADOR DE TINTA FUGAZ MAGISTRAL PUNTA DE CINCEL COLOR ROJO</v>
          </cell>
        </row>
        <row r="142">
          <cell r="B142" t="str">
            <v>MARCADOR DE TINTA FUGAZ MAGISTRAL PUNTA DE CINCEL COLOR VERDE</v>
          </cell>
        </row>
        <row r="143">
          <cell r="B143" t="str">
            <v>MARCADOR DE TINTA FUGAZ MAGISTRAL PUNTA DE CINCEL COLOR AZUL</v>
          </cell>
        </row>
        <row r="144">
          <cell r="B144" t="str">
            <v>BORRADOR PARA PIZARRON BLANCO Y VERDE BASE MADERA DE 12MM Y FIELTRO DE 6MM</v>
          </cell>
        </row>
        <row r="145">
          <cell r="B145" t="str">
            <v>LIMPIAPIZARRON DE 120ML ELIMINA MANCHAS, Y RESIDUOS DE CUALQUIER TINTA DE MARCADOR</v>
          </cell>
        </row>
        <row r="147">
          <cell r="B147" t="str">
            <v>CONCEPTOS VARIOS</v>
          </cell>
        </row>
        <row r="148">
          <cell r="B148" t="str">
            <v>CAJA DE HOJAS TAMAÑO CARTA CON 5000H</v>
          </cell>
        </row>
        <row r="149">
          <cell r="B149" t="str">
            <v>PAQUETE DE 500H TAMANO CARTA</v>
          </cell>
        </row>
        <row r="150">
          <cell r="B150" t="str">
            <v>CAJA DE HOJAS TAMAÑO OFICIO CON 5000H</v>
          </cell>
        </row>
        <row r="151">
          <cell r="B151" t="str">
            <v>PAQUETE DE 500H TAMANO OFICIO</v>
          </cell>
        </row>
        <row r="152">
          <cell r="B152" t="str">
            <v>PAPEL BOND BLANCO PAQUETE CON 100 PZAS.</v>
          </cell>
        </row>
        <row r="153">
          <cell r="B153" t="str">
            <v>PAPEL BOND CUADRICULADO PAQUETE CON 100 PZAS.</v>
          </cell>
        </row>
        <row r="154">
          <cell r="B154" t="str">
            <v>CARTULINA BLANCA PAQUETE CON 25 PZAS</v>
          </cell>
        </row>
        <row r="155">
          <cell r="B155" t="str">
            <v>CARTULINA DE COLORES PAQUETE CON 25 PZAS</v>
          </cell>
        </row>
        <row r="156">
          <cell r="B156" t="str">
            <v>MANTENIMIENTO A EQUIPO DE COMPUTO INCLUYE LIMPIEZA FISICA Y LOGICA O REINSTALACION DE S.O.</v>
          </cell>
        </row>
        <row r="157">
          <cell r="B157" t="str">
            <v>VENTILADOR DE PEDESTAL CICLONE</v>
          </cell>
        </row>
        <row r="158">
          <cell r="B158" t="str">
            <v>VENTILADOR DE PISO CICLONE</v>
          </cell>
        </row>
        <row r="159">
          <cell r="B159" t="str">
            <v>VENTILADOR DE TECHO TIPO HOTELERO CON 5 VELOCIDADES</v>
          </cell>
        </row>
        <row r="160">
          <cell r="B160" t="str">
            <v>SOPORTE UNIVERSAL DE TELEVISION DE 21 HASTA 29 PULG. Y DVD O VHS</v>
          </cell>
        </row>
        <row r="161">
          <cell r="B161" t="str">
            <v>DESPACHADOR DE AGUA HAMILTON BEACH FRIA Y CALIENTE</v>
          </cell>
        </row>
        <row r="163">
          <cell r="B163" t="str">
            <v>CONSUMIBLES DE IMPRESORA MAS COMUNES</v>
          </cell>
        </row>
        <row r="164">
          <cell r="B164" t="str">
            <v>CARTUCHO DE TINTA NEGRO DESKJET 3930,3940 PSC 1410 HP 21  (C9351AL)</v>
          </cell>
        </row>
        <row r="165">
          <cell r="B165" t="str">
            <v>CARTUCHO DE TINTA TRICOLOR DESKJET 3930,3940 PSC 1410 HP 22 (C9352AL)</v>
          </cell>
        </row>
        <row r="166">
          <cell r="B166" t="str">
            <v>CARTUCHO DE TINTA NEGRO DESKJET 3320 3420 3490  HP 27 (C8727AL)</v>
          </cell>
        </row>
        <row r="167">
          <cell r="B167" t="str">
            <v>CARTUCHO DE TINTA TRICOLOR DESKJET 3320 3420 3490 HP 28 (C8728AL)</v>
          </cell>
        </row>
        <row r="168">
          <cell r="B168" t="str">
            <v>CARTUCHO DE TINTA NEGRO DESKJET 550 PSC 1210 1350 HP 56 (C6656AL)</v>
          </cell>
        </row>
        <row r="169">
          <cell r="B169" t="str">
            <v>CARTUCHO DE TINTA TRICOLOR DESKJET 550 PSC 1210 1350 HP 57 (C6657AL)</v>
          </cell>
        </row>
        <row r="170">
          <cell r="B170" t="str">
            <v>TONER NEGRO PARA LASERJET 1012 1018 1020 1022 PARA 2000PAG  (Q2612A)</v>
          </cell>
        </row>
        <row r="171">
          <cell r="B171" t="str">
            <v>TONER NEGRO PARA LASERJET 1200 1000 PARA 2500PAG (Q7115A)</v>
          </cell>
        </row>
        <row r="173">
          <cell r="B173" t="str">
            <v>GRABADORAS</v>
          </cell>
        </row>
        <row r="174">
          <cell r="B174" t="str">
            <v xml:space="preserve">Radiograbadora FM/AM con CD, Reproductor MP3 </v>
          </cell>
        </row>
        <row r="175">
          <cell r="B175" t="str">
            <v>Radiograbadora FM/AM con CD, Casetera y Reproductor MP3 XPLOD</v>
          </cell>
        </row>
        <row r="176">
          <cell r="B176" t="str">
            <v>Radio Sony FM/AM con CD y Reproductor MP3 USB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O"/>
      <sheetName val="IRAPUATO"/>
      <sheetName val="ANEXO 5 GASTOS INGRESOS"/>
      <sheetName val="conciliacion"/>
      <sheetName val="poliza"/>
      <sheetName val="orden de compra"/>
      <sheetName val="ESTADO DE CTA"/>
      <sheetName val="ANEXOS"/>
    </sheetNames>
    <sheetDataSet>
      <sheetData sheetId="0">
        <row r="6">
          <cell r="A6" t="str">
            <v>11DJN0564S</v>
          </cell>
          <cell r="B6" t="str">
            <v>01648017142</v>
          </cell>
          <cell r="C6" t="str">
            <v>11DJN0564S</v>
          </cell>
          <cell r="D6" t="str">
            <v>JOSE VASCONCELOS</v>
          </cell>
          <cell r="E6" t="str">
            <v>RAMIREZ ARIAS GEORGINA</v>
          </cell>
          <cell r="F6" t="str">
            <v>I-01</v>
          </cell>
        </row>
        <row r="7">
          <cell r="A7" t="str">
            <v>11DML0006F</v>
          </cell>
          <cell r="B7" t="str">
            <v>01648017185</v>
          </cell>
          <cell r="C7" t="str">
            <v>11DML0006F</v>
          </cell>
          <cell r="D7" t="str">
            <v>CAM IRAPUATO</v>
          </cell>
          <cell r="E7" t="str">
            <v>LUNA VARGAS MANUELA</v>
          </cell>
          <cell r="F7" t="str">
            <v>I-02</v>
          </cell>
        </row>
        <row r="8">
          <cell r="A8" t="str">
            <v>11DPR0406T</v>
          </cell>
          <cell r="B8" t="str">
            <v>01648017193</v>
          </cell>
          <cell r="C8" t="str">
            <v>11DPR0406T</v>
          </cell>
          <cell r="D8" t="str">
            <v>EL NIGROMANTE</v>
          </cell>
          <cell r="E8" t="str">
            <v>PETATAN RODRIGUEZ TOMÁS FELIX</v>
          </cell>
          <cell r="F8" t="str">
            <v>I-03</v>
          </cell>
        </row>
        <row r="9">
          <cell r="A9" t="str">
            <v>11DPR0998V</v>
          </cell>
          <cell r="B9" t="str">
            <v>01648018327</v>
          </cell>
          <cell r="C9" t="str">
            <v>11DPR0998V</v>
          </cell>
          <cell r="D9" t="str">
            <v>GRAL VICENTE GUERRERO SALDANA</v>
          </cell>
          <cell r="E9" t="str">
            <v>CASTRO AVILA JOSE ADOLFO</v>
          </cell>
          <cell r="F9" t="str">
            <v>I-04</v>
          </cell>
        </row>
        <row r="10">
          <cell r="A10" t="str">
            <v>11DPR1127P</v>
          </cell>
          <cell r="B10" t="str">
            <v>01648017215</v>
          </cell>
          <cell r="C10" t="str">
            <v>11DPR1127P</v>
          </cell>
          <cell r="D10" t="str">
            <v>JUSTO SIERRA</v>
          </cell>
          <cell r="E10" t="str">
            <v>GARCIA RIVERA ANGELICA</v>
          </cell>
          <cell r="F10" t="str">
            <v>I-05</v>
          </cell>
        </row>
        <row r="11">
          <cell r="A11" t="str">
            <v>11DPR1487A</v>
          </cell>
          <cell r="B11" t="str">
            <v>01648017258</v>
          </cell>
          <cell r="C11" t="str">
            <v>11DPR1487A</v>
          </cell>
          <cell r="D11" t="str">
            <v>JOSE MARIA MORELOS</v>
          </cell>
          <cell r="E11" t="str">
            <v>ORTIZ HERNANDEZ OLGA</v>
          </cell>
          <cell r="F11" t="str">
            <v>I-06</v>
          </cell>
        </row>
        <row r="12">
          <cell r="A12" t="str">
            <v>11DPR1513I</v>
          </cell>
          <cell r="B12" t="str">
            <v>01648017290</v>
          </cell>
          <cell r="C12" t="str">
            <v>11DPR1513I</v>
          </cell>
          <cell r="D12" t="str">
            <v>MIGUEL HIDALGO</v>
          </cell>
          <cell r="E12" t="str">
            <v xml:space="preserve">BAÑUELOS TALABERA ROSA CARMEN </v>
          </cell>
          <cell r="F12" t="str">
            <v>I-07</v>
          </cell>
        </row>
        <row r="13">
          <cell r="A13" t="str">
            <v>11DPR1648X</v>
          </cell>
          <cell r="B13" t="str">
            <v>01648017401</v>
          </cell>
          <cell r="C13" t="str">
            <v>11DPR1648X</v>
          </cell>
          <cell r="D13" t="str">
            <v>MARTIRES DE CANANEA</v>
          </cell>
          <cell r="E13" t="str">
            <v>GARCIA BALTIERRA MARCELINO ENRIQUE</v>
          </cell>
          <cell r="F13" t="str">
            <v>I-08</v>
          </cell>
        </row>
        <row r="14">
          <cell r="A14" t="str">
            <v>11DPR2665U</v>
          </cell>
          <cell r="B14" t="str">
            <v>01648017460</v>
          </cell>
          <cell r="C14" t="str">
            <v>11DPR2665U</v>
          </cell>
          <cell r="D14" t="str">
            <v>HERMANOS FLORES MAGON</v>
          </cell>
          <cell r="E14" t="str">
            <v>BORJA MACIAS VERONICA</v>
          </cell>
          <cell r="F14" t="str">
            <v>I-09</v>
          </cell>
        </row>
        <row r="15">
          <cell r="A15" t="str">
            <v>11DPR2694P</v>
          </cell>
          <cell r="B15" t="str">
            <v>01648017517</v>
          </cell>
          <cell r="C15" t="str">
            <v>11DPR2694P</v>
          </cell>
          <cell r="D15" t="str">
            <v>PRIMERO DE MAYO</v>
          </cell>
          <cell r="E15" t="str">
            <v>NAVARRO FRIAS MA. SOLEDAD</v>
          </cell>
          <cell r="F15" t="str">
            <v>I-10</v>
          </cell>
        </row>
        <row r="16">
          <cell r="A16" t="str">
            <v>11DPR2773B</v>
          </cell>
          <cell r="B16" t="str">
            <v>01648017541</v>
          </cell>
          <cell r="C16" t="str">
            <v>11DPR2773B</v>
          </cell>
          <cell r="D16" t="str">
            <v>AGUILUCHOS DE CHAPULTEPEC</v>
          </cell>
          <cell r="E16" t="str">
            <v>VELEZ TELLO ARMANDO</v>
          </cell>
          <cell r="F16" t="str">
            <v>I-11</v>
          </cell>
        </row>
        <row r="17">
          <cell r="A17" t="str">
            <v>11DPR3176L</v>
          </cell>
          <cell r="B17" t="str">
            <v>01648017576</v>
          </cell>
          <cell r="C17" t="str">
            <v>11DPR3176L</v>
          </cell>
          <cell r="D17" t="str">
            <v>JAIME NUNO</v>
          </cell>
          <cell r="E17" t="str">
            <v>GONZALEZ GAUCIN PORFIRIO</v>
          </cell>
          <cell r="F17" t="str">
            <v>I-12</v>
          </cell>
        </row>
        <row r="18">
          <cell r="A18" t="str">
            <v>11DPR3413X</v>
          </cell>
          <cell r="B18" t="str">
            <v>01648017584</v>
          </cell>
          <cell r="C18" t="str">
            <v>11DPR3413X</v>
          </cell>
          <cell r="D18" t="str">
            <v>CUITLAHUAC</v>
          </cell>
          <cell r="E18" t="str">
            <v>SANCHEZ HERNANDEZ CONRADO</v>
          </cell>
          <cell r="F18" t="str">
            <v>I-13</v>
          </cell>
        </row>
        <row r="19">
          <cell r="A19" t="str">
            <v>11EJN0209A</v>
          </cell>
          <cell r="B19" t="str">
            <v>01648018386</v>
          </cell>
          <cell r="C19" t="str">
            <v>11EJN0209A</v>
          </cell>
          <cell r="D19" t="str">
            <v>CONVIVENCIA FAMILIAR</v>
          </cell>
          <cell r="E19" t="str">
            <v>VELARDE ALVAREZ IRMA</v>
          </cell>
          <cell r="F19" t="str">
            <v>I-14</v>
          </cell>
        </row>
        <row r="20">
          <cell r="A20" t="str">
            <v>11EPR0155D</v>
          </cell>
          <cell r="B20" t="str">
            <v>01648018009</v>
          </cell>
          <cell r="C20" t="str">
            <v>11EPR0155D</v>
          </cell>
          <cell r="D20" t="str">
            <v>MIGUEL HIDALGO</v>
          </cell>
          <cell r="E20" t="str">
            <v>GARCIA SAN JUAN PEDRO</v>
          </cell>
          <cell r="F20" t="str">
            <v>I-15</v>
          </cell>
        </row>
        <row r="21">
          <cell r="A21" t="str">
            <v>11EPR0780X</v>
          </cell>
          <cell r="B21" t="str">
            <v>01648017592</v>
          </cell>
          <cell r="C21" t="str">
            <v>11EPR0780X</v>
          </cell>
          <cell r="D21" t="str">
            <v>MAESTRA JUANA HIDALGO GOMEZ</v>
          </cell>
          <cell r="E21" t="str">
            <v>GUERRERO CARBAJAL GABRIEL</v>
          </cell>
          <cell r="F21" t="str">
            <v>I-16</v>
          </cell>
        </row>
        <row r="22">
          <cell r="A22" t="str">
            <v>11EPR0828Z</v>
          </cell>
          <cell r="B22" t="str">
            <v>01648017673</v>
          </cell>
          <cell r="C22" t="str">
            <v>11EPR0828Z</v>
          </cell>
          <cell r="D22" t="str">
            <v>LIBERTAD Y PROGRESO</v>
          </cell>
          <cell r="E22" t="str">
            <v>GARCIA REYES MARTHA LAURA</v>
          </cell>
          <cell r="F22" t="str">
            <v>I-17</v>
          </cell>
        </row>
        <row r="23">
          <cell r="A23" t="str">
            <v>11ETV0101Z</v>
          </cell>
          <cell r="B23" t="str">
            <v>01648017878</v>
          </cell>
          <cell r="C23" t="str">
            <v>11ETV0101Z</v>
          </cell>
          <cell r="D23" t="str">
            <v>TELESECUNDARIA 112</v>
          </cell>
          <cell r="E23" t="str">
            <v>GARCIA MEDEL RAMIRO</v>
          </cell>
          <cell r="F23" t="str">
            <v>I-18</v>
          </cell>
        </row>
        <row r="24">
          <cell r="A24" t="str">
            <v>11ETV0321K</v>
          </cell>
          <cell r="B24" t="str">
            <v>01648017916</v>
          </cell>
          <cell r="C24" t="str">
            <v>11ETV0321K</v>
          </cell>
          <cell r="D24" t="str">
            <v>TELESECUNDARIA 326</v>
          </cell>
          <cell r="E24" t="str">
            <v>QUINTERO ELIZARRARAS MA. GUADALUPE</v>
          </cell>
          <cell r="F24" t="str">
            <v>I-19</v>
          </cell>
        </row>
        <row r="25">
          <cell r="A25" t="str">
            <v>11ETV0421J</v>
          </cell>
          <cell r="B25" t="str">
            <v>01648018041</v>
          </cell>
          <cell r="C25" t="str">
            <v>11ETV0421J</v>
          </cell>
          <cell r="D25" t="str">
            <v>TELESECUNDARIA 404</v>
          </cell>
          <cell r="E25" t="str">
            <v>IBARRA GUTIERREZ JOAQUIN</v>
          </cell>
          <cell r="F25" t="str">
            <v>I-20</v>
          </cell>
        </row>
        <row r="26">
          <cell r="A26" t="str">
            <v>11ETV0780W</v>
          </cell>
          <cell r="B26" t="str">
            <v>01648018173</v>
          </cell>
          <cell r="C26" t="str">
            <v>11ETV0780W</v>
          </cell>
          <cell r="D26" t="str">
            <v>TELESECUNDARIA 780</v>
          </cell>
          <cell r="E26" t="str">
            <v>CALDERON MIRANDA ARTURO</v>
          </cell>
          <cell r="F26" t="str">
            <v>I-21</v>
          </cell>
        </row>
        <row r="27">
          <cell r="A27" t="str">
            <v>11DJN0870Z</v>
          </cell>
          <cell r="B27" t="str">
            <v>01648017444</v>
          </cell>
          <cell r="C27" t="str">
            <v>11DJN0870Z</v>
          </cell>
          <cell r="D27" t="str">
            <v>ALFREDO BERNARDO NOBEL</v>
          </cell>
          <cell r="E27" t="str">
            <v>DELGADO SALOMON MARIA ESPERANZA</v>
          </cell>
          <cell r="F27" t="str">
            <v>I-22</v>
          </cell>
        </row>
        <row r="28">
          <cell r="A28" t="str">
            <v>11DJN1057U</v>
          </cell>
          <cell r="B28" t="str">
            <v>01648017495</v>
          </cell>
          <cell r="C28" t="str">
            <v>11DJN1057U</v>
          </cell>
          <cell r="D28" t="str">
            <v>SIMON BOLIVAR</v>
          </cell>
          <cell r="E28" t="str">
            <v>LAGUNA GARCIA GUILLERMINA</v>
          </cell>
          <cell r="F28" t="str">
            <v>I-23</v>
          </cell>
        </row>
        <row r="29">
          <cell r="A29" t="str">
            <v>11DJN2618T</v>
          </cell>
          <cell r="B29" t="str">
            <v>01648017606</v>
          </cell>
          <cell r="C29" t="str">
            <v>11DJN2618T</v>
          </cell>
          <cell r="D29" t="str">
            <v>FRANCISCO GABILONDO SOLER</v>
          </cell>
          <cell r="E29" t="str">
            <v xml:space="preserve">REVILLA CAMPOS ALMA ROSA </v>
          </cell>
          <cell r="F29" t="str">
            <v>I-24</v>
          </cell>
        </row>
        <row r="30">
          <cell r="A30" t="str">
            <v>11EPR0124K</v>
          </cell>
          <cell r="B30" t="str">
            <v>01648017614</v>
          </cell>
          <cell r="C30" t="str">
            <v>11EPR0124K</v>
          </cell>
          <cell r="D30" t="str">
            <v>NACIONES UNIDAS</v>
          </cell>
          <cell r="E30" t="str">
            <v xml:space="preserve">MURILLO MENDOZA MA. JESÚS </v>
          </cell>
          <cell r="F30" t="str">
            <v>I-25</v>
          </cell>
        </row>
        <row r="31">
          <cell r="A31" t="str">
            <v>11EPR0129F</v>
          </cell>
          <cell r="B31" t="str">
            <v>01648017622</v>
          </cell>
          <cell r="C31" t="str">
            <v>11EPR0129F</v>
          </cell>
          <cell r="D31" t="str">
            <v>MIGUEL HIDALGO</v>
          </cell>
          <cell r="E31" t="str">
            <v>REYES ZARATE VIRGINIA</v>
          </cell>
          <cell r="F31" t="str">
            <v>I-26</v>
          </cell>
        </row>
        <row r="32">
          <cell r="A32" t="str">
            <v>11ETV0102Y</v>
          </cell>
          <cell r="B32" t="str">
            <v>01648017649</v>
          </cell>
          <cell r="C32" t="str">
            <v>11ETV0102Y</v>
          </cell>
          <cell r="D32" t="str">
            <v>TELESECUNDARIA 119</v>
          </cell>
          <cell r="E32" t="str">
            <v>FRAUSTO JARAMILLO ANTONIO</v>
          </cell>
          <cell r="F32" t="str">
            <v>I-27</v>
          </cell>
        </row>
        <row r="33">
          <cell r="A33" t="str">
            <v>11ETV0107T</v>
          </cell>
          <cell r="B33" t="str">
            <v>01648017657</v>
          </cell>
          <cell r="C33" t="str">
            <v>11ETV0107T</v>
          </cell>
          <cell r="D33" t="str">
            <v>TELESECUNDARIA 113</v>
          </cell>
          <cell r="E33" t="str">
            <v xml:space="preserve">FLORES NAVARRETE MA. CARMEN </v>
          </cell>
          <cell r="F33" t="str">
            <v>I-28</v>
          </cell>
        </row>
        <row r="34">
          <cell r="A34" t="str">
            <v>11DJN0100L</v>
          </cell>
          <cell r="B34" t="str">
            <v>01648017665</v>
          </cell>
          <cell r="C34" t="str">
            <v>11DJN0100L</v>
          </cell>
          <cell r="D34" t="str">
            <v>LEONA VICARIO</v>
          </cell>
          <cell r="E34" t="str">
            <v>GARCIA ARENAS MA. DE LOURDES</v>
          </cell>
          <cell r="F34" t="str">
            <v>I-29</v>
          </cell>
        </row>
        <row r="35">
          <cell r="A35" t="str">
            <v>11DPR0841V</v>
          </cell>
          <cell r="B35" t="str">
            <v>01648017681</v>
          </cell>
          <cell r="C35" t="str">
            <v>11DPR0841V</v>
          </cell>
          <cell r="D35" t="str">
            <v>GUADALUPE VICTORIA</v>
          </cell>
          <cell r="E35" t="str">
            <v>CABRERA ORTIZ JOSE ALFREDO</v>
          </cell>
          <cell r="F35" t="str">
            <v>I-30</v>
          </cell>
        </row>
        <row r="36">
          <cell r="A36" t="str">
            <v>11DPR0918T</v>
          </cell>
          <cell r="B36" t="str">
            <v>01648017711</v>
          </cell>
          <cell r="C36" t="str">
            <v>11DPR0918T</v>
          </cell>
          <cell r="D36" t="str">
            <v>ADOLFO LOPEZ MATEOS</v>
          </cell>
          <cell r="E36" t="str">
            <v>DIAZ RANGEL RAUL</v>
          </cell>
          <cell r="F36" t="str">
            <v>I-31</v>
          </cell>
        </row>
        <row r="37">
          <cell r="A37" t="str">
            <v>11DPR1231A</v>
          </cell>
          <cell r="B37" t="str">
            <v>01648017746</v>
          </cell>
          <cell r="C37" t="str">
            <v>11DPR1231A</v>
          </cell>
          <cell r="D37" t="str">
            <v>REVOLUCION</v>
          </cell>
          <cell r="E37" t="str">
            <v>LOPEZ SALAS MARIA DEL ROSARIO</v>
          </cell>
          <cell r="F37" t="str">
            <v>I-32</v>
          </cell>
        </row>
        <row r="38">
          <cell r="A38" t="str">
            <v>11DPR1485C</v>
          </cell>
          <cell r="B38" t="str">
            <v>01648017770</v>
          </cell>
          <cell r="C38" t="str">
            <v>11DPR1485C</v>
          </cell>
          <cell r="D38" t="str">
            <v>LAURO AGUIRRE</v>
          </cell>
          <cell r="E38" t="str">
            <v>ARELLANO NAVARRO JOSE LUIS</v>
          </cell>
          <cell r="F38" t="str">
            <v>I-33</v>
          </cell>
        </row>
        <row r="39">
          <cell r="A39" t="str">
            <v>11DPR1492M</v>
          </cell>
          <cell r="B39" t="str">
            <v>01648017827</v>
          </cell>
          <cell r="C39" t="str">
            <v>11DPR1492M</v>
          </cell>
          <cell r="D39" t="str">
            <v>FRANCISCO J MUJICA</v>
          </cell>
          <cell r="E39" t="str">
            <v>HERNANDEZ SIERRA MA. SOLEDAD</v>
          </cell>
          <cell r="F39" t="str">
            <v>I-34</v>
          </cell>
        </row>
        <row r="40">
          <cell r="A40" t="str">
            <v>11DPR1511K</v>
          </cell>
          <cell r="B40" t="str">
            <v>01648017851</v>
          </cell>
          <cell r="C40" t="str">
            <v>11DPR1511K</v>
          </cell>
          <cell r="D40" t="str">
            <v>MIGUEL HIDALGO</v>
          </cell>
          <cell r="E40" t="str">
            <v>JARAMILLO LEON ALICIA</v>
          </cell>
          <cell r="F40" t="str">
            <v>I-35</v>
          </cell>
        </row>
        <row r="41">
          <cell r="A41" t="str">
            <v>11DPR1992H</v>
          </cell>
          <cell r="B41" t="str">
            <v>01648017886</v>
          </cell>
          <cell r="C41" t="str">
            <v>11DPR1992H</v>
          </cell>
          <cell r="D41" t="str">
            <v>IGNACIO ALLENDE</v>
          </cell>
          <cell r="E41" t="str">
            <v>NAVARRO SANTOYO DELFINO</v>
          </cell>
          <cell r="F41" t="str">
            <v>I-36</v>
          </cell>
        </row>
        <row r="42">
          <cell r="A42" t="str">
            <v>11DPR2058Q</v>
          </cell>
          <cell r="B42" t="str">
            <v>01648017894</v>
          </cell>
          <cell r="C42" t="str">
            <v>11DPR2058Q</v>
          </cell>
          <cell r="D42" t="str">
            <v>VALENTIN GOMEZ FARIAS</v>
          </cell>
          <cell r="E42" t="str">
            <v>AGUILAR MALDONADO RENE IRAN</v>
          </cell>
          <cell r="F42" t="str">
            <v>I-37</v>
          </cell>
        </row>
        <row r="43">
          <cell r="A43" t="str">
            <v>11DPR2075G</v>
          </cell>
          <cell r="B43" t="str">
            <v>01648017908</v>
          </cell>
          <cell r="C43" t="str">
            <v>11DPR2075G</v>
          </cell>
          <cell r="D43" t="str">
            <v>PDTE SALVADOR ALLENDE</v>
          </cell>
          <cell r="E43" t="str">
            <v xml:space="preserve">MORALES  GALVAN MA. TERESA GUILLERMINA </v>
          </cell>
          <cell r="F43" t="str">
            <v>I-38</v>
          </cell>
        </row>
        <row r="44">
          <cell r="A44" t="str">
            <v>11EPR0135Q</v>
          </cell>
          <cell r="B44" t="str">
            <v>01648017924</v>
          </cell>
          <cell r="C44" t="str">
            <v>11EPR0135Q</v>
          </cell>
          <cell r="D44" t="str">
            <v>MARINA E DE NASSAR</v>
          </cell>
          <cell r="E44" t="str">
            <v>GONZALEZ FLORES JUAN JOSE</v>
          </cell>
          <cell r="F44" t="str">
            <v>I-39</v>
          </cell>
        </row>
        <row r="45">
          <cell r="A45" t="str">
            <v>11EPR0603T</v>
          </cell>
          <cell r="B45" t="str">
            <v>01648017932</v>
          </cell>
          <cell r="C45" t="str">
            <v>11EPR0603T</v>
          </cell>
          <cell r="D45" t="str">
            <v>RAFAEL BARBA PEREZ</v>
          </cell>
          <cell r="E45" t="str">
            <v>MORALES GALVAN MA. TERESA GUILLERMINA</v>
          </cell>
          <cell r="F45" t="str">
            <v>I-40</v>
          </cell>
        </row>
        <row r="46">
          <cell r="A46" t="str">
            <v>11ETV0002Z</v>
          </cell>
          <cell r="B46" t="str">
            <v>01648017959</v>
          </cell>
          <cell r="C46" t="str">
            <v>11ETV0002Z</v>
          </cell>
          <cell r="D46" t="str">
            <v>TELESECUNDARIA 19</v>
          </cell>
          <cell r="E46" t="str">
            <v>DUARTE MENDOZA JOSE ALBINO</v>
          </cell>
          <cell r="F46" t="str">
            <v>I-41</v>
          </cell>
        </row>
        <row r="47">
          <cell r="A47" t="str">
            <v>11ETV0100Z</v>
          </cell>
          <cell r="B47" t="str">
            <v>01648017975</v>
          </cell>
          <cell r="C47" t="str">
            <v>11ETV0100Z</v>
          </cell>
          <cell r="D47" t="str">
            <v>TELESECUNDARIA 118</v>
          </cell>
          <cell r="E47" t="str">
            <v>VELAZQUEZ RANGEL JOSE PAZ GABRIEL</v>
          </cell>
          <cell r="F47" t="str">
            <v>I-42</v>
          </cell>
        </row>
        <row r="48">
          <cell r="A48" t="str">
            <v>11ETV0108S</v>
          </cell>
          <cell r="B48" t="str">
            <v>01648017630</v>
          </cell>
          <cell r="C48" t="str">
            <v>11ETV0108S</v>
          </cell>
          <cell r="D48" t="str">
            <v>TELESECUNDARIA 107</v>
          </cell>
          <cell r="E48" t="str">
            <v>TOLEDO VALENCIA MA. SOLEDAD</v>
          </cell>
          <cell r="F48" t="str">
            <v>I-43</v>
          </cell>
        </row>
        <row r="49">
          <cell r="A49" t="str">
            <v>11ETV0110G</v>
          </cell>
          <cell r="B49" t="str">
            <v>01648017703</v>
          </cell>
          <cell r="C49" t="str">
            <v>11ETV0110G</v>
          </cell>
          <cell r="D49" t="str">
            <v>TELESECUNDARIA 120</v>
          </cell>
          <cell r="E49" t="str">
            <v>RODRIGUEZ ESTRADA JORGE</v>
          </cell>
          <cell r="F49" t="str">
            <v>I-44</v>
          </cell>
        </row>
        <row r="50">
          <cell r="A50" t="str">
            <v>11ETV0111F</v>
          </cell>
          <cell r="B50" t="str">
            <v>01648017738</v>
          </cell>
          <cell r="C50" t="str">
            <v>11ETV0111F</v>
          </cell>
          <cell r="D50" t="str">
            <v>TELESECUNDARIA 108</v>
          </cell>
          <cell r="E50" t="str">
            <v>CAMPOS HERNANDEZ JULIO</v>
          </cell>
          <cell r="F50" t="str">
            <v>I-45</v>
          </cell>
        </row>
        <row r="51">
          <cell r="A51" t="str">
            <v>11ETV0403U</v>
          </cell>
          <cell r="B51" t="str">
            <v>01648017754</v>
          </cell>
          <cell r="C51" t="str">
            <v>11ETV0403U</v>
          </cell>
          <cell r="D51" t="str">
            <v>TELESECUNDARIA 320</v>
          </cell>
          <cell r="E51" t="str">
            <v>GONZALEZ ALFARO JOSE LUIS</v>
          </cell>
          <cell r="F51" t="str">
            <v>I-46</v>
          </cell>
        </row>
        <row r="52">
          <cell r="A52" t="str">
            <v>11ETV0527C</v>
          </cell>
          <cell r="B52" t="str">
            <v>01648017762</v>
          </cell>
          <cell r="C52" t="str">
            <v>11ETV0527C</v>
          </cell>
          <cell r="D52" t="str">
            <v>TELESECUNDARIA 504</v>
          </cell>
          <cell r="E52" t="str">
            <v>BELMAN VAZQUEZ CATALINA</v>
          </cell>
          <cell r="F52" t="str">
            <v>I-47</v>
          </cell>
        </row>
        <row r="53">
          <cell r="A53" t="str">
            <v>11ETV0664F</v>
          </cell>
          <cell r="B53" t="str">
            <v>01648017819</v>
          </cell>
          <cell r="C53" t="str">
            <v>11ETV0664F</v>
          </cell>
          <cell r="D53" t="str">
            <v>TELESECUNDARIA 646</v>
          </cell>
          <cell r="E53" t="str">
            <v>HERNANDEZ PEREZ VICTOR</v>
          </cell>
          <cell r="F53" t="str">
            <v>I-48</v>
          </cell>
        </row>
        <row r="54">
          <cell r="A54" t="str">
            <v>11ETV0957T</v>
          </cell>
          <cell r="B54" t="str">
            <v>01648017835</v>
          </cell>
          <cell r="C54" t="str">
            <v>11ETV0957T</v>
          </cell>
          <cell r="D54" t="str">
            <v>TELESECUNDARIA 957</v>
          </cell>
          <cell r="E54" t="str">
            <v>ZAMARRIPA TORRES TERESA</v>
          </cell>
          <cell r="F54" t="str">
            <v>I-49</v>
          </cell>
        </row>
        <row r="55">
          <cell r="A55" t="str">
            <v>11ETV0665E</v>
          </cell>
          <cell r="B55" t="str">
            <v>01648017843</v>
          </cell>
          <cell r="C55" t="str">
            <v>11ETV0665E</v>
          </cell>
          <cell r="D55" t="str">
            <v>TELESECUNDARIA 647</v>
          </cell>
          <cell r="E55" t="str">
            <v>BARRIENTOS ALATORRE ANA PATRICIA</v>
          </cell>
          <cell r="F55" t="str">
            <v>I-50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edatosclientes"/>
      <sheetName val="MAT.DEPORTIVO"/>
      <sheetName val="LABORATORIO"/>
      <sheetName val="PRECIOSCATALOGOS"/>
      <sheetName val="factura"/>
      <sheetName val="cotizacion"/>
      <sheetName val="Hoja1"/>
      <sheetName val="Hoja2"/>
      <sheetName val="MAT_DEPORTIVO"/>
    </sheetNames>
    <sheetDataSet>
      <sheetData sheetId="0"/>
      <sheetData sheetId="1"/>
      <sheetData sheetId="2"/>
      <sheetData sheetId="3">
        <row r="4">
          <cell r="A4" t="str">
            <v>NO.</v>
          </cell>
          <cell r="B4" t="str">
            <v>CLAVE</v>
          </cell>
          <cell r="C4" t="str">
            <v>DESCRIPCIÓN</v>
          </cell>
          <cell r="D4" t="str">
            <v>LINEA</v>
          </cell>
          <cell r="E4" t="str">
            <v>PRECIO PUBLICO S/IVA</v>
          </cell>
          <cell r="F4" t="str">
            <v>PRECIO PUBLICO C/IVA</v>
          </cell>
        </row>
        <row r="5">
          <cell r="A5">
            <v>1</v>
          </cell>
          <cell r="B5" t="str">
            <v xml:space="preserve">750199182331    </v>
          </cell>
          <cell r="C5" t="str">
            <v xml:space="preserve">EDUCATEMAS 6 PLANTILLAS                 </v>
          </cell>
          <cell r="D5" t="str">
            <v/>
          </cell>
          <cell r="E5">
            <v>239.25</v>
          </cell>
          <cell r="F5">
            <v>277.52999999999997</v>
          </cell>
        </row>
        <row r="6">
          <cell r="A6">
            <v>2</v>
          </cell>
          <cell r="B6" t="str">
            <v xml:space="preserve">073577132672    </v>
          </cell>
          <cell r="C6" t="str">
            <v xml:space="preserve">JGO 2 TIJERAS 8" ULTRA LIJERA           </v>
          </cell>
          <cell r="D6" t="str">
            <v xml:space="preserve">ACTI </v>
          </cell>
          <cell r="E6">
            <v>91.575000000000003</v>
          </cell>
          <cell r="F6">
            <v>106.22699999999999</v>
          </cell>
        </row>
        <row r="7">
          <cell r="A7">
            <v>3</v>
          </cell>
          <cell r="B7" t="str">
            <v xml:space="preserve">073577133853    </v>
          </cell>
          <cell r="C7" t="str">
            <v xml:space="preserve">JGO 4 PZAS TIJERA ELITE                 </v>
          </cell>
          <cell r="D7" t="str">
            <v xml:space="preserve">ACTI </v>
          </cell>
          <cell r="E7">
            <v>309.375</v>
          </cell>
          <cell r="F7">
            <v>358.87499999999994</v>
          </cell>
        </row>
        <row r="8">
          <cell r="A8">
            <v>4</v>
          </cell>
          <cell r="B8" t="str">
            <v xml:space="preserve">073577134669    </v>
          </cell>
          <cell r="C8" t="str">
            <v xml:space="preserve">TIJERA 8 1/2 MANUALIDADES               </v>
          </cell>
          <cell r="D8" t="str">
            <v xml:space="preserve">ACTI </v>
          </cell>
          <cell r="E8">
            <v>56.1</v>
          </cell>
          <cell r="F8">
            <v>65.075999999999993</v>
          </cell>
        </row>
        <row r="9">
          <cell r="A9">
            <v>5</v>
          </cell>
          <cell r="B9" t="str">
            <v xml:space="preserve">073577136687    </v>
          </cell>
          <cell r="C9" t="str">
            <v xml:space="preserve">TIJERA 6" ACERO INOX FORJADAS           </v>
          </cell>
          <cell r="D9" t="str">
            <v xml:space="preserve">ACTI </v>
          </cell>
          <cell r="E9">
            <v>34.65</v>
          </cell>
          <cell r="F9">
            <v>40.193999999999996</v>
          </cell>
        </row>
        <row r="10">
          <cell r="A10">
            <v>6</v>
          </cell>
          <cell r="B10" t="str">
            <v xml:space="preserve">073577137424    </v>
          </cell>
          <cell r="C10" t="str">
            <v xml:space="preserve">TIJERA 5" CRITTERS FLUTER               </v>
          </cell>
          <cell r="D10" t="str">
            <v xml:space="preserve">ACTI </v>
          </cell>
          <cell r="E10">
            <v>41.25</v>
          </cell>
          <cell r="F10">
            <v>47.849999999999994</v>
          </cell>
        </row>
        <row r="11">
          <cell r="A11">
            <v>7</v>
          </cell>
          <cell r="B11" t="str">
            <v xml:space="preserve">073577137431    </v>
          </cell>
          <cell r="C11" t="str">
            <v xml:space="preserve">TIJERA 5" CRITTERS GUPPY                </v>
          </cell>
          <cell r="D11" t="str">
            <v xml:space="preserve">ACTI </v>
          </cell>
          <cell r="E11">
            <v>41.25</v>
          </cell>
          <cell r="F11">
            <v>47.849999999999994</v>
          </cell>
        </row>
        <row r="12">
          <cell r="A12">
            <v>8</v>
          </cell>
          <cell r="B12" t="str">
            <v xml:space="preserve">073577139152    </v>
          </cell>
          <cell r="C12" t="str">
            <v xml:space="preserve">TIJERA 5" CRITTERS BEE                  </v>
          </cell>
          <cell r="D12" t="str">
            <v xml:space="preserve">ACTI </v>
          </cell>
          <cell r="E12">
            <v>41.25</v>
          </cell>
          <cell r="F12">
            <v>47.849999999999994</v>
          </cell>
        </row>
        <row r="13">
          <cell r="A13">
            <v>9</v>
          </cell>
          <cell r="B13" t="str">
            <v xml:space="preserve">073577140752    </v>
          </cell>
          <cell r="C13" t="str">
            <v xml:space="preserve">REGLA 12" MULTICOLOR                    </v>
          </cell>
          <cell r="D13" t="str">
            <v xml:space="preserve">ACTI </v>
          </cell>
          <cell r="E13">
            <v>28.05</v>
          </cell>
          <cell r="F13">
            <v>32.537999999999997</v>
          </cell>
        </row>
        <row r="14">
          <cell r="A14">
            <v>10</v>
          </cell>
          <cell r="B14" t="str">
            <v xml:space="preserve">073577141438    </v>
          </cell>
          <cell r="C14" t="str">
            <v xml:space="preserve">JGO 6 PZAS. TIJERAS 5" CRITTERS         </v>
          </cell>
          <cell r="D14" t="str">
            <v xml:space="preserve">ACTI </v>
          </cell>
          <cell r="E14">
            <v>247.5</v>
          </cell>
          <cell r="F14">
            <v>287.09999999999997</v>
          </cell>
        </row>
        <row r="15">
          <cell r="A15">
            <v>11</v>
          </cell>
          <cell r="B15" t="str">
            <v xml:space="preserve">6924246102240   </v>
          </cell>
          <cell r="C15" t="str">
            <v xml:space="preserve">BOLIGRAFO TINTA GEL 24 COLORES          </v>
          </cell>
          <cell r="D15" t="str">
            <v xml:space="preserve">ACTI </v>
          </cell>
          <cell r="E15">
            <v>90.75</v>
          </cell>
          <cell r="F15">
            <v>105.27</v>
          </cell>
        </row>
        <row r="16">
          <cell r="A16">
            <v>12</v>
          </cell>
          <cell r="B16" t="str">
            <v xml:space="preserve">6924246102301   </v>
          </cell>
          <cell r="C16" t="str">
            <v xml:space="preserve">BOLIGRAFO TINTA GEL 30 COL.             </v>
          </cell>
          <cell r="D16" t="str">
            <v xml:space="preserve">ACTI </v>
          </cell>
          <cell r="E16">
            <v>120.44999999999999</v>
          </cell>
          <cell r="F16">
            <v>139.72199999999998</v>
          </cell>
        </row>
        <row r="17">
          <cell r="A17">
            <v>13</v>
          </cell>
          <cell r="B17" t="str">
            <v xml:space="preserve">6924246102509   </v>
          </cell>
          <cell r="C17" t="str">
            <v xml:space="preserve">BOLIGRAFO TINTA GEL 50 COLORES          </v>
          </cell>
          <cell r="D17" t="str">
            <v xml:space="preserve">ACTI </v>
          </cell>
          <cell r="E17">
            <v>163.34999999999997</v>
          </cell>
          <cell r="F17">
            <v>189.48599999999996</v>
          </cell>
        </row>
        <row r="18">
          <cell r="A18">
            <v>14</v>
          </cell>
          <cell r="B18" t="str">
            <v xml:space="preserve">6924246102721   </v>
          </cell>
          <cell r="C18" t="str">
            <v>BOLIGRAFO TINTA GEL 72 COL. REDONDO (PG2</v>
          </cell>
          <cell r="D18" t="str">
            <v xml:space="preserve">ACTI </v>
          </cell>
          <cell r="E18">
            <v>188.1</v>
          </cell>
          <cell r="F18">
            <v>218.19599999999997</v>
          </cell>
        </row>
        <row r="19">
          <cell r="A19">
            <v>15</v>
          </cell>
          <cell r="B19" t="str">
            <v xml:space="preserve">7502230010253   </v>
          </cell>
          <cell r="C19" t="str">
            <v xml:space="preserve">CORRECTOR ESCRITURA BOLSA 3Pz           </v>
          </cell>
          <cell r="D19" t="str">
            <v xml:space="preserve">ACTI </v>
          </cell>
          <cell r="E19">
            <v>11.549999999999999</v>
          </cell>
          <cell r="F19">
            <v>13.397999999999998</v>
          </cell>
        </row>
        <row r="20">
          <cell r="A20">
            <v>16</v>
          </cell>
          <cell r="B20" t="str">
            <v xml:space="preserve">7502230010260   </v>
          </cell>
          <cell r="C20" t="str">
            <v xml:space="preserve">CORRECTOR ESCRITURA BLISTER (CBL3)      </v>
          </cell>
          <cell r="D20" t="str">
            <v xml:space="preserve">ACTI </v>
          </cell>
          <cell r="E20">
            <v>11.549999999999999</v>
          </cell>
          <cell r="F20">
            <v>13.397999999999998</v>
          </cell>
        </row>
        <row r="21">
          <cell r="A21">
            <v>17</v>
          </cell>
          <cell r="B21" t="str">
            <v xml:space="preserve">7502230010277   </v>
          </cell>
          <cell r="C21" t="str">
            <v xml:space="preserve">CORRECTOR ESCRITURA 10 BOLSAS (CD10)    </v>
          </cell>
          <cell r="D21" t="str">
            <v xml:space="preserve">ACTI </v>
          </cell>
          <cell r="E21">
            <v>121.27499999999999</v>
          </cell>
          <cell r="F21">
            <v>140.67899999999997</v>
          </cell>
        </row>
        <row r="22">
          <cell r="A22">
            <v>18</v>
          </cell>
          <cell r="B22" t="str">
            <v xml:space="preserve">7502230010284   </v>
          </cell>
          <cell r="C22" t="str">
            <v xml:space="preserve">CORRECTOR ESCRITURA CON 20 (CV20)       </v>
          </cell>
          <cell r="D22" t="str">
            <v xml:space="preserve">ACTI </v>
          </cell>
          <cell r="E22">
            <v>128.69999999999999</v>
          </cell>
          <cell r="F22">
            <v>149.29199999999997</v>
          </cell>
        </row>
        <row r="23">
          <cell r="A23">
            <v>19</v>
          </cell>
          <cell r="B23" t="str">
            <v xml:space="preserve">7502230010291   </v>
          </cell>
          <cell r="C23" t="str">
            <v xml:space="preserve">CORRECTOR ESCRITURA CON 60Pz (CV60)     </v>
          </cell>
          <cell r="D23" t="str">
            <v xml:space="preserve">ACTI </v>
          </cell>
          <cell r="E23">
            <v>264</v>
          </cell>
          <cell r="F23">
            <v>306.23999999999995</v>
          </cell>
        </row>
        <row r="24">
          <cell r="A24">
            <v>20</v>
          </cell>
          <cell r="B24" t="str">
            <v xml:space="preserve">7502230010307   </v>
          </cell>
          <cell r="C24" t="str">
            <v xml:space="preserve">CORRECTOR ESCRITURA CON 150Pz (CV150)   </v>
          </cell>
          <cell r="D24" t="str">
            <v xml:space="preserve">ACTI </v>
          </cell>
          <cell r="E24">
            <v>584.1</v>
          </cell>
          <cell r="F24">
            <v>677.55599999999993</v>
          </cell>
        </row>
        <row r="25">
          <cell r="A25">
            <v>21</v>
          </cell>
          <cell r="B25" t="str">
            <v xml:space="preserve">7502226191126   </v>
          </cell>
          <cell r="C25" t="str">
            <v xml:space="preserve">COJIN DE SEMILLAS  (CSAL)               </v>
          </cell>
          <cell r="D25" t="str">
            <v>ALDON</v>
          </cell>
          <cell r="E25">
            <v>56.1</v>
          </cell>
          <cell r="F25">
            <v>65.075999999999993</v>
          </cell>
        </row>
        <row r="26">
          <cell r="A26">
            <v>22</v>
          </cell>
          <cell r="B26" t="str">
            <v xml:space="preserve">7502226191294   </v>
          </cell>
          <cell r="C26" t="str">
            <v xml:space="preserve">TAPETE DE TEXTUTAS ALDONZA              </v>
          </cell>
          <cell r="D26" t="str">
            <v>ALDON</v>
          </cell>
          <cell r="E26">
            <v>1060.95</v>
          </cell>
          <cell r="F26">
            <v>1230.702</v>
          </cell>
        </row>
        <row r="27">
          <cell r="A27">
            <v>23</v>
          </cell>
          <cell r="B27" t="str">
            <v xml:space="preserve">7502226191621   </v>
          </cell>
          <cell r="C27" t="str">
            <v xml:space="preserve">GUANTES DE TEXTURAS ALDONZA             </v>
          </cell>
          <cell r="D27" t="str">
            <v>ALDON</v>
          </cell>
          <cell r="E27">
            <v>282.97500000000002</v>
          </cell>
          <cell r="F27">
            <v>328.25099999999998</v>
          </cell>
        </row>
        <row r="28">
          <cell r="A28">
            <v>24</v>
          </cell>
          <cell r="B28" t="str">
            <v xml:space="preserve">7502226191638   </v>
          </cell>
          <cell r="C28" t="str">
            <v xml:space="preserve">LIBRO DE TEXTURAS ALDONZA               </v>
          </cell>
          <cell r="D28" t="str">
            <v>ALDON</v>
          </cell>
          <cell r="E28">
            <v>259.04999999999995</v>
          </cell>
          <cell r="F28">
            <v>300.49799999999993</v>
          </cell>
        </row>
        <row r="29">
          <cell r="A29">
            <v>25</v>
          </cell>
          <cell r="B29" t="str">
            <v xml:space="preserve">7501527936030   </v>
          </cell>
          <cell r="C29" t="str">
            <v xml:space="preserve">PIZARRON VERDE (40 x 60) cm             </v>
          </cell>
          <cell r="D29" t="str">
            <v>ALFRA</v>
          </cell>
          <cell r="E29">
            <v>188.1</v>
          </cell>
          <cell r="F29">
            <v>218.19599999999997</v>
          </cell>
        </row>
        <row r="30">
          <cell r="A30">
            <v>26</v>
          </cell>
          <cell r="B30" t="str">
            <v xml:space="preserve">055350016805    </v>
          </cell>
          <cell r="C30" t="str">
            <v xml:space="preserve">PEQUEÑO JARDINERO                       </v>
          </cell>
          <cell r="D30" t="str">
            <v xml:space="preserve">AMAV </v>
          </cell>
          <cell r="E30">
            <v>363.82499999999993</v>
          </cell>
          <cell r="F30">
            <v>422.03699999999992</v>
          </cell>
        </row>
        <row r="31">
          <cell r="A31">
            <v>27</v>
          </cell>
          <cell r="B31" t="str">
            <v xml:space="preserve">055350021496    </v>
          </cell>
          <cell r="C31" t="str">
            <v xml:space="preserve">STAMPS AND STICKERS                     </v>
          </cell>
          <cell r="D31" t="str">
            <v xml:space="preserve">AMAV </v>
          </cell>
          <cell r="E31">
            <v>293.7</v>
          </cell>
          <cell r="F31">
            <v>340.69199999999995</v>
          </cell>
        </row>
        <row r="32">
          <cell r="A32">
            <v>28</v>
          </cell>
          <cell r="B32" t="str">
            <v xml:space="preserve">055350021557    </v>
          </cell>
          <cell r="C32" t="str">
            <v xml:space="preserve">ALBUM DE FOTOS                          </v>
          </cell>
          <cell r="D32" t="str">
            <v xml:space="preserve">AMAV </v>
          </cell>
          <cell r="E32">
            <v>298.64999999999998</v>
          </cell>
          <cell r="F32">
            <v>346.43399999999997</v>
          </cell>
        </row>
        <row r="33">
          <cell r="A33">
            <v>29</v>
          </cell>
          <cell r="B33" t="str">
            <v xml:space="preserve">055350021618    </v>
          </cell>
          <cell r="C33" t="str">
            <v xml:space="preserve">CREA TUS MASCARAS DE YESO               </v>
          </cell>
          <cell r="D33" t="str">
            <v xml:space="preserve">AMAV </v>
          </cell>
          <cell r="E33">
            <v>327.52499999999998</v>
          </cell>
          <cell r="F33">
            <v>379.92899999999997</v>
          </cell>
        </row>
        <row r="34">
          <cell r="A34">
            <v>30</v>
          </cell>
          <cell r="B34" t="str">
            <v xml:space="preserve">055350022035    </v>
          </cell>
          <cell r="C34" t="str">
            <v xml:space="preserve">MARIPOSAS                               </v>
          </cell>
          <cell r="D34" t="str">
            <v xml:space="preserve">AMAV </v>
          </cell>
          <cell r="E34">
            <v>146.85</v>
          </cell>
          <cell r="F34">
            <v>170.34599999999998</v>
          </cell>
        </row>
        <row r="35">
          <cell r="A35">
            <v>31</v>
          </cell>
          <cell r="B35" t="str">
            <v xml:space="preserve">055350022059    </v>
          </cell>
          <cell r="C35" t="str">
            <v xml:space="preserve">SHRINKY JEWELERY                        </v>
          </cell>
          <cell r="D35" t="str">
            <v xml:space="preserve">AMAV </v>
          </cell>
          <cell r="E35">
            <v>163.34999999999997</v>
          </cell>
          <cell r="F35">
            <v>189.48599999999996</v>
          </cell>
        </row>
        <row r="36">
          <cell r="A36">
            <v>32</v>
          </cell>
          <cell r="B36" t="str">
            <v xml:space="preserve">055350022332    </v>
          </cell>
          <cell r="C36" t="str">
            <v xml:space="preserve">FIGURAS DE INSECTOS                     </v>
          </cell>
          <cell r="D36" t="str">
            <v xml:space="preserve">AMAV </v>
          </cell>
          <cell r="E36">
            <v>163.34999999999997</v>
          </cell>
          <cell r="F36">
            <v>189.48599999999996</v>
          </cell>
        </row>
        <row r="37">
          <cell r="A37">
            <v>33</v>
          </cell>
          <cell r="B37" t="str">
            <v xml:space="preserve">055350022479    </v>
          </cell>
          <cell r="C37" t="str">
            <v xml:space="preserve">96 MINI SELLITOS                        </v>
          </cell>
          <cell r="D37" t="str">
            <v xml:space="preserve">AMAV </v>
          </cell>
          <cell r="E37">
            <v>163.34999999999997</v>
          </cell>
          <cell r="F37">
            <v>189.48599999999996</v>
          </cell>
        </row>
        <row r="38">
          <cell r="A38">
            <v>34</v>
          </cell>
          <cell r="B38" t="str">
            <v xml:space="preserve">055350024053    </v>
          </cell>
          <cell r="C38" t="str">
            <v xml:space="preserve">ARTE CON ESTAMPAS                       </v>
          </cell>
          <cell r="D38" t="str">
            <v xml:space="preserve">AMAV </v>
          </cell>
          <cell r="E38">
            <v>199.64999999999998</v>
          </cell>
          <cell r="F38">
            <v>231.59399999999997</v>
          </cell>
        </row>
        <row r="39">
          <cell r="A39">
            <v>35</v>
          </cell>
          <cell r="B39" t="str">
            <v xml:space="preserve">055350024350    </v>
          </cell>
          <cell r="C39" t="str">
            <v xml:space="preserve">TUBETASTIC CADDY - PEN                  </v>
          </cell>
          <cell r="D39" t="str">
            <v xml:space="preserve">AMAV </v>
          </cell>
          <cell r="E39">
            <v>220.27499999999998</v>
          </cell>
          <cell r="F39">
            <v>255.51899999999995</v>
          </cell>
        </row>
        <row r="40">
          <cell r="A40">
            <v>36</v>
          </cell>
          <cell r="B40" t="str">
            <v xml:space="preserve">055350024497    </v>
          </cell>
          <cell r="C40" t="str">
            <v xml:space="preserve">COLOR TATOOS BOYS                       </v>
          </cell>
          <cell r="D40" t="str">
            <v xml:space="preserve">AMAV </v>
          </cell>
          <cell r="E40">
            <v>199.64999999999998</v>
          </cell>
          <cell r="F40">
            <v>231.59399999999997</v>
          </cell>
        </row>
        <row r="41">
          <cell r="A41">
            <v>37</v>
          </cell>
          <cell r="B41" t="str">
            <v xml:space="preserve">055350024602    </v>
          </cell>
          <cell r="C41" t="str">
            <v xml:space="preserve">THE GREAT MAESTRO                       </v>
          </cell>
          <cell r="D41" t="str">
            <v xml:space="preserve">AMAV </v>
          </cell>
          <cell r="E41">
            <v>181.5</v>
          </cell>
          <cell r="F41">
            <v>210.54</v>
          </cell>
        </row>
        <row r="42">
          <cell r="A42">
            <v>38</v>
          </cell>
          <cell r="B42" t="str">
            <v xml:space="preserve">055350024886    </v>
          </cell>
          <cell r="C42" t="str">
            <v xml:space="preserve">CASA DE PAJAROS                         </v>
          </cell>
          <cell r="D42" t="str">
            <v xml:space="preserve">AMAV </v>
          </cell>
          <cell r="E42">
            <v>181.5</v>
          </cell>
          <cell r="F42">
            <v>210.54</v>
          </cell>
        </row>
        <row r="43">
          <cell r="A43">
            <v>39</v>
          </cell>
          <cell r="B43" t="str">
            <v xml:space="preserve">055350029034    </v>
          </cell>
          <cell r="C43" t="str">
            <v xml:space="preserve">ENCANTOS DE MARIPOSA                    </v>
          </cell>
          <cell r="D43" t="str">
            <v xml:space="preserve">AMAV </v>
          </cell>
          <cell r="E43">
            <v>212.85</v>
          </cell>
          <cell r="F43">
            <v>246.90599999999998</v>
          </cell>
        </row>
        <row r="44">
          <cell r="A44">
            <v>40</v>
          </cell>
          <cell r="B44" t="str">
            <v xml:space="preserve">055350029263    </v>
          </cell>
          <cell r="C44" t="str">
            <v xml:space="preserve">CARTAS Y ESTAMPAS                       </v>
          </cell>
          <cell r="D44" t="str">
            <v xml:space="preserve">AMAV </v>
          </cell>
          <cell r="E44">
            <v>214.49999999999997</v>
          </cell>
          <cell r="F44">
            <v>248.81999999999996</v>
          </cell>
        </row>
        <row r="45">
          <cell r="A45">
            <v>41</v>
          </cell>
          <cell r="B45" t="str">
            <v xml:space="preserve">055350029270    </v>
          </cell>
          <cell r="C45" t="str">
            <v xml:space="preserve">BARCO PIRATA                            </v>
          </cell>
          <cell r="D45" t="str">
            <v xml:space="preserve">AMAV </v>
          </cell>
          <cell r="E45">
            <v>221.10000000000002</v>
          </cell>
          <cell r="F45">
            <v>256.476</v>
          </cell>
        </row>
        <row r="46">
          <cell r="A46">
            <v>42</v>
          </cell>
          <cell r="B46" t="str">
            <v xml:space="preserve">055350032508    </v>
          </cell>
          <cell r="C46" t="str">
            <v xml:space="preserve">MEMORIAS DE ARENA                       </v>
          </cell>
          <cell r="D46" t="str">
            <v xml:space="preserve">AMAV </v>
          </cell>
          <cell r="E46">
            <v>272.25</v>
          </cell>
          <cell r="F46">
            <v>315.80999999999995</v>
          </cell>
        </row>
        <row r="47">
          <cell r="A47">
            <v>43</v>
          </cell>
          <cell r="B47" t="str">
            <v xml:space="preserve">055350032706    </v>
          </cell>
          <cell r="C47" t="str">
            <v xml:space="preserve">EGGS ARE SWEET                          </v>
          </cell>
          <cell r="D47" t="str">
            <v xml:space="preserve">AMAV </v>
          </cell>
          <cell r="E47">
            <v>264</v>
          </cell>
          <cell r="F47">
            <v>306.23999999999995</v>
          </cell>
        </row>
        <row r="48">
          <cell r="A48">
            <v>44</v>
          </cell>
          <cell r="B48" t="str">
            <v xml:space="preserve">055350032904    </v>
          </cell>
          <cell r="C48" t="str">
            <v xml:space="preserve">BIRD HOUSE AND FEEDER                   </v>
          </cell>
          <cell r="D48" t="str">
            <v xml:space="preserve">AMAV </v>
          </cell>
          <cell r="E48">
            <v>272.25</v>
          </cell>
          <cell r="F48">
            <v>315.80999999999995</v>
          </cell>
        </row>
        <row r="49">
          <cell r="A49">
            <v>45</v>
          </cell>
          <cell r="B49" t="str">
            <v xml:space="preserve">055350034021    </v>
          </cell>
          <cell r="C49" t="str">
            <v xml:space="preserve">VELVET CRAFT                            </v>
          </cell>
          <cell r="D49" t="str">
            <v xml:space="preserve">AMAV </v>
          </cell>
          <cell r="E49">
            <v>252.45000000000002</v>
          </cell>
          <cell r="F49">
            <v>292.84199999999998</v>
          </cell>
        </row>
        <row r="50">
          <cell r="A50">
            <v>46</v>
          </cell>
          <cell r="B50" t="str">
            <v xml:space="preserve">055350035516    </v>
          </cell>
          <cell r="C50" t="str">
            <v xml:space="preserve">CAJA DE MOSAICOS ECOLOGICA              </v>
          </cell>
          <cell r="D50" t="str">
            <v xml:space="preserve">AMAV </v>
          </cell>
          <cell r="E50">
            <v>239.25</v>
          </cell>
          <cell r="F50">
            <v>277.52999999999997</v>
          </cell>
        </row>
        <row r="51">
          <cell r="A51">
            <v>47</v>
          </cell>
          <cell r="B51" t="str">
            <v xml:space="preserve">055350045058    </v>
          </cell>
          <cell r="C51" t="str">
            <v xml:space="preserve">VITRALES                                </v>
          </cell>
          <cell r="D51" t="str">
            <v xml:space="preserve">AMAV </v>
          </cell>
          <cell r="E51">
            <v>107.24999999999999</v>
          </cell>
          <cell r="F51">
            <v>124.40999999999998</v>
          </cell>
        </row>
        <row r="52">
          <cell r="A52">
            <v>48</v>
          </cell>
          <cell r="B52" t="str">
            <v xml:space="preserve">055350045089    </v>
          </cell>
          <cell r="C52" t="str">
            <v xml:space="preserve">BOTONES                                 </v>
          </cell>
          <cell r="D52" t="str">
            <v xml:space="preserve">AMAV </v>
          </cell>
          <cell r="E52">
            <v>107.24999999999999</v>
          </cell>
          <cell r="F52">
            <v>124.40999999999998</v>
          </cell>
        </row>
        <row r="53">
          <cell r="A53">
            <v>49</v>
          </cell>
          <cell r="B53" t="str">
            <v xml:space="preserve">055350045102    </v>
          </cell>
          <cell r="C53" t="str">
            <v xml:space="preserve">SPIRAL STENCIL AR                       </v>
          </cell>
          <cell r="D53" t="str">
            <v xml:space="preserve">AMAV </v>
          </cell>
          <cell r="E53">
            <v>107.24999999999999</v>
          </cell>
          <cell r="F53">
            <v>124.40999999999998</v>
          </cell>
        </row>
        <row r="54">
          <cell r="A54">
            <v>50</v>
          </cell>
          <cell r="B54" t="str">
            <v xml:space="preserve">055350045201    </v>
          </cell>
          <cell r="C54" t="str">
            <v xml:space="preserve">CRISTALES DE MODA                       </v>
          </cell>
          <cell r="D54" t="str">
            <v xml:space="preserve">AMAV </v>
          </cell>
          <cell r="E54">
            <v>107.24999999999999</v>
          </cell>
          <cell r="F54">
            <v>124.40999999999998</v>
          </cell>
        </row>
        <row r="55">
          <cell r="A55">
            <v>51</v>
          </cell>
          <cell r="B55" t="str">
            <v xml:space="preserve">055350045317    </v>
          </cell>
          <cell r="C55" t="str">
            <v xml:space="preserve">CRISTALES DE MODA                       </v>
          </cell>
          <cell r="D55" t="str">
            <v xml:space="preserve">AMAV </v>
          </cell>
          <cell r="E55">
            <v>107.24999999999999</v>
          </cell>
          <cell r="F55">
            <v>124.40999999999998</v>
          </cell>
        </row>
        <row r="56">
          <cell r="A56">
            <v>52</v>
          </cell>
          <cell r="B56" t="str">
            <v xml:space="preserve">055350045362    </v>
          </cell>
          <cell r="C56" t="str">
            <v xml:space="preserve">ARTE CON ARENA                          </v>
          </cell>
          <cell r="D56" t="str">
            <v xml:space="preserve">AMAV </v>
          </cell>
          <cell r="E56">
            <v>107.24999999999999</v>
          </cell>
          <cell r="F56">
            <v>124.40999999999998</v>
          </cell>
        </row>
        <row r="57">
          <cell r="A57">
            <v>53</v>
          </cell>
          <cell r="B57" t="str">
            <v xml:space="preserve">055350045416    </v>
          </cell>
          <cell r="C57" t="str">
            <v xml:space="preserve">365 ACTIVIDADES                         </v>
          </cell>
          <cell r="D57" t="str">
            <v xml:space="preserve">AMAV </v>
          </cell>
          <cell r="E57">
            <v>107.24999999999999</v>
          </cell>
          <cell r="F57">
            <v>124.40999999999998</v>
          </cell>
        </row>
        <row r="58">
          <cell r="A58">
            <v>54</v>
          </cell>
          <cell r="B58" t="str">
            <v xml:space="preserve">055350045508    </v>
          </cell>
          <cell r="C58" t="str">
            <v xml:space="preserve">ARTE CON ARENA                          </v>
          </cell>
          <cell r="D58" t="str">
            <v xml:space="preserve">AMAV </v>
          </cell>
          <cell r="E58">
            <v>107.24999999999999</v>
          </cell>
          <cell r="F58">
            <v>124.40999999999998</v>
          </cell>
        </row>
        <row r="59">
          <cell r="A59">
            <v>55</v>
          </cell>
          <cell r="B59" t="str">
            <v xml:space="preserve">055350045515    </v>
          </cell>
          <cell r="C59" t="str">
            <v xml:space="preserve">365 ACTIVIDADES                         </v>
          </cell>
          <cell r="D59" t="str">
            <v xml:space="preserve">AMAV </v>
          </cell>
          <cell r="E59">
            <v>107.24999999999999</v>
          </cell>
          <cell r="F59">
            <v>124.40999999999998</v>
          </cell>
        </row>
        <row r="60">
          <cell r="A60">
            <v>56</v>
          </cell>
          <cell r="B60" t="str">
            <v xml:space="preserve">055350045591    </v>
          </cell>
          <cell r="C60" t="str">
            <v xml:space="preserve">LA FABRICA DE JABON                     </v>
          </cell>
          <cell r="D60" t="str">
            <v xml:space="preserve">AMAV </v>
          </cell>
          <cell r="E60">
            <v>107.24999999999999</v>
          </cell>
          <cell r="F60">
            <v>124.40999999999998</v>
          </cell>
        </row>
        <row r="61">
          <cell r="A61">
            <v>57</v>
          </cell>
          <cell r="B61" t="str">
            <v xml:space="preserve">055350045775    </v>
          </cell>
          <cell r="C61" t="str">
            <v xml:space="preserve">LLAVEROS DIVERTIDOS                     </v>
          </cell>
          <cell r="D61" t="str">
            <v xml:space="preserve">AMAV </v>
          </cell>
          <cell r="E61">
            <v>107.24999999999999</v>
          </cell>
          <cell r="F61">
            <v>124.40999999999998</v>
          </cell>
        </row>
        <row r="62">
          <cell r="A62">
            <v>58</v>
          </cell>
          <cell r="B62" t="str">
            <v xml:space="preserve">055350045782    </v>
          </cell>
          <cell r="C62" t="str">
            <v xml:space="preserve">PULCERAS DE LA AMISTAD                  </v>
          </cell>
          <cell r="D62" t="str">
            <v xml:space="preserve">AMAV </v>
          </cell>
          <cell r="E62">
            <v>107.24999999999999</v>
          </cell>
          <cell r="F62">
            <v>124.40999999999998</v>
          </cell>
        </row>
        <row r="63">
          <cell r="A63">
            <v>59</v>
          </cell>
          <cell r="B63" t="str">
            <v xml:space="preserve">055350045805    </v>
          </cell>
          <cell r="C63" t="str">
            <v xml:space="preserve">TITERES DE DEDOS                        </v>
          </cell>
          <cell r="D63" t="str">
            <v xml:space="preserve">AMAV </v>
          </cell>
          <cell r="E63">
            <v>107.24999999999999</v>
          </cell>
          <cell r="F63">
            <v>124.40999999999998</v>
          </cell>
        </row>
        <row r="64">
          <cell r="A64">
            <v>60</v>
          </cell>
          <cell r="B64" t="str">
            <v xml:space="preserve">055350045812    </v>
          </cell>
          <cell r="C64" t="str">
            <v xml:space="preserve">ACCESORIOS DE MODA                      </v>
          </cell>
          <cell r="D64" t="str">
            <v xml:space="preserve">AMAV </v>
          </cell>
          <cell r="E64">
            <v>107.24999999999999</v>
          </cell>
          <cell r="F64">
            <v>124.40999999999998</v>
          </cell>
        </row>
        <row r="65">
          <cell r="A65">
            <v>61</v>
          </cell>
          <cell r="B65" t="str">
            <v xml:space="preserve">055350051257    </v>
          </cell>
          <cell r="C65" t="str">
            <v xml:space="preserve">ESCRITORIO PARA ARTISTAS                </v>
          </cell>
          <cell r="D65" t="str">
            <v xml:space="preserve">AMAV </v>
          </cell>
          <cell r="E65">
            <v>412.5</v>
          </cell>
          <cell r="F65">
            <v>478.5</v>
          </cell>
        </row>
        <row r="66">
          <cell r="A66">
            <v>62</v>
          </cell>
          <cell r="B66" t="str">
            <v xml:space="preserve">055350052087    </v>
          </cell>
          <cell r="C66" t="str">
            <v xml:space="preserve">PARCHES DE MARIPOSAS                    </v>
          </cell>
          <cell r="D66" t="str">
            <v xml:space="preserve">AMAV </v>
          </cell>
          <cell r="E66">
            <v>181.5</v>
          </cell>
          <cell r="F66">
            <v>210.54</v>
          </cell>
        </row>
        <row r="67">
          <cell r="A67">
            <v>63</v>
          </cell>
          <cell r="B67" t="str">
            <v xml:space="preserve">055350055118    </v>
          </cell>
          <cell r="C67" t="str">
            <v xml:space="preserve">ARTE PARA LA VENTANA                    </v>
          </cell>
          <cell r="D67" t="str">
            <v xml:space="preserve">AMAV </v>
          </cell>
          <cell r="E67">
            <v>272.25</v>
          </cell>
          <cell r="F67">
            <v>315.80999999999995</v>
          </cell>
        </row>
        <row r="68">
          <cell r="A68">
            <v>64</v>
          </cell>
          <cell r="B68" t="str">
            <v xml:space="preserve">055350062215    </v>
          </cell>
          <cell r="C68" t="str">
            <v xml:space="preserve">COCHE CON LADRILLOS                     </v>
          </cell>
          <cell r="D68" t="str">
            <v xml:space="preserve">AMAV </v>
          </cell>
          <cell r="E68">
            <v>225.22499999999999</v>
          </cell>
          <cell r="F68">
            <v>261.26099999999997</v>
          </cell>
        </row>
        <row r="69">
          <cell r="A69">
            <v>65</v>
          </cell>
          <cell r="B69" t="str">
            <v xml:space="preserve">055350075031    </v>
          </cell>
          <cell r="C69" t="str">
            <v xml:space="preserve">PIEDRAS PINTADAS                        </v>
          </cell>
          <cell r="D69" t="str">
            <v xml:space="preserve">AMAV </v>
          </cell>
          <cell r="E69">
            <v>148.49999999999997</v>
          </cell>
          <cell r="F69">
            <v>172.25999999999996</v>
          </cell>
        </row>
        <row r="70">
          <cell r="A70">
            <v>66</v>
          </cell>
          <cell r="B70" t="str">
            <v xml:space="preserve">055350075321    </v>
          </cell>
          <cell r="C70" t="str">
            <v xml:space="preserve">CREATURAS DE PLASTILINA                 </v>
          </cell>
          <cell r="D70" t="str">
            <v xml:space="preserve">AMAV </v>
          </cell>
          <cell r="E70">
            <v>148.49999999999997</v>
          </cell>
          <cell r="F70">
            <v>172.25999999999996</v>
          </cell>
        </row>
        <row r="71">
          <cell r="A71">
            <v>67</v>
          </cell>
          <cell r="B71" t="str">
            <v xml:space="preserve">055350075390    </v>
          </cell>
          <cell r="C71" t="str">
            <v xml:space="preserve">FABRICA DE PLACAS                       </v>
          </cell>
          <cell r="D71" t="str">
            <v xml:space="preserve">AMAV </v>
          </cell>
          <cell r="E71">
            <v>160.05000000000001</v>
          </cell>
          <cell r="F71">
            <v>185.65799999999999</v>
          </cell>
        </row>
        <row r="72">
          <cell r="A72">
            <v>68</v>
          </cell>
          <cell r="B72" t="str">
            <v xml:space="preserve">055350075482    </v>
          </cell>
          <cell r="C72" t="str">
            <v xml:space="preserve">TATUAJES Y ANILLOS DE MODA              </v>
          </cell>
          <cell r="D72" t="str">
            <v xml:space="preserve">AMAV </v>
          </cell>
          <cell r="E72">
            <v>163.34999999999997</v>
          </cell>
          <cell r="F72">
            <v>189.48599999999996</v>
          </cell>
        </row>
        <row r="73">
          <cell r="A73">
            <v>69</v>
          </cell>
          <cell r="B73" t="str">
            <v xml:space="preserve">055350075505    </v>
          </cell>
          <cell r="C73" t="str">
            <v xml:space="preserve">DISEÑA TUS PLUMAS DE ARENA              </v>
          </cell>
          <cell r="D73" t="str">
            <v xml:space="preserve">AMAV </v>
          </cell>
          <cell r="E73">
            <v>163.34999999999997</v>
          </cell>
          <cell r="F73">
            <v>189.48599999999996</v>
          </cell>
        </row>
        <row r="74">
          <cell r="A74">
            <v>70</v>
          </cell>
          <cell r="B74" t="str">
            <v xml:space="preserve">055350075703    </v>
          </cell>
          <cell r="C74" t="str">
            <v xml:space="preserve">DIVERSION CON PLANTILLAS                </v>
          </cell>
          <cell r="D74" t="str">
            <v xml:space="preserve">AMAV </v>
          </cell>
          <cell r="E74">
            <v>163.34999999999997</v>
          </cell>
          <cell r="F74">
            <v>189.48599999999996</v>
          </cell>
        </row>
        <row r="75">
          <cell r="A75">
            <v>71</v>
          </cell>
          <cell r="B75" t="str">
            <v xml:space="preserve">055350075949    </v>
          </cell>
          <cell r="C75" t="str">
            <v xml:space="preserve">ARTE DE COCER                           </v>
          </cell>
          <cell r="D75" t="str">
            <v xml:space="preserve">AMAV </v>
          </cell>
          <cell r="E75">
            <v>160.05000000000001</v>
          </cell>
          <cell r="F75">
            <v>185.65799999999999</v>
          </cell>
        </row>
        <row r="76">
          <cell r="A76">
            <v>72</v>
          </cell>
          <cell r="B76" t="str">
            <v xml:space="preserve">055350090010    </v>
          </cell>
          <cell r="C76" t="str">
            <v xml:space="preserve">COCHE CON MOTOR                         </v>
          </cell>
          <cell r="D76" t="str">
            <v xml:space="preserve">AMAV </v>
          </cell>
          <cell r="E76">
            <v>384.45</v>
          </cell>
          <cell r="F76">
            <v>445.96199999999993</v>
          </cell>
        </row>
        <row r="77">
          <cell r="A77">
            <v>73</v>
          </cell>
          <cell r="B77" t="str">
            <v xml:space="preserve">055350090034    </v>
          </cell>
          <cell r="C77" t="str">
            <v xml:space="preserve">AVION DE MADERA                         </v>
          </cell>
          <cell r="D77" t="str">
            <v xml:space="preserve">AMAV </v>
          </cell>
          <cell r="E77">
            <v>384.45</v>
          </cell>
          <cell r="F77">
            <v>445.96199999999993</v>
          </cell>
        </row>
        <row r="78">
          <cell r="A78">
            <v>74</v>
          </cell>
          <cell r="B78" t="str">
            <v xml:space="preserve">055350090072    </v>
          </cell>
          <cell r="C78" t="str">
            <v xml:space="preserve">RELOJ CU CU DE MADERA                   </v>
          </cell>
          <cell r="D78" t="str">
            <v xml:space="preserve">AMAV </v>
          </cell>
          <cell r="E78">
            <v>384.45</v>
          </cell>
          <cell r="F78">
            <v>445.96199999999993</v>
          </cell>
        </row>
        <row r="79">
          <cell r="A79">
            <v>75</v>
          </cell>
          <cell r="B79" t="str">
            <v xml:space="preserve">055350090126    </v>
          </cell>
          <cell r="C79" t="str">
            <v xml:space="preserve">GLITTER SPIN ART                        </v>
          </cell>
          <cell r="D79" t="str">
            <v xml:space="preserve">AMAV </v>
          </cell>
          <cell r="E79">
            <v>313.5</v>
          </cell>
          <cell r="F79">
            <v>363.65999999999997</v>
          </cell>
        </row>
        <row r="80">
          <cell r="A80">
            <v>76</v>
          </cell>
          <cell r="B80" t="str">
            <v xml:space="preserve">055350090508    </v>
          </cell>
          <cell r="C80" t="str">
            <v xml:space="preserve">CASTILLO DE ARENA                       </v>
          </cell>
          <cell r="D80" t="str">
            <v xml:space="preserve">AMAV </v>
          </cell>
          <cell r="E80">
            <v>315.14999999999998</v>
          </cell>
          <cell r="F80">
            <v>365.57399999999996</v>
          </cell>
        </row>
        <row r="81">
          <cell r="A81">
            <v>77</v>
          </cell>
          <cell r="B81" t="str">
            <v xml:space="preserve">055350090539    </v>
          </cell>
          <cell r="C81" t="str">
            <v xml:space="preserve">ACTIVIDAD DE MOSAICOS                   </v>
          </cell>
          <cell r="D81" t="str">
            <v xml:space="preserve">AMAV </v>
          </cell>
          <cell r="E81">
            <v>315.14999999999998</v>
          </cell>
          <cell r="F81">
            <v>365.57399999999996</v>
          </cell>
        </row>
        <row r="82">
          <cell r="A82">
            <v>78</v>
          </cell>
          <cell r="B82" t="str">
            <v xml:space="preserve">055350090577    </v>
          </cell>
          <cell r="C82" t="str">
            <v xml:space="preserve">DOMOS DE CRISTAL Y PLUMA                </v>
          </cell>
          <cell r="D82" t="str">
            <v xml:space="preserve">AMAV </v>
          </cell>
          <cell r="E82">
            <v>315.14999999999998</v>
          </cell>
          <cell r="F82">
            <v>365.57399999999996</v>
          </cell>
        </row>
        <row r="83">
          <cell r="A83">
            <v>79</v>
          </cell>
          <cell r="B83" t="str">
            <v xml:space="preserve">055350090591    </v>
          </cell>
          <cell r="C83" t="str">
            <v xml:space="preserve">QUILT AND NEEDLE CRAFT                  </v>
          </cell>
          <cell r="D83" t="str">
            <v xml:space="preserve">AMAV </v>
          </cell>
          <cell r="E83">
            <v>315.14999999999998</v>
          </cell>
          <cell r="F83">
            <v>365.57399999999996</v>
          </cell>
        </row>
        <row r="84">
          <cell r="A84">
            <v>80</v>
          </cell>
          <cell r="B84" t="str">
            <v xml:space="preserve">055350091369    </v>
          </cell>
          <cell r="C84" t="str">
            <v xml:space="preserve">JUEGO DE JOYERIA                        </v>
          </cell>
          <cell r="D84" t="str">
            <v xml:space="preserve">AMAV </v>
          </cell>
          <cell r="E84">
            <v>242.54999999999998</v>
          </cell>
          <cell r="F84">
            <v>281.35799999999995</v>
          </cell>
        </row>
        <row r="85">
          <cell r="A85">
            <v>81</v>
          </cell>
          <cell r="B85" t="str">
            <v xml:space="preserve">055350092281    </v>
          </cell>
          <cell r="C85" t="str">
            <v xml:space="preserve">FIGURAS CON LADRILLOS                   </v>
          </cell>
          <cell r="D85" t="str">
            <v xml:space="preserve">AMAV </v>
          </cell>
          <cell r="E85">
            <v>275.55</v>
          </cell>
          <cell r="F85">
            <v>319.63799999999998</v>
          </cell>
        </row>
        <row r="86">
          <cell r="A86">
            <v>82</v>
          </cell>
          <cell r="B86" t="str">
            <v xml:space="preserve">055350092359    </v>
          </cell>
          <cell r="C86" t="str">
            <v xml:space="preserve">SEA SHELL BOUTIQUE                      </v>
          </cell>
          <cell r="D86" t="str">
            <v xml:space="preserve">AMAV </v>
          </cell>
          <cell r="E86">
            <v>288.75</v>
          </cell>
          <cell r="F86">
            <v>334.95</v>
          </cell>
        </row>
        <row r="87">
          <cell r="A87">
            <v>83</v>
          </cell>
          <cell r="B87" t="str">
            <v xml:space="preserve">055350092465    </v>
          </cell>
          <cell r="C87" t="str">
            <v xml:space="preserve">STARDUST JEWELRY BOX                    </v>
          </cell>
          <cell r="D87" t="str">
            <v xml:space="preserve">AMAV </v>
          </cell>
          <cell r="E87">
            <v>288.75</v>
          </cell>
          <cell r="F87">
            <v>334.95</v>
          </cell>
        </row>
        <row r="88">
          <cell r="A88">
            <v>84</v>
          </cell>
          <cell r="B88" t="str">
            <v xml:space="preserve">182021000969    </v>
          </cell>
          <cell r="C88" t="str">
            <v xml:space="preserve">COLOR SPLITZ                            </v>
          </cell>
          <cell r="D88" t="str">
            <v xml:space="preserve">AMAV </v>
          </cell>
          <cell r="E88">
            <v>392.7</v>
          </cell>
          <cell r="F88">
            <v>455.53199999999993</v>
          </cell>
        </row>
        <row r="89">
          <cell r="A89">
            <v>85</v>
          </cell>
          <cell r="B89" t="str">
            <v xml:space="preserve">7290001214176   </v>
          </cell>
          <cell r="C89" t="str">
            <v xml:space="preserve">FUN BRICKS                              </v>
          </cell>
          <cell r="D89" t="str">
            <v xml:space="preserve">AMAV </v>
          </cell>
          <cell r="E89">
            <v>163.34999999999997</v>
          </cell>
          <cell r="F89">
            <v>189.48599999999996</v>
          </cell>
        </row>
        <row r="90">
          <cell r="A90">
            <v>86</v>
          </cell>
          <cell r="B90" t="str">
            <v xml:space="preserve">7290001214596   </v>
          </cell>
          <cell r="C90" t="str">
            <v xml:space="preserve">DIVERSION CON PLANTILLAS                </v>
          </cell>
          <cell r="D90" t="str">
            <v xml:space="preserve">AMAV </v>
          </cell>
          <cell r="E90">
            <v>163.34999999999997</v>
          </cell>
          <cell r="F90">
            <v>189.48599999999996</v>
          </cell>
        </row>
        <row r="91">
          <cell r="A91">
            <v>87</v>
          </cell>
          <cell r="B91" t="str">
            <v xml:space="preserve">7290001214626   </v>
          </cell>
          <cell r="C91" t="str">
            <v xml:space="preserve">MARTILLO EDUCATIVO                      </v>
          </cell>
          <cell r="D91" t="str">
            <v xml:space="preserve">AMAV </v>
          </cell>
          <cell r="E91">
            <v>160.05000000000001</v>
          </cell>
          <cell r="F91">
            <v>185.65799999999999</v>
          </cell>
        </row>
        <row r="92">
          <cell r="A92">
            <v>88</v>
          </cell>
          <cell r="B92" t="str">
            <v xml:space="preserve">7290001214824   </v>
          </cell>
          <cell r="C92" t="str">
            <v xml:space="preserve">DIARIO Y PLUMA                          </v>
          </cell>
          <cell r="D92" t="str">
            <v xml:space="preserve">AMAV </v>
          </cell>
          <cell r="E92">
            <v>256.57499999999999</v>
          </cell>
          <cell r="F92">
            <v>297.62699999999995</v>
          </cell>
        </row>
        <row r="93">
          <cell r="A93">
            <v>89</v>
          </cell>
          <cell r="B93" t="str">
            <v xml:space="preserve">7290002561422   </v>
          </cell>
          <cell r="C93" t="str">
            <v xml:space="preserve">FABRICA DE PLACAS                       </v>
          </cell>
          <cell r="D93" t="str">
            <v xml:space="preserve">AMAV </v>
          </cell>
          <cell r="E93">
            <v>160.05000000000001</v>
          </cell>
          <cell r="F93">
            <v>185.65799999999999</v>
          </cell>
        </row>
        <row r="94">
          <cell r="A94">
            <v>90</v>
          </cell>
          <cell r="B94" t="str">
            <v xml:space="preserve">7290002561545   </v>
          </cell>
          <cell r="C94" t="str">
            <v xml:space="preserve">BRACELET WEAVING KIT                    </v>
          </cell>
          <cell r="D94" t="str">
            <v xml:space="preserve">AMAV </v>
          </cell>
          <cell r="E94">
            <v>256.57499999999999</v>
          </cell>
          <cell r="F94">
            <v>297.62699999999995</v>
          </cell>
        </row>
        <row r="95">
          <cell r="A95">
            <v>91</v>
          </cell>
          <cell r="B95" t="str">
            <v xml:space="preserve">7290003577194   </v>
          </cell>
          <cell r="C95" t="str">
            <v xml:space="preserve">PIEDRAS PINTADAS                        </v>
          </cell>
          <cell r="D95" t="str">
            <v xml:space="preserve">AMAV </v>
          </cell>
          <cell r="E95">
            <v>148.49999999999997</v>
          </cell>
          <cell r="F95">
            <v>172.25999999999996</v>
          </cell>
        </row>
        <row r="96">
          <cell r="A96">
            <v>92</v>
          </cell>
          <cell r="B96" t="str">
            <v xml:space="preserve">7290003577477   </v>
          </cell>
          <cell r="C96" t="str">
            <v xml:space="preserve">FLORES DE CHOCOLATES                    </v>
          </cell>
          <cell r="D96" t="str">
            <v xml:space="preserve">AMAV </v>
          </cell>
          <cell r="E96">
            <v>256.57499999999999</v>
          </cell>
          <cell r="F96">
            <v>297.62699999999995</v>
          </cell>
        </row>
        <row r="97">
          <cell r="A97">
            <v>93</v>
          </cell>
          <cell r="B97" t="str">
            <v xml:space="preserve">7290003577569   </v>
          </cell>
          <cell r="C97" t="str">
            <v xml:space="preserve">COFRE DE PIRATA                         </v>
          </cell>
          <cell r="D97" t="str">
            <v xml:space="preserve">AMAV </v>
          </cell>
          <cell r="E97">
            <v>321.75</v>
          </cell>
          <cell r="F97">
            <v>373.22999999999996</v>
          </cell>
        </row>
        <row r="98">
          <cell r="A98">
            <v>94</v>
          </cell>
          <cell r="B98" t="str">
            <v xml:space="preserve">7290004957025   </v>
          </cell>
          <cell r="C98" t="str">
            <v xml:space="preserve">TATUAJES Y ANILLOS DE MODA              </v>
          </cell>
          <cell r="D98" t="str">
            <v xml:space="preserve">AMAV </v>
          </cell>
          <cell r="E98">
            <v>163.34999999999997</v>
          </cell>
          <cell r="F98">
            <v>189.48599999999996</v>
          </cell>
        </row>
        <row r="99">
          <cell r="A99">
            <v>95</v>
          </cell>
          <cell r="B99" t="str">
            <v xml:space="preserve">7290004957414   </v>
          </cell>
          <cell r="C99" t="str">
            <v xml:space="preserve">ARTE DE COSER                           </v>
          </cell>
          <cell r="D99" t="str">
            <v xml:space="preserve">AMAV </v>
          </cell>
          <cell r="E99">
            <v>160.05000000000001</v>
          </cell>
          <cell r="F99">
            <v>185.65799999999999</v>
          </cell>
        </row>
        <row r="100">
          <cell r="A100">
            <v>96</v>
          </cell>
          <cell r="B100" t="str">
            <v xml:space="preserve">7290004957995   </v>
          </cell>
          <cell r="C100" t="str">
            <v xml:space="preserve">SOMBRERO MAGICO                         </v>
          </cell>
          <cell r="D100" t="str">
            <v xml:space="preserve">AMAV </v>
          </cell>
          <cell r="E100">
            <v>294.52499999999998</v>
          </cell>
          <cell r="F100">
            <v>341.64899999999994</v>
          </cell>
        </row>
        <row r="101">
          <cell r="A101">
            <v>97</v>
          </cell>
          <cell r="B101" t="str">
            <v xml:space="preserve">7290006345561   </v>
          </cell>
          <cell r="C101" t="str">
            <v xml:space="preserve">FIGURAS CON LADRILLOS                   </v>
          </cell>
          <cell r="D101" t="str">
            <v xml:space="preserve">AMAV </v>
          </cell>
          <cell r="E101">
            <v>275.55</v>
          </cell>
          <cell r="F101">
            <v>319.63799999999998</v>
          </cell>
        </row>
        <row r="102">
          <cell r="A102">
            <v>98</v>
          </cell>
          <cell r="B102" t="str">
            <v xml:space="preserve">7290006345905   </v>
          </cell>
          <cell r="C102" t="str">
            <v xml:space="preserve">FUN BRICKS CAJA GRANDE                  </v>
          </cell>
          <cell r="D102" t="str">
            <v xml:space="preserve">AMAV </v>
          </cell>
          <cell r="E102">
            <v>339.9</v>
          </cell>
          <cell r="F102">
            <v>394.28399999999993</v>
          </cell>
        </row>
        <row r="103">
          <cell r="A103">
            <v>99</v>
          </cell>
          <cell r="B103" t="str">
            <v xml:space="preserve">7290006345950   </v>
          </cell>
          <cell r="C103" t="str">
            <v xml:space="preserve">LADRILLOS DE PLASTICO CON MOTOR         </v>
          </cell>
          <cell r="D103" t="str">
            <v xml:space="preserve">AMAV </v>
          </cell>
          <cell r="E103">
            <v>384.45</v>
          </cell>
          <cell r="F103">
            <v>445.96199999999993</v>
          </cell>
        </row>
        <row r="104">
          <cell r="A104">
            <v>100</v>
          </cell>
          <cell r="B104" t="str">
            <v xml:space="preserve">7290010285280   </v>
          </cell>
          <cell r="C104" t="str">
            <v xml:space="preserve">JOYERIA CON HILOS DE PLASTICO           </v>
          </cell>
          <cell r="D104" t="str">
            <v xml:space="preserve">AMAV </v>
          </cell>
          <cell r="E104">
            <v>163.34999999999997</v>
          </cell>
          <cell r="F104">
            <v>189.48599999999996</v>
          </cell>
        </row>
        <row r="105">
          <cell r="A105">
            <v>101</v>
          </cell>
          <cell r="B105" t="str">
            <v xml:space="preserve">7290010285297   </v>
          </cell>
          <cell r="C105" t="str">
            <v xml:space="preserve">DISEÑA TUS PLUMAS DE ARENA              </v>
          </cell>
          <cell r="D105" t="str">
            <v xml:space="preserve">AMAV </v>
          </cell>
          <cell r="E105">
            <v>155.92499999999998</v>
          </cell>
          <cell r="F105">
            <v>180.87299999999996</v>
          </cell>
        </row>
        <row r="106">
          <cell r="A106">
            <v>102</v>
          </cell>
          <cell r="B106" t="str">
            <v xml:space="preserve">7290010285310   </v>
          </cell>
          <cell r="C106" t="str">
            <v xml:space="preserve">JUEGO DE JOYERIA                        </v>
          </cell>
          <cell r="D106" t="str">
            <v xml:space="preserve">AMAV </v>
          </cell>
          <cell r="E106">
            <v>242.54999999999998</v>
          </cell>
          <cell r="F106">
            <v>281.35799999999995</v>
          </cell>
        </row>
        <row r="107">
          <cell r="A107">
            <v>103</v>
          </cell>
          <cell r="B107" t="str">
            <v xml:space="preserve">870523008407    </v>
          </cell>
          <cell r="C107" t="str">
            <v xml:space="preserve">MARBULOUS GLOW 46 (TM-840)              </v>
          </cell>
          <cell r="D107" t="str">
            <v xml:space="preserve">AMAV </v>
          </cell>
          <cell r="E107">
            <v>356.4</v>
          </cell>
          <cell r="F107">
            <v>413.42399999999992</v>
          </cell>
        </row>
        <row r="108">
          <cell r="A108">
            <v>104</v>
          </cell>
          <cell r="B108" t="str">
            <v xml:space="preserve">7501991806006   </v>
          </cell>
          <cell r="C108" t="str">
            <v xml:space="preserve">APIZARRADO LISO O EL ATOMO              </v>
          </cell>
          <cell r="D108" t="str">
            <v>APIZA</v>
          </cell>
          <cell r="E108">
            <v>188.1</v>
          </cell>
          <cell r="F108">
            <v>218.19599999999997</v>
          </cell>
        </row>
        <row r="109">
          <cell r="A109">
            <v>105</v>
          </cell>
          <cell r="B109" t="str">
            <v xml:space="preserve">7501991806020   </v>
          </cell>
          <cell r="C109" t="str">
            <v xml:space="preserve">APIZARRADO AFRICA DOBLE C/S NOMBRE 1Pz  </v>
          </cell>
          <cell r="D109" t="str">
            <v>APIZA</v>
          </cell>
          <cell r="E109">
            <v>199.64999999999998</v>
          </cell>
          <cell r="F109">
            <v>231.59399999999997</v>
          </cell>
        </row>
        <row r="110">
          <cell r="A110">
            <v>106</v>
          </cell>
          <cell r="B110" t="str">
            <v xml:space="preserve">7501991806037   </v>
          </cell>
          <cell r="C110" t="str">
            <v xml:space="preserve">APIZARRADO ASIA DOBLE C/S NOMBRE 1Pz    </v>
          </cell>
          <cell r="D110" t="str">
            <v>APIZA</v>
          </cell>
          <cell r="E110">
            <v>199.64999999999998</v>
          </cell>
          <cell r="F110">
            <v>231.59399999999997</v>
          </cell>
        </row>
        <row r="111">
          <cell r="A111">
            <v>107</v>
          </cell>
          <cell r="B111" t="str">
            <v xml:space="preserve">7501991806044   </v>
          </cell>
          <cell r="C111" t="str">
            <v xml:space="preserve">APIZARRADO EUROPA DOBLE C/S NOMBRE 1Pz  </v>
          </cell>
          <cell r="D111" t="str">
            <v>APIZA</v>
          </cell>
          <cell r="E111">
            <v>199.64999999999998</v>
          </cell>
          <cell r="F111">
            <v>231.59399999999997</v>
          </cell>
        </row>
        <row r="112">
          <cell r="A112">
            <v>108</v>
          </cell>
          <cell r="B112" t="str">
            <v xml:space="preserve">7501991806051   </v>
          </cell>
          <cell r="C112" t="str">
            <v xml:space="preserve">APIZARRADO PLANISFERIO DOBLE C/S 1Pz    </v>
          </cell>
          <cell r="D112" t="str">
            <v>APIZA</v>
          </cell>
          <cell r="E112">
            <v>199.64999999999998</v>
          </cell>
          <cell r="F112">
            <v>231.59399999999997</v>
          </cell>
        </row>
        <row r="113">
          <cell r="A113">
            <v>109</v>
          </cell>
          <cell r="B113" t="str">
            <v xml:space="preserve">7501991806068   </v>
          </cell>
          <cell r="C113" t="str">
            <v xml:space="preserve">APIZARRADO TABLA PITAGORICA             </v>
          </cell>
          <cell r="D113" t="str">
            <v>APIZA</v>
          </cell>
          <cell r="E113">
            <v>188.1</v>
          </cell>
          <cell r="F113">
            <v>218.19599999999997</v>
          </cell>
        </row>
        <row r="114">
          <cell r="A114">
            <v>110</v>
          </cell>
          <cell r="B114" t="str">
            <v xml:space="preserve">7501991806075   </v>
          </cell>
          <cell r="C114" t="str">
            <v xml:space="preserve">APIZARRADO PARA GIS REP. MEX.           </v>
          </cell>
          <cell r="D114" t="str">
            <v>APIZA</v>
          </cell>
          <cell r="E114">
            <v>224.4</v>
          </cell>
          <cell r="F114">
            <v>260.30399999999997</v>
          </cell>
        </row>
        <row r="115">
          <cell r="A115">
            <v>111</v>
          </cell>
          <cell r="B115" t="str">
            <v xml:space="preserve">7501991806082   </v>
          </cell>
          <cell r="C115" t="str">
            <v xml:space="preserve">APIZARRADO AMERICA HIDROGRAFIA. 1Pz     </v>
          </cell>
          <cell r="D115" t="str">
            <v>APIZA</v>
          </cell>
          <cell r="E115">
            <v>188.1</v>
          </cell>
          <cell r="F115">
            <v>218.19599999999997</v>
          </cell>
        </row>
        <row r="116">
          <cell r="A116">
            <v>112</v>
          </cell>
          <cell r="B116" t="str">
            <v xml:space="preserve">7501991806099   </v>
          </cell>
          <cell r="C116" t="str">
            <v xml:space="preserve">APIZARRADO DISTRITO FEDERAL 1PZ         </v>
          </cell>
          <cell r="D116" t="str">
            <v>APIZA</v>
          </cell>
          <cell r="E116">
            <v>188.1</v>
          </cell>
          <cell r="F116">
            <v>218.19599999999997</v>
          </cell>
        </row>
        <row r="117">
          <cell r="A117">
            <v>113</v>
          </cell>
          <cell r="B117" t="str">
            <v xml:space="preserve">7501991806105   </v>
          </cell>
          <cell r="C117" t="str">
            <v xml:space="preserve">APIZARRADO OCEANIA 1Pz                  </v>
          </cell>
          <cell r="D117" t="str">
            <v>APIZA</v>
          </cell>
          <cell r="E117">
            <v>188.1</v>
          </cell>
          <cell r="F117">
            <v>218.19599999999997</v>
          </cell>
        </row>
        <row r="118">
          <cell r="A118">
            <v>114</v>
          </cell>
          <cell r="B118" t="str">
            <v xml:space="preserve">7501991806112   </v>
          </cell>
          <cell r="C118" t="str">
            <v xml:space="preserve">APIZARRADO CUADRICULADO O FLOR 1PZ      </v>
          </cell>
          <cell r="D118" t="str">
            <v>APIZA</v>
          </cell>
          <cell r="E118">
            <v>188.1</v>
          </cell>
          <cell r="F118">
            <v>218.19599999999997</v>
          </cell>
        </row>
        <row r="119">
          <cell r="A119">
            <v>115</v>
          </cell>
          <cell r="B119" t="str">
            <v xml:space="preserve">7501991806129   </v>
          </cell>
          <cell r="C119" t="str">
            <v xml:space="preserve">APIZARRADO ASIA HIDRO Y/O ORO           </v>
          </cell>
          <cell r="D119" t="str">
            <v>APIZA</v>
          </cell>
          <cell r="E119">
            <v>188.1</v>
          </cell>
          <cell r="F119">
            <v>218.19599999999997</v>
          </cell>
        </row>
        <row r="120">
          <cell r="A120">
            <v>116</v>
          </cell>
          <cell r="B120" t="str">
            <v xml:space="preserve">7501991806143   </v>
          </cell>
          <cell r="C120" t="str">
            <v xml:space="preserve">APIZARRADO DIGESTIVO/ENDOCRINO          </v>
          </cell>
          <cell r="D120" t="str">
            <v>APIZA</v>
          </cell>
          <cell r="E120">
            <v>188.1</v>
          </cell>
          <cell r="F120">
            <v>218.19599999999997</v>
          </cell>
        </row>
        <row r="121">
          <cell r="A121">
            <v>117</v>
          </cell>
          <cell r="B121" t="str">
            <v xml:space="preserve">7501991806150   </v>
          </cell>
          <cell r="C121" t="str">
            <v xml:space="preserve">APIZARRADO ESTADO DE PUEBLA             </v>
          </cell>
          <cell r="D121" t="str">
            <v>APIZA</v>
          </cell>
          <cell r="E121">
            <v>188.1</v>
          </cell>
          <cell r="F121">
            <v>218.19599999999997</v>
          </cell>
        </row>
        <row r="122">
          <cell r="A122">
            <v>118</v>
          </cell>
          <cell r="B122" t="str">
            <v xml:space="preserve">7501991806198   </v>
          </cell>
          <cell r="C122" t="str">
            <v xml:space="preserve">APIZARRADO EUROPA HIDRO/ORO             </v>
          </cell>
          <cell r="D122" t="str">
            <v>APIZA</v>
          </cell>
          <cell r="E122">
            <v>188.1</v>
          </cell>
          <cell r="F122">
            <v>218.19599999999997</v>
          </cell>
        </row>
        <row r="123">
          <cell r="A123">
            <v>119</v>
          </cell>
          <cell r="B123" t="str">
            <v xml:space="preserve">7501991806204   </v>
          </cell>
          <cell r="C123" t="str">
            <v xml:space="preserve">APIZARRADO AMERICA (E155) 1Pz           </v>
          </cell>
          <cell r="D123" t="str">
            <v>APIZA</v>
          </cell>
          <cell r="E123">
            <v>188.1</v>
          </cell>
          <cell r="F123">
            <v>218.19599999999997</v>
          </cell>
        </row>
        <row r="124">
          <cell r="A124">
            <v>120</v>
          </cell>
          <cell r="B124" t="str">
            <v xml:space="preserve">7501991806211   </v>
          </cell>
          <cell r="C124" t="str">
            <v xml:space="preserve">APIZARRADO TABLA PERIODICA 1Pz          </v>
          </cell>
          <cell r="D124" t="str">
            <v>APIZA</v>
          </cell>
          <cell r="E124">
            <v>188.1</v>
          </cell>
          <cell r="F124">
            <v>218.19599999999997</v>
          </cell>
        </row>
        <row r="125">
          <cell r="A125">
            <v>121</v>
          </cell>
          <cell r="B125" t="str">
            <v xml:space="preserve">7501991806228   </v>
          </cell>
          <cell r="C125" t="str">
            <v xml:space="preserve">APIZARRADO REP.MEXICANA 1Pz             </v>
          </cell>
          <cell r="D125" t="str">
            <v>APIZA</v>
          </cell>
          <cell r="E125">
            <v>188.1</v>
          </cell>
          <cell r="F125">
            <v>218.19599999999997</v>
          </cell>
        </row>
        <row r="126">
          <cell r="A126">
            <v>122</v>
          </cell>
          <cell r="B126" t="str">
            <v xml:space="preserve">7501991806235   </v>
          </cell>
          <cell r="C126" t="str">
            <v xml:space="preserve">APIZARRADO REP. MEXICANA HIDRO7ORO      </v>
          </cell>
          <cell r="D126" t="str">
            <v>APIZA</v>
          </cell>
          <cell r="E126">
            <v>188.1</v>
          </cell>
          <cell r="F126">
            <v>218.19599999999997</v>
          </cell>
        </row>
        <row r="127">
          <cell r="A127">
            <v>123</v>
          </cell>
          <cell r="B127" t="str">
            <v xml:space="preserve">7501991806242   </v>
          </cell>
          <cell r="C127" t="str">
            <v xml:space="preserve">APIZARRADO AFRICA 1Pz                   </v>
          </cell>
          <cell r="D127" t="str">
            <v>APIZA</v>
          </cell>
          <cell r="E127">
            <v>188.1</v>
          </cell>
          <cell r="F127">
            <v>218.19599999999997</v>
          </cell>
        </row>
        <row r="128">
          <cell r="A128">
            <v>124</v>
          </cell>
          <cell r="B128" t="str">
            <v xml:space="preserve">7501991806259   </v>
          </cell>
          <cell r="C128" t="str">
            <v xml:space="preserve">APIZARRADO ASIA 1Pz                     </v>
          </cell>
          <cell r="D128" t="str">
            <v>APIZA</v>
          </cell>
          <cell r="E128">
            <v>188.1</v>
          </cell>
          <cell r="F128">
            <v>218.19599999999997</v>
          </cell>
        </row>
        <row r="129">
          <cell r="A129">
            <v>125</v>
          </cell>
          <cell r="B129" t="str">
            <v xml:space="preserve">7501991806266   </v>
          </cell>
          <cell r="C129" t="str">
            <v xml:space="preserve">APIZARRADO PARA GIS EUROPA C/ NOMBRES   </v>
          </cell>
          <cell r="D129" t="str">
            <v>APIZA</v>
          </cell>
          <cell r="E129">
            <v>224.4</v>
          </cell>
          <cell r="F129">
            <v>260.30399999999997</v>
          </cell>
        </row>
        <row r="130">
          <cell r="A130">
            <v>126</v>
          </cell>
          <cell r="B130" t="str">
            <v xml:space="preserve">7501991806273   </v>
          </cell>
          <cell r="C130" t="str">
            <v xml:space="preserve">APIZARRADO PARA GIS EUROPA S/NOMBRES    </v>
          </cell>
          <cell r="D130" t="str">
            <v>APIZA</v>
          </cell>
          <cell r="E130">
            <v>224.4</v>
          </cell>
          <cell r="F130">
            <v>260.30399999999997</v>
          </cell>
        </row>
        <row r="131">
          <cell r="A131">
            <v>127</v>
          </cell>
          <cell r="B131" t="str">
            <v xml:space="preserve">7501991806280   </v>
          </cell>
          <cell r="C131" t="str">
            <v xml:space="preserve">APIZARRADO SISTEMA OSEO                 </v>
          </cell>
          <cell r="D131" t="str">
            <v>APIZA</v>
          </cell>
          <cell r="E131">
            <v>188.1</v>
          </cell>
          <cell r="F131">
            <v>218.19599999999997</v>
          </cell>
        </row>
        <row r="132">
          <cell r="A132">
            <v>128</v>
          </cell>
          <cell r="B132" t="str">
            <v xml:space="preserve">7501991806297   </v>
          </cell>
          <cell r="C132" t="str">
            <v xml:space="preserve">APIZARRADO DEL ESTADO DE MORELOS        </v>
          </cell>
          <cell r="D132" t="str">
            <v>APIZA</v>
          </cell>
          <cell r="E132">
            <v>188.1</v>
          </cell>
          <cell r="F132">
            <v>218.19599999999997</v>
          </cell>
        </row>
        <row r="133">
          <cell r="A133">
            <v>129</v>
          </cell>
          <cell r="B133" t="str">
            <v xml:space="preserve">7501991806303   </v>
          </cell>
          <cell r="C133" t="str">
            <v xml:space="preserve">APIZARRADO APARATO FEMENINO / MASCULINO </v>
          </cell>
          <cell r="D133" t="str">
            <v>APIZA</v>
          </cell>
          <cell r="E133">
            <v>188.1</v>
          </cell>
          <cell r="F133">
            <v>218.19599999999997</v>
          </cell>
        </row>
        <row r="134">
          <cell r="A134">
            <v>130</v>
          </cell>
          <cell r="B134" t="str">
            <v xml:space="preserve">7501991806310   </v>
          </cell>
          <cell r="C134" t="str">
            <v>APIZARRADO APARATO DIGESTIVO / ENDOCRINO</v>
          </cell>
          <cell r="D134" t="str">
            <v>APIZA</v>
          </cell>
          <cell r="E134">
            <v>188.1</v>
          </cell>
          <cell r="F134">
            <v>218.19599999999997</v>
          </cell>
        </row>
        <row r="135">
          <cell r="A135">
            <v>131</v>
          </cell>
          <cell r="B135" t="str">
            <v xml:space="preserve">7501991806327   </v>
          </cell>
          <cell r="C135" t="str">
            <v xml:space="preserve">APIZARRADO AMERICA OROGRAFIA 1Pz        </v>
          </cell>
          <cell r="D135" t="str">
            <v>APIZA</v>
          </cell>
          <cell r="E135">
            <v>188.1</v>
          </cell>
          <cell r="F135">
            <v>218.19599999999997</v>
          </cell>
        </row>
        <row r="136">
          <cell r="A136">
            <v>132</v>
          </cell>
          <cell r="B136" t="str">
            <v xml:space="preserve">7501991806334   </v>
          </cell>
          <cell r="C136" t="str">
            <v xml:space="preserve">APIZARRADO AFRICA C/HIDROGRAFIA 1 PZA   </v>
          </cell>
          <cell r="D136" t="str">
            <v>APIZA</v>
          </cell>
          <cell r="E136">
            <v>188.1</v>
          </cell>
          <cell r="F136">
            <v>218.19599999999997</v>
          </cell>
        </row>
        <row r="137">
          <cell r="A137">
            <v>133</v>
          </cell>
          <cell r="B137" t="str">
            <v xml:space="preserve">7501991806358   </v>
          </cell>
          <cell r="C137" t="str">
            <v xml:space="preserve">APIZARRADO OCEANIA DOBLE                </v>
          </cell>
          <cell r="D137" t="str">
            <v>APIZA</v>
          </cell>
          <cell r="E137">
            <v>199.64999999999998</v>
          </cell>
          <cell r="F137">
            <v>231.59399999999997</v>
          </cell>
        </row>
        <row r="138">
          <cell r="A138">
            <v>134</v>
          </cell>
          <cell r="B138" t="str">
            <v xml:space="preserve">7501991806365   </v>
          </cell>
          <cell r="C138" t="str">
            <v xml:space="preserve">APIZARRADO CENTRO AMERICA 1PZ           </v>
          </cell>
          <cell r="D138" t="str">
            <v>APIZA</v>
          </cell>
          <cell r="E138">
            <v>188.1</v>
          </cell>
          <cell r="F138">
            <v>218.19599999999997</v>
          </cell>
        </row>
        <row r="139">
          <cell r="A139">
            <v>135</v>
          </cell>
          <cell r="B139" t="str">
            <v xml:space="preserve">7501991806372   </v>
          </cell>
          <cell r="C139" t="str">
            <v xml:space="preserve">APIZARRADO ESTADO DE MEXICO 1PZ         </v>
          </cell>
          <cell r="D139" t="str">
            <v>APIZA</v>
          </cell>
          <cell r="E139">
            <v>188.1</v>
          </cell>
          <cell r="F139">
            <v>218.19599999999997</v>
          </cell>
        </row>
        <row r="140">
          <cell r="A140">
            <v>136</v>
          </cell>
          <cell r="B140" t="str">
            <v xml:space="preserve">7501991806389   </v>
          </cell>
          <cell r="C140" t="str">
            <v xml:space="preserve">APIZARRADO AFRICA OROGRAFIA             </v>
          </cell>
          <cell r="D140" t="str">
            <v>APIZA</v>
          </cell>
          <cell r="E140">
            <v>188.1</v>
          </cell>
          <cell r="F140">
            <v>218.19599999999997</v>
          </cell>
        </row>
        <row r="141">
          <cell r="A141">
            <v>137</v>
          </cell>
          <cell r="B141" t="str">
            <v xml:space="preserve">7501991806396   </v>
          </cell>
          <cell r="C141" t="str">
            <v xml:space="preserve">APIZARRADO PARA GIS AFRICA              </v>
          </cell>
          <cell r="D141" t="str">
            <v>APIZA</v>
          </cell>
          <cell r="E141">
            <v>224.4</v>
          </cell>
          <cell r="F141">
            <v>260.30399999999997</v>
          </cell>
        </row>
        <row r="142">
          <cell r="A142">
            <v>138</v>
          </cell>
          <cell r="B142" t="str">
            <v xml:space="preserve">7501991806419   </v>
          </cell>
          <cell r="C142" t="str">
            <v xml:space="preserve">APIZARADO DOBLE REP. MEXICANA           </v>
          </cell>
          <cell r="D142" t="str">
            <v>APIZA</v>
          </cell>
          <cell r="E142">
            <v>199.64999999999998</v>
          </cell>
          <cell r="F142">
            <v>231.59399999999997</v>
          </cell>
        </row>
        <row r="143">
          <cell r="A143">
            <v>139</v>
          </cell>
          <cell r="B143" t="str">
            <v xml:space="preserve">7501991806426   </v>
          </cell>
          <cell r="C143" t="str">
            <v xml:space="preserve">APIZARRADO VISTA / TACTO/ OIDO 1Pz      </v>
          </cell>
          <cell r="D143" t="str">
            <v>APIZA</v>
          </cell>
          <cell r="E143">
            <v>188.1</v>
          </cell>
          <cell r="F143">
            <v>218.19599999999997</v>
          </cell>
        </row>
        <row r="144">
          <cell r="A144">
            <v>140</v>
          </cell>
          <cell r="B144" t="str">
            <v xml:space="preserve">7501991806433   </v>
          </cell>
          <cell r="C144" t="str">
            <v xml:space="preserve">APIZARRADO APARATO NERVIOSO / MUSCULAR  </v>
          </cell>
          <cell r="D144" t="str">
            <v>APIZA</v>
          </cell>
          <cell r="E144">
            <v>188.1</v>
          </cell>
          <cell r="F144">
            <v>218.19599999999997</v>
          </cell>
        </row>
        <row r="145">
          <cell r="A145">
            <v>141</v>
          </cell>
          <cell r="B145" t="str">
            <v xml:space="preserve">7501991806440   </v>
          </cell>
          <cell r="C145" t="str">
            <v xml:space="preserve">APIZARRADO FIG. Y SUPERFICIES (NUEVO)   </v>
          </cell>
          <cell r="D145" t="str">
            <v>APIZA</v>
          </cell>
          <cell r="E145">
            <v>188.1</v>
          </cell>
          <cell r="F145">
            <v>218.19599999999997</v>
          </cell>
        </row>
        <row r="146">
          <cell r="A146">
            <v>142</v>
          </cell>
          <cell r="B146" t="str">
            <v xml:space="preserve">7501991806457   </v>
          </cell>
          <cell r="C146" t="str">
            <v xml:space="preserve">APIZARRADO SISTEMA METRICO DECIMAL 1Pz  </v>
          </cell>
          <cell r="D146" t="str">
            <v>APIZA</v>
          </cell>
          <cell r="E146">
            <v>188.1</v>
          </cell>
          <cell r="F146">
            <v>218.19599999999997</v>
          </cell>
        </row>
        <row r="147">
          <cell r="A147">
            <v>143</v>
          </cell>
          <cell r="B147" t="str">
            <v xml:space="preserve">7501991806464   </v>
          </cell>
          <cell r="C147" t="str">
            <v xml:space="preserve">APIZARRADO ESTADO DE GUERRERO 1Pz       </v>
          </cell>
          <cell r="D147" t="str">
            <v>APIZA</v>
          </cell>
          <cell r="E147">
            <v>188.1</v>
          </cell>
          <cell r="F147">
            <v>218.19599999999997</v>
          </cell>
        </row>
        <row r="148">
          <cell r="A148">
            <v>144</v>
          </cell>
          <cell r="B148" t="str">
            <v xml:space="preserve">7501991806488   </v>
          </cell>
          <cell r="C148" t="str">
            <v xml:space="preserve">APIZARRADO DIDACTIVERBOS                </v>
          </cell>
          <cell r="D148" t="str">
            <v>APIZA</v>
          </cell>
          <cell r="E148">
            <v>188.1</v>
          </cell>
          <cell r="F148">
            <v>218.19599999999997</v>
          </cell>
        </row>
        <row r="149">
          <cell r="A149">
            <v>145</v>
          </cell>
          <cell r="B149" t="str">
            <v xml:space="preserve">7501991806495   </v>
          </cell>
          <cell r="C149" t="str">
            <v xml:space="preserve">APIZARRADO ENGLISH ASSOCIATION          </v>
          </cell>
          <cell r="D149" t="str">
            <v>APIZA</v>
          </cell>
          <cell r="E149">
            <v>188.1</v>
          </cell>
          <cell r="F149">
            <v>218.19599999999997</v>
          </cell>
        </row>
        <row r="150">
          <cell r="A150">
            <v>146</v>
          </cell>
          <cell r="B150" t="str">
            <v xml:space="preserve">7501991806501   </v>
          </cell>
          <cell r="C150" t="str">
            <v xml:space="preserve">APIZARRADO ESTADO DE DURANGO            </v>
          </cell>
          <cell r="D150" t="str">
            <v>APIZA</v>
          </cell>
          <cell r="E150">
            <v>188.1</v>
          </cell>
          <cell r="F150">
            <v>218.19599999999997</v>
          </cell>
        </row>
        <row r="151">
          <cell r="A151">
            <v>147</v>
          </cell>
          <cell r="B151" t="str">
            <v xml:space="preserve">7501991806525   </v>
          </cell>
          <cell r="C151" t="str">
            <v xml:space="preserve">APIZARRADO PIZARRON PAUTADO             </v>
          </cell>
          <cell r="D151" t="str">
            <v>APIZA</v>
          </cell>
          <cell r="E151">
            <v>188.1</v>
          </cell>
          <cell r="F151">
            <v>218.19599999999997</v>
          </cell>
        </row>
        <row r="152">
          <cell r="A152">
            <v>148</v>
          </cell>
          <cell r="B152" t="str">
            <v xml:space="preserve">7501991806716   </v>
          </cell>
          <cell r="C152" t="str">
            <v xml:space="preserve">APIZARRADO GUSTO/OLFATO                 </v>
          </cell>
          <cell r="D152" t="str">
            <v>APIZA</v>
          </cell>
          <cell r="E152">
            <v>188.1</v>
          </cell>
          <cell r="F152">
            <v>218.19599999999997</v>
          </cell>
        </row>
        <row r="153">
          <cell r="A153">
            <v>149</v>
          </cell>
          <cell r="B153" t="str">
            <v xml:space="preserve">7501991806723   </v>
          </cell>
          <cell r="C153" t="str">
            <v xml:space="preserve">APIZARRADO LA CELULA                    </v>
          </cell>
          <cell r="D153" t="str">
            <v>APIZA</v>
          </cell>
          <cell r="E153">
            <v>188.1</v>
          </cell>
          <cell r="F153">
            <v>218.19599999999997</v>
          </cell>
        </row>
        <row r="154">
          <cell r="A154">
            <v>150</v>
          </cell>
          <cell r="B154" t="str">
            <v xml:space="preserve">7501991806730   </v>
          </cell>
          <cell r="C154" t="str">
            <v xml:space="preserve">APIZARRADO APARATO CIRCULATORIO         </v>
          </cell>
          <cell r="D154" t="str">
            <v>APIZA</v>
          </cell>
          <cell r="E154">
            <v>188.1</v>
          </cell>
          <cell r="F154">
            <v>218.19599999999997</v>
          </cell>
        </row>
        <row r="155">
          <cell r="A155">
            <v>151</v>
          </cell>
          <cell r="B155" t="str">
            <v xml:space="preserve">7501991806747   </v>
          </cell>
          <cell r="C155" t="str">
            <v xml:space="preserve">APIZARRADO SISTEMA RESPIRATORIO         </v>
          </cell>
          <cell r="D155" t="str">
            <v>APIZA</v>
          </cell>
          <cell r="E155">
            <v>188.1</v>
          </cell>
          <cell r="F155">
            <v>218.19599999999997</v>
          </cell>
        </row>
        <row r="156">
          <cell r="A156">
            <v>152</v>
          </cell>
          <cell r="B156" t="str">
            <v xml:space="preserve">7501991806754   </v>
          </cell>
          <cell r="C156" t="str">
            <v xml:space="preserve">APIZARRADO SISTEMA SOLAR                </v>
          </cell>
          <cell r="D156" t="str">
            <v>APIZA</v>
          </cell>
          <cell r="E156">
            <v>188.1</v>
          </cell>
          <cell r="F156">
            <v>218.19599999999997</v>
          </cell>
        </row>
        <row r="157">
          <cell r="A157">
            <v>153</v>
          </cell>
          <cell r="B157" t="str">
            <v xml:space="preserve">7501991806761   </v>
          </cell>
          <cell r="C157" t="str">
            <v xml:space="preserve">APIZARRADO PLANISFERIO SENCILLO         </v>
          </cell>
          <cell r="D157" t="str">
            <v>APIZA</v>
          </cell>
          <cell r="E157">
            <v>188.1</v>
          </cell>
          <cell r="F157">
            <v>218.19599999999997</v>
          </cell>
        </row>
        <row r="158">
          <cell r="A158">
            <v>154</v>
          </cell>
          <cell r="B158" t="str">
            <v xml:space="preserve">7501991806778   </v>
          </cell>
          <cell r="C158" t="str">
            <v xml:space="preserve">APIZARRADO  EUROPA                      </v>
          </cell>
          <cell r="D158" t="str">
            <v>APIZA</v>
          </cell>
          <cell r="E158">
            <v>188.1</v>
          </cell>
          <cell r="F158">
            <v>218.19599999999997</v>
          </cell>
        </row>
        <row r="159">
          <cell r="A159">
            <v>155</v>
          </cell>
          <cell r="B159" t="str">
            <v xml:space="preserve">7501991853321   </v>
          </cell>
          <cell r="C159" t="str">
            <v xml:space="preserve">APIZARRADO PARA GIS AFRICA (            </v>
          </cell>
          <cell r="D159" t="str">
            <v>APIZA</v>
          </cell>
          <cell r="E159">
            <v>224.4</v>
          </cell>
          <cell r="F159">
            <v>260.30399999999997</v>
          </cell>
        </row>
        <row r="160">
          <cell r="A160">
            <v>156</v>
          </cell>
          <cell r="B160" t="str">
            <v xml:space="preserve">7501991853338   </v>
          </cell>
          <cell r="C160" t="str">
            <v xml:space="preserve">APIZARRADO PARA GIS AMERICA (           </v>
          </cell>
          <cell r="D160" t="str">
            <v>APIZA</v>
          </cell>
          <cell r="E160">
            <v>224.4</v>
          </cell>
          <cell r="F160">
            <v>260.30399999999997</v>
          </cell>
        </row>
        <row r="161">
          <cell r="A161">
            <v>157</v>
          </cell>
          <cell r="B161" t="str">
            <v xml:space="preserve">8413237050212   </v>
          </cell>
          <cell r="C161" t="str">
            <v xml:space="preserve">HACIENDO FORMAS GEOMETRICAS             </v>
          </cell>
          <cell r="D161" t="str">
            <v xml:space="preserve">ARCO </v>
          </cell>
          <cell r="E161">
            <v>67.649999999999991</v>
          </cell>
          <cell r="F161">
            <v>78.47399999999999</v>
          </cell>
        </row>
        <row r="162">
          <cell r="A162">
            <v>158</v>
          </cell>
          <cell r="B162" t="str">
            <v xml:space="preserve">8413237050229   </v>
          </cell>
          <cell r="C162" t="str">
            <v xml:space="preserve">EL MUNDO QUE NOS RODEA 1                </v>
          </cell>
          <cell r="D162" t="str">
            <v xml:space="preserve">ARCO </v>
          </cell>
          <cell r="E162">
            <v>67.649999999999991</v>
          </cell>
          <cell r="F162">
            <v>78.47399999999999</v>
          </cell>
        </row>
        <row r="163">
          <cell r="A163">
            <v>159</v>
          </cell>
          <cell r="B163" t="str">
            <v xml:space="preserve">8413237050236   </v>
          </cell>
          <cell r="C163" t="str">
            <v xml:space="preserve">EL MUNDO QUE NOS RODEA 2                </v>
          </cell>
          <cell r="D163" t="str">
            <v xml:space="preserve">ARCO </v>
          </cell>
          <cell r="E163">
            <v>67.649999999999991</v>
          </cell>
          <cell r="F163">
            <v>78.47399999999999</v>
          </cell>
        </row>
        <row r="164">
          <cell r="A164">
            <v>160</v>
          </cell>
          <cell r="B164" t="str">
            <v xml:space="preserve">8413237050250   </v>
          </cell>
          <cell r="C164" t="str">
            <v xml:space="preserve">ORIENTACION EN EL ESPACIO               </v>
          </cell>
          <cell r="D164" t="str">
            <v xml:space="preserve">ARCO </v>
          </cell>
          <cell r="E164">
            <v>67.649999999999991</v>
          </cell>
          <cell r="F164">
            <v>78.47399999999999</v>
          </cell>
        </row>
        <row r="165">
          <cell r="A165">
            <v>161</v>
          </cell>
          <cell r="B165" t="str">
            <v xml:space="preserve">8413237050281   </v>
          </cell>
          <cell r="C165" t="str">
            <v xml:space="preserve">LA HORA Y EL CALENDARIO                 </v>
          </cell>
          <cell r="D165" t="str">
            <v xml:space="preserve">ARCO </v>
          </cell>
          <cell r="E165">
            <v>67.649999999999991</v>
          </cell>
          <cell r="F165">
            <v>78.47399999999999</v>
          </cell>
        </row>
        <row r="166">
          <cell r="A166">
            <v>162</v>
          </cell>
          <cell r="B166" t="str">
            <v xml:space="preserve">8413237050311   </v>
          </cell>
          <cell r="C166" t="str">
            <v xml:space="preserve">EDUCACION INFANTIL  1                   </v>
          </cell>
          <cell r="D166" t="str">
            <v xml:space="preserve">ARCO </v>
          </cell>
          <cell r="E166">
            <v>95.7</v>
          </cell>
          <cell r="F166">
            <v>111.012</v>
          </cell>
        </row>
        <row r="167">
          <cell r="A167">
            <v>163</v>
          </cell>
          <cell r="B167" t="str">
            <v xml:space="preserve">8413237050328   </v>
          </cell>
          <cell r="C167" t="str">
            <v xml:space="preserve">EDUCACION INFANTIL  2                   </v>
          </cell>
          <cell r="D167" t="str">
            <v xml:space="preserve">ARCO </v>
          </cell>
          <cell r="E167">
            <v>95.7</v>
          </cell>
          <cell r="F167">
            <v>111.012</v>
          </cell>
        </row>
        <row r="168">
          <cell r="A168">
            <v>164</v>
          </cell>
          <cell r="B168" t="str">
            <v xml:space="preserve">8413237050335   </v>
          </cell>
          <cell r="C168" t="str">
            <v xml:space="preserve">EDUCACION INFANTIL  3                   </v>
          </cell>
          <cell r="D168" t="str">
            <v xml:space="preserve">ARCO </v>
          </cell>
          <cell r="E168">
            <v>95.7</v>
          </cell>
          <cell r="F168">
            <v>111.012</v>
          </cell>
        </row>
        <row r="169">
          <cell r="A169">
            <v>165</v>
          </cell>
          <cell r="B169" t="str">
            <v xml:space="preserve">8413237050342   </v>
          </cell>
          <cell r="C169" t="str">
            <v xml:space="preserve">EDUCACION INFANTIL  4                   </v>
          </cell>
          <cell r="D169" t="str">
            <v xml:space="preserve">ARCO </v>
          </cell>
          <cell r="E169">
            <v>95.7</v>
          </cell>
          <cell r="F169">
            <v>111.012</v>
          </cell>
        </row>
        <row r="170">
          <cell r="A170">
            <v>166</v>
          </cell>
          <cell r="B170" t="str">
            <v xml:space="preserve">8413237050359   </v>
          </cell>
          <cell r="C170" t="str">
            <v xml:space="preserve">BUSSI 1                                 </v>
          </cell>
          <cell r="D170" t="str">
            <v xml:space="preserve">ARCO </v>
          </cell>
          <cell r="E170">
            <v>115.49999999999997</v>
          </cell>
          <cell r="F170">
            <v>133.97999999999996</v>
          </cell>
        </row>
        <row r="171">
          <cell r="A171">
            <v>167</v>
          </cell>
          <cell r="B171" t="str">
            <v xml:space="preserve">8413237050366   </v>
          </cell>
          <cell r="C171" t="str">
            <v xml:space="preserve">BUSSI 2                                 </v>
          </cell>
          <cell r="D171" t="str">
            <v xml:space="preserve">ARCO </v>
          </cell>
          <cell r="E171">
            <v>115.49999999999997</v>
          </cell>
          <cell r="F171">
            <v>133.97999999999996</v>
          </cell>
        </row>
        <row r="172">
          <cell r="A172">
            <v>168</v>
          </cell>
          <cell r="B172" t="str">
            <v xml:space="preserve">8413237050373   </v>
          </cell>
          <cell r="C172" t="str">
            <v xml:space="preserve">BUSSI POR LA CIUDAD                     </v>
          </cell>
          <cell r="D172" t="str">
            <v xml:space="preserve">ARCO </v>
          </cell>
          <cell r="E172">
            <v>80.849999999999994</v>
          </cell>
          <cell r="F172">
            <v>93.785999999999987</v>
          </cell>
        </row>
        <row r="173">
          <cell r="A173">
            <v>169</v>
          </cell>
          <cell r="B173" t="str">
            <v xml:space="preserve">8413237050380   </v>
          </cell>
          <cell r="C173" t="str">
            <v xml:space="preserve">BUSSI ALREDEDOR DEL MUNDO               </v>
          </cell>
          <cell r="D173" t="str">
            <v xml:space="preserve">ARCO </v>
          </cell>
          <cell r="E173">
            <v>80.849999999999994</v>
          </cell>
          <cell r="F173">
            <v>93.785999999999987</v>
          </cell>
        </row>
        <row r="174">
          <cell r="A174">
            <v>170</v>
          </cell>
          <cell r="B174" t="str">
            <v xml:space="preserve">8413237050397   </v>
          </cell>
          <cell r="C174" t="str">
            <v xml:space="preserve">YA PUEDO HACERLO 1                      </v>
          </cell>
          <cell r="D174" t="str">
            <v xml:space="preserve">ARCO </v>
          </cell>
          <cell r="E174">
            <v>108.89999999999998</v>
          </cell>
          <cell r="F174">
            <v>126.32399999999997</v>
          </cell>
        </row>
        <row r="175">
          <cell r="A175">
            <v>171</v>
          </cell>
          <cell r="B175" t="str">
            <v xml:space="preserve">8413237050403   </v>
          </cell>
          <cell r="C175" t="str">
            <v xml:space="preserve">YA PUEDO HACERLO 2                      </v>
          </cell>
          <cell r="D175" t="str">
            <v xml:space="preserve">ARCO </v>
          </cell>
          <cell r="E175">
            <v>108.89999999999998</v>
          </cell>
          <cell r="F175">
            <v>126.32399999999997</v>
          </cell>
        </row>
        <row r="176">
          <cell r="A176">
            <v>172</v>
          </cell>
          <cell r="B176" t="str">
            <v xml:space="preserve">8413237050410   </v>
          </cell>
          <cell r="C176" t="str">
            <v xml:space="preserve">FIGURAS Y FORMAS 1                      </v>
          </cell>
          <cell r="D176" t="str">
            <v xml:space="preserve">ARCO </v>
          </cell>
          <cell r="E176">
            <v>67.649999999999991</v>
          </cell>
          <cell r="F176">
            <v>78.47399999999999</v>
          </cell>
        </row>
        <row r="177">
          <cell r="A177">
            <v>173</v>
          </cell>
          <cell r="B177" t="str">
            <v xml:space="preserve">8413237050427   </v>
          </cell>
          <cell r="C177" t="str">
            <v xml:space="preserve">FIGURAS Y FORMAS 2                      </v>
          </cell>
          <cell r="D177" t="str">
            <v xml:space="preserve">ARCO </v>
          </cell>
          <cell r="E177">
            <v>67.649999999999991</v>
          </cell>
          <cell r="F177">
            <v>78.47399999999999</v>
          </cell>
        </row>
        <row r="178">
          <cell r="A178">
            <v>174</v>
          </cell>
          <cell r="B178" t="str">
            <v xml:space="preserve">8413237050434   </v>
          </cell>
          <cell r="C178" t="str">
            <v xml:space="preserve">FIGURAS Y FORMAS 3                      </v>
          </cell>
          <cell r="D178" t="str">
            <v xml:space="preserve">ARCO </v>
          </cell>
          <cell r="E178">
            <v>67.649999999999991</v>
          </cell>
          <cell r="F178">
            <v>78.47399999999999</v>
          </cell>
        </row>
        <row r="179">
          <cell r="A179">
            <v>175</v>
          </cell>
          <cell r="B179" t="str">
            <v xml:space="preserve">8413237050441   </v>
          </cell>
          <cell r="C179" t="str">
            <v xml:space="preserve">FIGURAS Y FORMAS 4                      </v>
          </cell>
          <cell r="D179" t="str">
            <v xml:space="preserve">ARCO </v>
          </cell>
          <cell r="E179">
            <v>67.649999999999991</v>
          </cell>
          <cell r="F179">
            <v>78.47399999999999</v>
          </cell>
        </row>
        <row r="180">
          <cell r="A180">
            <v>176</v>
          </cell>
          <cell r="B180" t="str">
            <v xml:space="preserve">8413237050458   </v>
          </cell>
          <cell r="C180" t="str">
            <v xml:space="preserve">EJERCICIOS DE CONCENTRACION 1           </v>
          </cell>
          <cell r="D180" t="str">
            <v xml:space="preserve">ARCO </v>
          </cell>
          <cell r="E180">
            <v>67.649999999999991</v>
          </cell>
          <cell r="F180">
            <v>78.47399999999999</v>
          </cell>
        </row>
        <row r="181">
          <cell r="A181">
            <v>177</v>
          </cell>
          <cell r="B181" t="str">
            <v xml:space="preserve">8413237050465   </v>
          </cell>
          <cell r="C181" t="str">
            <v xml:space="preserve">EJERCICIOS DE CONCENTRACION 2           </v>
          </cell>
          <cell r="D181" t="str">
            <v xml:space="preserve">ARCO </v>
          </cell>
          <cell r="E181">
            <v>67.649999999999991</v>
          </cell>
          <cell r="F181">
            <v>78.47399999999999</v>
          </cell>
        </row>
        <row r="182">
          <cell r="A182">
            <v>178</v>
          </cell>
          <cell r="B182" t="str">
            <v xml:space="preserve">8413237050472   </v>
          </cell>
          <cell r="C182" t="str">
            <v xml:space="preserve">EJERCITO MI INTELIGENCIA 1              </v>
          </cell>
          <cell r="D182" t="str">
            <v xml:space="preserve">ARCO </v>
          </cell>
          <cell r="E182">
            <v>80.849999999999994</v>
          </cell>
          <cell r="F182">
            <v>93.785999999999987</v>
          </cell>
        </row>
        <row r="183">
          <cell r="A183">
            <v>179</v>
          </cell>
          <cell r="B183" t="str">
            <v xml:space="preserve">8413237050489   </v>
          </cell>
          <cell r="C183" t="str">
            <v xml:space="preserve">EJERCITO MI INTELIGENCIA 2              </v>
          </cell>
          <cell r="D183" t="str">
            <v xml:space="preserve">ARCO </v>
          </cell>
          <cell r="E183">
            <v>80.849999999999994</v>
          </cell>
          <cell r="F183">
            <v>93.785999999999987</v>
          </cell>
        </row>
        <row r="184">
          <cell r="A184">
            <v>180</v>
          </cell>
          <cell r="B184" t="str">
            <v xml:space="preserve">8413237050496   </v>
          </cell>
          <cell r="C184" t="str">
            <v xml:space="preserve">OLIMPIADA DE RAZONAMIENTO 1             </v>
          </cell>
          <cell r="D184" t="str">
            <v xml:space="preserve">ARCO </v>
          </cell>
          <cell r="E184">
            <v>80.849999999999994</v>
          </cell>
          <cell r="F184">
            <v>93.785999999999987</v>
          </cell>
        </row>
        <row r="185">
          <cell r="A185">
            <v>181</v>
          </cell>
          <cell r="B185" t="str">
            <v xml:space="preserve">8413237050519   </v>
          </cell>
          <cell r="C185" t="str">
            <v xml:space="preserve">PRE-LECTURA 1                           </v>
          </cell>
          <cell r="D185" t="str">
            <v xml:space="preserve">ARCO </v>
          </cell>
          <cell r="E185">
            <v>67.649999999999991</v>
          </cell>
          <cell r="F185">
            <v>78.47399999999999</v>
          </cell>
        </row>
        <row r="186">
          <cell r="A186">
            <v>182</v>
          </cell>
          <cell r="B186" t="str">
            <v xml:space="preserve">8413237050533   </v>
          </cell>
          <cell r="C186" t="str">
            <v xml:space="preserve">PRIMERA LECTURA 1Pz                     </v>
          </cell>
          <cell r="D186" t="str">
            <v xml:space="preserve">ARCO </v>
          </cell>
          <cell r="E186">
            <v>67.649999999999991</v>
          </cell>
          <cell r="F186">
            <v>78.47399999999999</v>
          </cell>
        </row>
        <row r="187">
          <cell r="A187">
            <v>183</v>
          </cell>
          <cell r="B187" t="str">
            <v xml:space="preserve">8413237050618   </v>
          </cell>
          <cell r="C187" t="str">
            <v xml:space="preserve">ARITMETICA 1                            </v>
          </cell>
          <cell r="D187" t="str">
            <v xml:space="preserve">ARCO </v>
          </cell>
          <cell r="E187">
            <v>67.649999999999991</v>
          </cell>
          <cell r="F187">
            <v>78.47399999999999</v>
          </cell>
        </row>
        <row r="188">
          <cell r="A188">
            <v>184</v>
          </cell>
          <cell r="B188" t="str">
            <v xml:space="preserve">8413237050625   </v>
          </cell>
          <cell r="C188" t="str">
            <v xml:space="preserve">ARITMETICA 2                            </v>
          </cell>
          <cell r="D188" t="str">
            <v xml:space="preserve">ARCO </v>
          </cell>
          <cell r="E188">
            <v>67.649999999999991</v>
          </cell>
          <cell r="F188">
            <v>78.47399999999999</v>
          </cell>
        </row>
        <row r="189">
          <cell r="A189">
            <v>185</v>
          </cell>
          <cell r="B189" t="str">
            <v xml:space="preserve">8413237050656   </v>
          </cell>
          <cell r="C189" t="str">
            <v xml:space="preserve">MATEMATICAS 1                           </v>
          </cell>
          <cell r="D189" t="str">
            <v xml:space="preserve">ARCO </v>
          </cell>
          <cell r="E189">
            <v>67.649999999999991</v>
          </cell>
          <cell r="F189">
            <v>78.47399999999999</v>
          </cell>
        </row>
        <row r="190">
          <cell r="A190">
            <v>186</v>
          </cell>
          <cell r="B190" t="str">
            <v xml:space="preserve">8413237050663   </v>
          </cell>
          <cell r="C190" t="str">
            <v xml:space="preserve">EJERCICIOS DE ARITMETICA 1              </v>
          </cell>
          <cell r="D190" t="str">
            <v xml:space="preserve">ARCO </v>
          </cell>
          <cell r="E190">
            <v>49.5</v>
          </cell>
          <cell r="F190">
            <v>57.419999999999995</v>
          </cell>
        </row>
        <row r="191">
          <cell r="A191">
            <v>187</v>
          </cell>
          <cell r="B191" t="str">
            <v xml:space="preserve">8413237050717   </v>
          </cell>
          <cell r="C191" t="str">
            <v xml:space="preserve">INGLES PARA PRINCIPIANTES               </v>
          </cell>
          <cell r="D191" t="str">
            <v xml:space="preserve">ARCO </v>
          </cell>
          <cell r="E191">
            <v>67.649999999999991</v>
          </cell>
          <cell r="F191">
            <v>78.47399999999999</v>
          </cell>
        </row>
        <row r="192">
          <cell r="A192">
            <v>188</v>
          </cell>
          <cell r="B192" t="str">
            <v xml:space="preserve">8413237051318   </v>
          </cell>
          <cell r="C192" t="str">
            <v xml:space="preserve">PIENSA, JUEGA Y COMBINA 1               </v>
          </cell>
          <cell r="D192" t="str">
            <v xml:space="preserve">ARCO </v>
          </cell>
          <cell r="E192">
            <v>80.849999999999994</v>
          </cell>
          <cell r="F192">
            <v>93.785999999999987</v>
          </cell>
        </row>
        <row r="193">
          <cell r="A193">
            <v>189</v>
          </cell>
          <cell r="B193" t="str">
            <v xml:space="preserve">8413237051325   </v>
          </cell>
          <cell r="C193" t="str">
            <v xml:space="preserve">PIENSA JUEGA Y COMBINA 2                </v>
          </cell>
          <cell r="D193" t="str">
            <v xml:space="preserve">ARCO </v>
          </cell>
          <cell r="E193">
            <v>80.849999999999994</v>
          </cell>
          <cell r="F193">
            <v>93.785999999999987</v>
          </cell>
        </row>
        <row r="194">
          <cell r="A194">
            <v>190</v>
          </cell>
          <cell r="B194" t="str">
            <v xml:space="preserve">8413237051332   </v>
          </cell>
          <cell r="C194" t="str">
            <v xml:space="preserve">EJERCITANDO LA MENTE  1                 </v>
          </cell>
          <cell r="D194" t="str">
            <v xml:space="preserve">ARCO </v>
          </cell>
          <cell r="E194">
            <v>87.45</v>
          </cell>
          <cell r="F194">
            <v>101.44199999999999</v>
          </cell>
        </row>
        <row r="195">
          <cell r="A195">
            <v>191</v>
          </cell>
          <cell r="B195" t="str">
            <v xml:space="preserve">8413237051349   </v>
          </cell>
          <cell r="C195" t="str">
            <v xml:space="preserve">EJERCITANDO LA MENTE 2                  </v>
          </cell>
          <cell r="D195" t="str">
            <v xml:space="preserve">ARCO </v>
          </cell>
          <cell r="E195">
            <v>87.45</v>
          </cell>
          <cell r="F195">
            <v>101.44199999999999</v>
          </cell>
        </row>
        <row r="196">
          <cell r="A196">
            <v>192</v>
          </cell>
          <cell r="B196" t="str">
            <v xml:space="preserve">8413237051417   </v>
          </cell>
          <cell r="C196" t="str">
            <v xml:space="preserve">OLIMPIADA DE RAZONAMIENTO 2             </v>
          </cell>
          <cell r="D196" t="str">
            <v xml:space="preserve">ARCO </v>
          </cell>
          <cell r="E196">
            <v>80.849999999999994</v>
          </cell>
          <cell r="F196">
            <v>93.785999999999987</v>
          </cell>
        </row>
        <row r="197">
          <cell r="A197">
            <v>193</v>
          </cell>
          <cell r="B197" t="str">
            <v xml:space="preserve">8413237051424   </v>
          </cell>
          <cell r="C197" t="str">
            <v xml:space="preserve">OLIMPIADA DE RAZONAMIENTO 3             </v>
          </cell>
          <cell r="D197" t="str">
            <v xml:space="preserve">ARCO </v>
          </cell>
          <cell r="E197">
            <v>80.849999999999994</v>
          </cell>
          <cell r="F197">
            <v>93.785999999999987</v>
          </cell>
        </row>
        <row r="198">
          <cell r="A198">
            <v>194</v>
          </cell>
          <cell r="B198" t="str">
            <v xml:space="preserve">8413237051431   </v>
          </cell>
          <cell r="C198" t="str">
            <v xml:space="preserve">OLIMPIADA DE RAZONAMIENTO 4             </v>
          </cell>
          <cell r="D198" t="str">
            <v xml:space="preserve">ARCO </v>
          </cell>
          <cell r="E198">
            <v>80.849999999999994</v>
          </cell>
          <cell r="F198">
            <v>93.785999999999987</v>
          </cell>
        </row>
        <row r="199">
          <cell r="A199">
            <v>195</v>
          </cell>
          <cell r="B199" t="str">
            <v xml:space="preserve">8413237080103   </v>
          </cell>
          <cell r="C199" t="str">
            <v xml:space="preserve">ESTUCHE DE CONTROL 24 FICHAS            </v>
          </cell>
          <cell r="D199" t="str">
            <v xml:space="preserve">ARCO </v>
          </cell>
          <cell r="E199">
            <v>427.34999999999997</v>
          </cell>
          <cell r="F199">
            <v>495.72599999999994</v>
          </cell>
        </row>
        <row r="200">
          <cell r="A200">
            <v>196</v>
          </cell>
          <cell r="B200" t="str">
            <v xml:space="preserve">8413237080417   </v>
          </cell>
          <cell r="C200" t="str">
            <v xml:space="preserve">EJERCICIOS DE CONCENTRACION 1           </v>
          </cell>
          <cell r="D200" t="str">
            <v xml:space="preserve">ARCO </v>
          </cell>
          <cell r="E200">
            <v>74.249999999999986</v>
          </cell>
          <cell r="F200">
            <v>86.129999999999981</v>
          </cell>
        </row>
        <row r="201">
          <cell r="A201">
            <v>197</v>
          </cell>
          <cell r="B201" t="str">
            <v xml:space="preserve">8413237080424   </v>
          </cell>
          <cell r="C201" t="str">
            <v xml:space="preserve">EJERCICIOS DE CONCENTRACION 2           </v>
          </cell>
          <cell r="D201" t="str">
            <v xml:space="preserve">ARCO </v>
          </cell>
          <cell r="E201">
            <v>74.249999999999986</v>
          </cell>
          <cell r="F201">
            <v>86.129999999999981</v>
          </cell>
        </row>
        <row r="202">
          <cell r="A202">
            <v>198</v>
          </cell>
          <cell r="B202" t="str">
            <v xml:space="preserve">8413237080516   </v>
          </cell>
          <cell r="C202" t="str">
            <v xml:space="preserve">ORTOGRAFIA 1                            </v>
          </cell>
          <cell r="D202" t="str">
            <v xml:space="preserve">ARCO </v>
          </cell>
          <cell r="E202">
            <v>74.249999999999986</v>
          </cell>
          <cell r="F202">
            <v>86.129999999999981</v>
          </cell>
        </row>
        <row r="203">
          <cell r="A203">
            <v>199</v>
          </cell>
          <cell r="B203" t="str">
            <v xml:space="preserve">8413237080523   </v>
          </cell>
          <cell r="C203" t="str">
            <v xml:space="preserve">ORTOGRAFIA 2                            </v>
          </cell>
          <cell r="D203" t="str">
            <v xml:space="preserve">ARCO </v>
          </cell>
          <cell r="E203">
            <v>74.249999999999986</v>
          </cell>
          <cell r="F203">
            <v>86.129999999999981</v>
          </cell>
        </row>
        <row r="204">
          <cell r="A204">
            <v>200</v>
          </cell>
          <cell r="B204" t="str">
            <v xml:space="preserve">8413237080615   </v>
          </cell>
          <cell r="C204" t="str">
            <v xml:space="preserve">EJERCICIOS DE CALCULO 1                 </v>
          </cell>
          <cell r="D204" t="str">
            <v xml:space="preserve">ARCO </v>
          </cell>
          <cell r="E204">
            <v>74.249999999999986</v>
          </cell>
          <cell r="F204">
            <v>86.129999999999981</v>
          </cell>
        </row>
        <row r="205">
          <cell r="A205">
            <v>201</v>
          </cell>
          <cell r="B205" t="str">
            <v xml:space="preserve">8413237080622   </v>
          </cell>
          <cell r="C205" t="str">
            <v xml:space="preserve">EJERCICIOS DE CALCULO 2                 </v>
          </cell>
          <cell r="D205" t="str">
            <v xml:space="preserve">ARCO </v>
          </cell>
          <cell r="E205">
            <v>74.249999999999986</v>
          </cell>
          <cell r="F205">
            <v>86.129999999999981</v>
          </cell>
        </row>
        <row r="206">
          <cell r="A206">
            <v>202</v>
          </cell>
          <cell r="B206" t="str">
            <v xml:space="preserve">8413237080639   </v>
          </cell>
          <cell r="C206" t="str">
            <v xml:space="preserve">EJERCICIOS DE CALCULO 3                 </v>
          </cell>
          <cell r="D206" t="str">
            <v xml:space="preserve">ARCO </v>
          </cell>
          <cell r="E206">
            <v>74.249999999999986</v>
          </cell>
          <cell r="F206">
            <v>86.129999999999981</v>
          </cell>
        </row>
        <row r="207">
          <cell r="A207">
            <v>203</v>
          </cell>
          <cell r="B207" t="str">
            <v xml:space="preserve">8413237080646   </v>
          </cell>
          <cell r="C207" t="str">
            <v xml:space="preserve">EJERCICIOS DE CALCULO 4                 </v>
          </cell>
          <cell r="D207" t="str">
            <v xml:space="preserve">ARCO </v>
          </cell>
          <cell r="E207">
            <v>74.249999999999986</v>
          </cell>
          <cell r="F207">
            <v>86.129999999999981</v>
          </cell>
        </row>
        <row r="208">
          <cell r="A208">
            <v>204</v>
          </cell>
          <cell r="B208" t="str">
            <v xml:space="preserve">8413237080653   </v>
          </cell>
          <cell r="C208" t="str">
            <v xml:space="preserve">EJERCICIOS DE CALCULO 5                 </v>
          </cell>
          <cell r="D208" t="str">
            <v xml:space="preserve">ARCO </v>
          </cell>
          <cell r="E208">
            <v>74.249999999999986</v>
          </cell>
          <cell r="F208">
            <v>86.129999999999981</v>
          </cell>
        </row>
        <row r="209">
          <cell r="A209">
            <v>205</v>
          </cell>
          <cell r="B209" t="str">
            <v xml:space="preserve">8413237080660   </v>
          </cell>
          <cell r="C209" t="str">
            <v xml:space="preserve">EJERCICIOS DE CALCULO 6                 </v>
          </cell>
          <cell r="D209" t="str">
            <v xml:space="preserve">ARCO </v>
          </cell>
          <cell r="E209">
            <v>74.249999999999986</v>
          </cell>
          <cell r="F209">
            <v>86.129999999999981</v>
          </cell>
        </row>
        <row r="210">
          <cell r="A210">
            <v>206</v>
          </cell>
          <cell r="B210" t="str">
            <v xml:space="preserve">7503004092376   </v>
          </cell>
          <cell r="C210" t="str">
            <v xml:space="preserve">CD DE SAFARI CON LAS VOCALES            </v>
          </cell>
          <cell r="D210" t="str">
            <v xml:space="preserve">BABY </v>
          </cell>
          <cell r="E210">
            <v>92.399999999999991</v>
          </cell>
          <cell r="F210">
            <v>107.18399999999998</v>
          </cell>
        </row>
        <row r="211">
          <cell r="A211">
            <v>207</v>
          </cell>
          <cell r="B211" t="str">
            <v xml:space="preserve">7501991809502   </v>
          </cell>
          <cell r="C211" t="str">
            <v xml:space="preserve">BATA BORDADA CASACA (MEZCLILLA)         </v>
          </cell>
          <cell r="D211" t="str">
            <v>BATAS</v>
          </cell>
          <cell r="E211">
            <v>377.84999999999997</v>
          </cell>
          <cell r="F211">
            <v>438.30599999999993</v>
          </cell>
        </row>
        <row r="212">
          <cell r="A212">
            <v>208</v>
          </cell>
          <cell r="B212" t="str">
            <v xml:space="preserve">7501991809533   </v>
          </cell>
          <cell r="C212" t="str">
            <v xml:space="preserve">BATA BORDADA CASACA EXG (MEZCLILLA)     </v>
          </cell>
          <cell r="D212" t="str">
            <v>BATAS</v>
          </cell>
          <cell r="E212">
            <v>412.5</v>
          </cell>
          <cell r="F212">
            <v>478.5</v>
          </cell>
        </row>
        <row r="213">
          <cell r="A213">
            <v>209</v>
          </cell>
          <cell r="B213" t="str">
            <v xml:space="preserve">7501991809571   </v>
          </cell>
          <cell r="C213" t="str">
            <v xml:space="preserve">BATA BORDADA CRUZADA EXG (MEZCLILLA)    </v>
          </cell>
          <cell r="D213" t="str">
            <v>BATAS</v>
          </cell>
          <cell r="E213">
            <v>424.05</v>
          </cell>
          <cell r="F213">
            <v>491.89799999999997</v>
          </cell>
        </row>
        <row r="214">
          <cell r="A214">
            <v>210</v>
          </cell>
          <cell r="B214" t="str">
            <v xml:space="preserve">7501991809588   </v>
          </cell>
          <cell r="C214" t="str">
            <v>BATA BORDADA CASACA CH, MED, GDE. (TELA)</v>
          </cell>
          <cell r="D214" t="str">
            <v>BATAS</v>
          </cell>
          <cell r="E214">
            <v>318.45</v>
          </cell>
          <cell r="F214">
            <v>369.40199999999999</v>
          </cell>
        </row>
        <row r="215">
          <cell r="A215">
            <v>211</v>
          </cell>
          <cell r="B215" t="str">
            <v xml:space="preserve">7501991809618   </v>
          </cell>
          <cell r="C215" t="str">
            <v xml:space="preserve">BATA BORDADA CASACA EXG (TELA)          </v>
          </cell>
          <cell r="D215" t="str">
            <v>BATAS</v>
          </cell>
          <cell r="E215">
            <v>341.54999999999995</v>
          </cell>
          <cell r="F215">
            <v>396.19799999999992</v>
          </cell>
        </row>
        <row r="216">
          <cell r="A216">
            <v>212</v>
          </cell>
          <cell r="B216" t="str">
            <v xml:space="preserve">7501991809625   </v>
          </cell>
          <cell r="C216" t="str">
            <v xml:space="preserve">BATA BORDADA CRUZADA (MEZCLILLA)        </v>
          </cell>
          <cell r="D216" t="str">
            <v>BATAS</v>
          </cell>
          <cell r="E216">
            <v>377.84999999999997</v>
          </cell>
          <cell r="F216">
            <v>438.30599999999993</v>
          </cell>
        </row>
        <row r="217">
          <cell r="A217">
            <v>213</v>
          </cell>
          <cell r="B217" t="str">
            <v xml:space="preserve">7501991809649   </v>
          </cell>
          <cell r="C217" t="str">
            <v>BATA BORDADA CRUZADA CH, MED, GDE.  (TEL</v>
          </cell>
          <cell r="D217" t="str">
            <v>BATAS</v>
          </cell>
          <cell r="E217">
            <v>341.54999999999995</v>
          </cell>
          <cell r="F217">
            <v>396.19799999999992</v>
          </cell>
        </row>
        <row r="218">
          <cell r="A218">
            <v>214</v>
          </cell>
          <cell r="B218" t="str">
            <v xml:space="preserve">7501991809656   </v>
          </cell>
          <cell r="C218" t="str">
            <v xml:space="preserve">BATA BORDADA CRUZADA EXG (TELA)         </v>
          </cell>
          <cell r="D218" t="str">
            <v>BATAS</v>
          </cell>
          <cell r="E218">
            <v>424.05</v>
          </cell>
          <cell r="F218">
            <v>491.89799999999997</v>
          </cell>
        </row>
        <row r="219">
          <cell r="A219">
            <v>215</v>
          </cell>
          <cell r="B219" t="str">
            <v xml:space="preserve">7501991809663   </v>
          </cell>
          <cell r="C219" t="str">
            <v xml:space="preserve">MANDIL BORDADO (MEZCLILLA)              </v>
          </cell>
          <cell r="D219" t="str">
            <v>BATAS</v>
          </cell>
          <cell r="E219">
            <v>330</v>
          </cell>
          <cell r="F219">
            <v>382.79999999999995</v>
          </cell>
        </row>
        <row r="220">
          <cell r="A220">
            <v>216</v>
          </cell>
          <cell r="B220" t="str">
            <v xml:space="preserve">7501991809670   </v>
          </cell>
          <cell r="C220" t="str">
            <v xml:space="preserve">LAPICERA IMPRESA                        </v>
          </cell>
          <cell r="D220" t="str">
            <v>BATAS</v>
          </cell>
          <cell r="E220">
            <v>14.85</v>
          </cell>
          <cell r="F220">
            <v>17.225999999999999</v>
          </cell>
        </row>
        <row r="221">
          <cell r="A221">
            <v>217</v>
          </cell>
          <cell r="B221" t="str">
            <v xml:space="preserve">7501991809694   </v>
          </cell>
          <cell r="C221" t="str">
            <v xml:space="preserve">BOLSA BORDADA CANGURO CHICA (MEZCLILLA) </v>
          </cell>
          <cell r="D221" t="str">
            <v>BATAS</v>
          </cell>
          <cell r="E221">
            <v>259.04999999999995</v>
          </cell>
          <cell r="F221">
            <v>300.49799999999993</v>
          </cell>
        </row>
        <row r="222">
          <cell r="A222">
            <v>218</v>
          </cell>
          <cell r="B222" t="str">
            <v xml:space="preserve">7501991809700   </v>
          </cell>
          <cell r="C222" t="str">
            <v>BOLSA BORDADA CANGURO GRANDE (MEZCLILLA)</v>
          </cell>
          <cell r="D222" t="str">
            <v>BATAS</v>
          </cell>
          <cell r="E222">
            <v>282.14999999999998</v>
          </cell>
          <cell r="F222">
            <v>327.29399999999998</v>
          </cell>
        </row>
        <row r="223">
          <cell r="A223">
            <v>219</v>
          </cell>
          <cell r="B223" t="str">
            <v xml:space="preserve">7501991809724   </v>
          </cell>
          <cell r="C223" t="str">
            <v xml:space="preserve">BOLSA BORDADA JUMBO (MEZCLILLA)         </v>
          </cell>
          <cell r="D223" t="str">
            <v>BATAS</v>
          </cell>
          <cell r="E223">
            <v>199.64999999999998</v>
          </cell>
          <cell r="F223">
            <v>231.59399999999997</v>
          </cell>
        </row>
        <row r="224">
          <cell r="A224">
            <v>220</v>
          </cell>
          <cell r="B224" t="str">
            <v xml:space="preserve">7501991809731   </v>
          </cell>
          <cell r="C224" t="str">
            <v xml:space="preserve">PLAYERA IMPRESA                         </v>
          </cell>
          <cell r="D224" t="str">
            <v>BATAS</v>
          </cell>
          <cell r="E224">
            <v>89.1</v>
          </cell>
          <cell r="F224">
            <v>103.35599999999998</v>
          </cell>
        </row>
        <row r="225">
          <cell r="A225">
            <v>221</v>
          </cell>
          <cell r="B225" t="str">
            <v xml:space="preserve">7501991809748   </v>
          </cell>
          <cell r="C225" t="str">
            <v xml:space="preserve">LAPICERA BORDADA                        </v>
          </cell>
          <cell r="D225" t="str">
            <v>BATAS</v>
          </cell>
          <cell r="E225">
            <v>51.15</v>
          </cell>
          <cell r="F225">
            <v>59.333999999999996</v>
          </cell>
        </row>
        <row r="226">
          <cell r="A226">
            <v>222</v>
          </cell>
          <cell r="B226" t="str">
            <v xml:space="preserve">7501991809755   </v>
          </cell>
          <cell r="C226" t="str">
            <v xml:space="preserve">LAPICERA CARTERA                        </v>
          </cell>
          <cell r="D226" t="str">
            <v>BATAS</v>
          </cell>
          <cell r="E226">
            <v>75.900000000000006</v>
          </cell>
          <cell r="F226">
            <v>88.043999999999997</v>
          </cell>
        </row>
        <row r="227">
          <cell r="A227">
            <v>223</v>
          </cell>
          <cell r="B227" t="str">
            <v xml:space="preserve">7501991809762   </v>
          </cell>
          <cell r="C227" t="str">
            <v xml:space="preserve">PORTAFOLIO BORDADO                      </v>
          </cell>
          <cell r="D227" t="str">
            <v>BATAS</v>
          </cell>
          <cell r="E227">
            <v>245.84999999999994</v>
          </cell>
          <cell r="F227">
            <v>285.18599999999992</v>
          </cell>
        </row>
        <row r="228">
          <cell r="A228">
            <v>224</v>
          </cell>
          <cell r="B228" t="str">
            <v xml:space="preserve">7501991809779   </v>
          </cell>
          <cell r="C228" t="str">
            <v xml:space="preserve">PLAYERA POLO                            </v>
          </cell>
          <cell r="D228" t="str">
            <v>BATAS</v>
          </cell>
          <cell r="E228">
            <v>212.85</v>
          </cell>
          <cell r="F228">
            <v>246.90599999999998</v>
          </cell>
        </row>
        <row r="229">
          <cell r="A229">
            <v>225</v>
          </cell>
          <cell r="B229" t="str">
            <v xml:space="preserve">7501991809786   </v>
          </cell>
          <cell r="C229" t="str">
            <v xml:space="preserve">BOLSA (MEZCLILLA) BORDADA               </v>
          </cell>
          <cell r="D229" t="str">
            <v>BATAS</v>
          </cell>
          <cell r="E229">
            <v>282.14999999999998</v>
          </cell>
          <cell r="F229">
            <v>327.29399999999998</v>
          </cell>
        </row>
        <row r="230">
          <cell r="A230">
            <v>226</v>
          </cell>
          <cell r="B230" t="str">
            <v xml:space="preserve">7501991809793   </v>
          </cell>
          <cell r="C230" t="str">
            <v xml:space="preserve">BATA NIÑO (SIN BORDADO)                 </v>
          </cell>
          <cell r="D230" t="str">
            <v>BATAS</v>
          </cell>
          <cell r="E230">
            <v>330</v>
          </cell>
          <cell r="F230">
            <v>382.79999999999995</v>
          </cell>
        </row>
        <row r="231">
          <cell r="A231">
            <v>227</v>
          </cell>
          <cell r="B231" t="str">
            <v xml:space="preserve">7501991809809   </v>
          </cell>
          <cell r="C231" t="str">
            <v xml:space="preserve">BOLSA IMPRESA CHICA                     </v>
          </cell>
          <cell r="D231" t="str">
            <v>BATAS</v>
          </cell>
          <cell r="E231">
            <v>235.95000000000002</v>
          </cell>
          <cell r="F231">
            <v>273.702</v>
          </cell>
        </row>
        <row r="232">
          <cell r="A232">
            <v>228</v>
          </cell>
          <cell r="B232" t="str">
            <v xml:space="preserve">7501991809816   </v>
          </cell>
          <cell r="C232" t="str">
            <v xml:space="preserve">BOLSA IMPRESA GRANDE                    </v>
          </cell>
          <cell r="D232" t="str">
            <v>BATAS</v>
          </cell>
          <cell r="E232">
            <v>87.45</v>
          </cell>
          <cell r="F232">
            <v>101.44199999999999</v>
          </cell>
        </row>
        <row r="233">
          <cell r="A233">
            <v>229</v>
          </cell>
          <cell r="B233" t="str">
            <v xml:space="preserve">7501991818061   </v>
          </cell>
          <cell r="C233" t="str">
            <v xml:space="preserve">6108 CHALECO MONTESSORI 1Pz             </v>
          </cell>
          <cell r="D233" t="str">
            <v xml:space="preserve">BEBE </v>
          </cell>
          <cell r="E233">
            <v>249.14999999999998</v>
          </cell>
          <cell r="F233">
            <v>289.01399999999995</v>
          </cell>
        </row>
        <row r="234">
          <cell r="A234">
            <v>230</v>
          </cell>
          <cell r="B234" t="str">
            <v xml:space="preserve">7501991840000   </v>
          </cell>
          <cell r="C234" t="str">
            <v xml:space="preserve">MI PRIMERA ALMOHADA                     </v>
          </cell>
          <cell r="D234" t="str">
            <v xml:space="preserve">BEBE </v>
          </cell>
          <cell r="E234">
            <v>288.75</v>
          </cell>
          <cell r="F234">
            <v>334.95</v>
          </cell>
        </row>
        <row r="235">
          <cell r="A235">
            <v>231</v>
          </cell>
          <cell r="B235" t="str">
            <v xml:space="preserve">7501991840017   </v>
          </cell>
          <cell r="C235" t="str">
            <v xml:space="preserve">MI LIBRO ALMOHADA                       </v>
          </cell>
          <cell r="D235" t="str">
            <v xml:space="preserve">BEBE </v>
          </cell>
          <cell r="E235">
            <v>288.75</v>
          </cell>
          <cell r="F235">
            <v>334.95</v>
          </cell>
        </row>
        <row r="236">
          <cell r="A236">
            <v>232</v>
          </cell>
          <cell r="B236" t="str">
            <v xml:space="preserve">7501991840024   </v>
          </cell>
          <cell r="C236" t="str">
            <v xml:space="preserve">DESPERTAPETE 1Pz                        </v>
          </cell>
          <cell r="D236" t="str">
            <v xml:space="preserve">BEBE </v>
          </cell>
          <cell r="E236">
            <v>457.05</v>
          </cell>
          <cell r="F236">
            <v>530.178</v>
          </cell>
        </row>
        <row r="237">
          <cell r="A237">
            <v>233</v>
          </cell>
          <cell r="B237" t="str">
            <v xml:space="preserve">7501991840031   </v>
          </cell>
          <cell r="C237" t="str">
            <v xml:space="preserve">TAPICLOWN (PAYASO)  (110x100)cm         </v>
          </cell>
          <cell r="D237" t="str">
            <v xml:space="preserve">BEBE </v>
          </cell>
          <cell r="E237">
            <v>557.69999999999993</v>
          </cell>
          <cell r="F237">
            <v>646.9319999999999</v>
          </cell>
        </row>
        <row r="238">
          <cell r="A238">
            <v>234</v>
          </cell>
          <cell r="B238" t="str">
            <v xml:space="preserve">7501991840048   </v>
          </cell>
          <cell r="C238" t="str">
            <v xml:space="preserve">CUBO COORDINACION 1Pz                   </v>
          </cell>
          <cell r="D238" t="str">
            <v xml:space="preserve">BEBE </v>
          </cell>
          <cell r="E238">
            <v>221.10000000000002</v>
          </cell>
          <cell r="F238">
            <v>256.476</v>
          </cell>
        </row>
        <row r="239">
          <cell r="A239">
            <v>235</v>
          </cell>
          <cell r="B239" t="str">
            <v xml:space="preserve">7501991840055   </v>
          </cell>
          <cell r="C239" t="str">
            <v xml:space="preserve">ARCA FELIZ ( DE NOE) (95x70)cm          </v>
          </cell>
          <cell r="D239" t="str">
            <v xml:space="preserve">BEBE </v>
          </cell>
          <cell r="E239">
            <v>486.75000000000006</v>
          </cell>
          <cell r="F239">
            <v>564.63</v>
          </cell>
        </row>
        <row r="240">
          <cell r="A240">
            <v>236</v>
          </cell>
          <cell r="B240" t="str">
            <v xml:space="preserve">7501991840062   </v>
          </cell>
          <cell r="C240" t="str">
            <v xml:space="preserve">TAPETE OSO PROSPER                      </v>
          </cell>
          <cell r="D240" t="str">
            <v xml:space="preserve">BEBE </v>
          </cell>
          <cell r="E240">
            <v>516.45000000000005</v>
          </cell>
          <cell r="F240">
            <v>599.08199999999999</v>
          </cell>
        </row>
        <row r="241">
          <cell r="A241">
            <v>237</v>
          </cell>
          <cell r="B241" t="str">
            <v xml:space="preserve">7501991840079   </v>
          </cell>
          <cell r="C241" t="str">
            <v xml:space="preserve">ARCAMAX                                 </v>
          </cell>
          <cell r="D241" t="str">
            <v xml:space="preserve">BEBE </v>
          </cell>
          <cell r="E241">
            <v>526.34999999999991</v>
          </cell>
          <cell r="F241">
            <v>610.56599999999992</v>
          </cell>
        </row>
        <row r="242">
          <cell r="A242">
            <v>238</v>
          </cell>
          <cell r="B242" t="str">
            <v xml:space="preserve">7501991840086   </v>
          </cell>
          <cell r="C242" t="str">
            <v xml:space="preserve">TAPIMALIN                               </v>
          </cell>
          <cell r="D242" t="str">
            <v xml:space="preserve">BEBE </v>
          </cell>
          <cell r="E242">
            <v>678.15000000000009</v>
          </cell>
          <cell r="F242">
            <v>786.654</v>
          </cell>
        </row>
        <row r="243">
          <cell r="A243">
            <v>239</v>
          </cell>
          <cell r="B243" t="str">
            <v xml:space="preserve">7501991840093   </v>
          </cell>
          <cell r="C243" t="str">
            <v xml:space="preserve">LA GRANJA DE PROSPER                    </v>
          </cell>
          <cell r="D243" t="str">
            <v xml:space="preserve">BEBE </v>
          </cell>
          <cell r="E243">
            <v>288.75</v>
          </cell>
          <cell r="F243">
            <v>334.95</v>
          </cell>
        </row>
        <row r="244">
          <cell r="A244">
            <v>240</v>
          </cell>
          <cell r="B244" t="str">
            <v xml:space="preserve">7501991840109   </v>
          </cell>
          <cell r="C244" t="str">
            <v xml:space="preserve">MI ESCUELA                              </v>
          </cell>
          <cell r="D244" t="str">
            <v xml:space="preserve">BEBE </v>
          </cell>
          <cell r="E244">
            <v>232.64999999999998</v>
          </cell>
          <cell r="F244">
            <v>269.87399999999997</v>
          </cell>
        </row>
        <row r="245">
          <cell r="A245">
            <v>241</v>
          </cell>
          <cell r="B245" t="str">
            <v xml:space="preserve">7501991840116   </v>
          </cell>
          <cell r="C245" t="str">
            <v xml:space="preserve">VOY AL HOSPITAL                         </v>
          </cell>
          <cell r="D245" t="str">
            <v xml:space="preserve">BEBE </v>
          </cell>
          <cell r="E245">
            <v>267.3</v>
          </cell>
          <cell r="F245">
            <v>310.06799999999998</v>
          </cell>
        </row>
        <row r="246">
          <cell r="A246">
            <v>242</v>
          </cell>
          <cell r="B246" t="str">
            <v xml:space="preserve">7501991840123   </v>
          </cell>
          <cell r="C246" t="str">
            <v xml:space="preserve">PROSPER VA A LA GRANJA                  </v>
          </cell>
          <cell r="D246" t="str">
            <v xml:space="preserve">BEBE </v>
          </cell>
          <cell r="E246">
            <v>204.6</v>
          </cell>
          <cell r="F246">
            <v>237.33599999999998</v>
          </cell>
        </row>
        <row r="247">
          <cell r="A247">
            <v>243</v>
          </cell>
          <cell r="B247" t="str">
            <v xml:space="preserve">7501991840130   </v>
          </cell>
          <cell r="C247" t="str">
            <v xml:space="preserve">PROSPER VA A LA PLAYA                   </v>
          </cell>
          <cell r="D247" t="str">
            <v xml:space="preserve">BEBE </v>
          </cell>
          <cell r="E247">
            <v>212.85</v>
          </cell>
          <cell r="F247">
            <v>246.90599999999998</v>
          </cell>
        </row>
        <row r="248">
          <cell r="A248">
            <v>244</v>
          </cell>
          <cell r="B248" t="str">
            <v xml:space="preserve">7501991840147   </v>
          </cell>
          <cell r="C248" t="str">
            <v xml:space="preserve">PROSPER VA DE VIAJE                     </v>
          </cell>
          <cell r="D248" t="str">
            <v xml:space="preserve">BEBE </v>
          </cell>
          <cell r="E248">
            <v>262.34999999999997</v>
          </cell>
          <cell r="F248">
            <v>304.32599999999996</v>
          </cell>
        </row>
        <row r="249">
          <cell r="A249">
            <v>245</v>
          </cell>
          <cell r="B249" t="str">
            <v xml:space="preserve">7501991840154   </v>
          </cell>
          <cell r="C249" t="str">
            <v xml:space="preserve">PROSPER VA AL ZOOLOGICO                 </v>
          </cell>
          <cell r="D249" t="str">
            <v xml:space="preserve">BEBE </v>
          </cell>
          <cell r="E249">
            <v>212.85</v>
          </cell>
          <cell r="F249">
            <v>246.90599999999998</v>
          </cell>
        </row>
        <row r="250">
          <cell r="A250">
            <v>246</v>
          </cell>
          <cell r="B250" t="str">
            <v xml:space="preserve">7501991840161   </v>
          </cell>
          <cell r="C250" t="str">
            <v xml:space="preserve">PROSPER VA AL MAR                       </v>
          </cell>
          <cell r="D250" t="str">
            <v xml:space="preserve">BEBE </v>
          </cell>
          <cell r="E250">
            <v>204.6</v>
          </cell>
          <cell r="F250">
            <v>237.33599999999998</v>
          </cell>
        </row>
        <row r="251">
          <cell r="A251">
            <v>247</v>
          </cell>
          <cell r="B251" t="str">
            <v xml:space="preserve">7501991840178   </v>
          </cell>
          <cell r="C251" t="str">
            <v xml:space="preserve">PROSPER VA AL CIRCO                     </v>
          </cell>
          <cell r="D251" t="str">
            <v xml:space="preserve">BEBE </v>
          </cell>
          <cell r="E251">
            <v>212.85</v>
          </cell>
          <cell r="F251">
            <v>246.90599999999998</v>
          </cell>
        </row>
        <row r="252">
          <cell r="A252">
            <v>248</v>
          </cell>
          <cell r="B252" t="str">
            <v xml:space="preserve">7501991840185   </v>
          </cell>
          <cell r="C252" t="str">
            <v xml:space="preserve">EL ASEO DE PROSPER                      </v>
          </cell>
          <cell r="D252" t="str">
            <v xml:space="preserve">BEBE </v>
          </cell>
          <cell r="E252">
            <v>204.6</v>
          </cell>
          <cell r="F252">
            <v>237.33599999999998</v>
          </cell>
        </row>
        <row r="253">
          <cell r="A253">
            <v>249</v>
          </cell>
          <cell r="B253" t="str">
            <v xml:space="preserve">7501991840192   </v>
          </cell>
          <cell r="C253" t="str">
            <v xml:space="preserve">PROSPER VA AL BAÑO                      </v>
          </cell>
          <cell r="D253" t="str">
            <v xml:space="preserve">BEBE </v>
          </cell>
          <cell r="E253">
            <v>212.85</v>
          </cell>
          <cell r="F253">
            <v>246.90599999999998</v>
          </cell>
        </row>
        <row r="254">
          <cell r="A254">
            <v>250</v>
          </cell>
          <cell r="B254" t="str">
            <v xml:space="preserve">7501991840208   </v>
          </cell>
          <cell r="C254" t="str">
            <v xml:space="preserve">PROSPER SE CUIDA DEL PELIGRO            </v>
          </cell>
          <cell r="D254" t="str">
            <v xml:space="preserve">BEBE </v>
          </cell>
          <cell r="E254">
            <v>204.6</v>
          </cell>
          <cell r="F254">
            <v>237.33599999999998</v>
          </cell>
        </row>
        <row r="255">
          <cell r="A255">
            <v>251</v>
          </cell>
          <cell r="B255" t="str">
            <v xml:space="preserve">7501991840215   </v>
          </cell>
          <cell r="C255" t="str">
            <v xml:space="preserve">LIBRO LOS CINCO SENTIDOS                </v>
          </cell>
          <cell r="D255" t="str">
            <v xml:space="preserve">BEBE </v>
          </cell>
          <cell r="E255">
            <v>204.6</v>
          </cell>
          <cell r="F255">
            <v>237.33599999999998</v>
          </cell>
        </row>
        <row r="256">
          <cell r="A256">
            <v>252</v>
          </cell>
          <cell r="B256" t="str">
            <v xml:space="preserve">7501991840222   </v>
          </cell>
          <cell r="C256" t="str">
            <v xml:space="preserve">LIBRO QUÉ HORA ES?                      </v>
          </cell>
          <cell r="D256" t="str">
            <v xml:space="preserve">BEBE </v>
          </cell>
          <cell r="E256">
            <v>204.6</v>
          </cell>
          <cell r="F256">
            <v>237.33599999999998</v>
          </cell>
        </row>
        <row r="257">
          <cell r="A257">
            <v>253</v>
          </cell>
          <cell r="B257" t="str">
            <v xml:space="preserve">7501991840239   </v>
          </cell>
          <cell r="C257" t="str">
            <v xml:space="preserve">LIBRO DONDE VIVO?                       </v>
          </cell>
          <cell r="D257" t="str">
            <v xml:space="preserve">BEBE </v>
          </cell>
          <cell r="E257">
            <v>283.8</v>
          </cell>
          <cell r="F257">
            <v>329.20799999999997</v>
          </cell>
        </row>
        <row r="258">
          <cell r="A258">
            <v>254</v>
          </cell>
          <cell r="B258" t="str">
            <v xml:space="preserve">7501991840246   </v>
          </cell>
          <cell r="C258" t="str">
            <v xml:space="preserve">PROSPER ES SERVIDOR PUBLICO             </v>
          </cell>
          <cell r="D258" t="str">
            <v xml:space="preserve">BEBE </v>
          </cell>
          <cell r="E258">
            <v>308.54999999999995</v>
          </cell>
          <cell r="F258">
            <v>357.91799999999995</v>
          </cell>
        </row>
        <row r="259">
          <cell r="A259">
            <v>255</v>
          </cell>
          <cell r="B259" t="str">
            <v xml:space="preserve">7501991840253   </v>
          </cell>
          <cell r="C259" t="str">
            <v xml:space="preserve">LIBRO VAMOS A CONTAR                    </v>
          </cell>
          <cell r="D259" t="str">
            <v xml:space="preserve">BEBE </v>
          </cell>
          <cell r="E259">
            <v>374.55</v>
          </cell>
          <cell r="F259">
            <v>434.47799999999995</v>
          </cell>
        </row>
        <row r="260">
          <cell r="A260">
            <v>256</v>
          </cell>
          <cell r="B260" t="str">
            <v xml:space="preserve">7501991840277   </v>
          </cell>
          <cell r="C260" t="str">
            <v xml:space="preserve">MI PRIMER ALBUM                         </v>
          </cell>
          <cell r="D260" t="str">
            <v xml:space="preserve">BEBE </v>
          </cell>
          <cell r="E260">
            <v>132</v>
          </cell>
          <cell r="F260">
            <v>153.11999999999998</v>
          </cell>
        </row>
        <row r="261">
          <cell r="A261">
            <v>257</v>
          </cell>
          <cell r="B261" t="str">
            <v xml:space="preserve">7501991840284   </v>
          </cell>
          <cell r="C261" t="str">
            <v xml:space="preserve">PROSPER CUIDA SU SALUD                  </v>
          </cell>
          <cell r="D261" t="str">
            <v xml:space="preserve">BEBE </v>
          </cell>
          <cell r="E261">
            <v>234.3</v>
          </cell>
          <cell r="F261">
            <v>271.78800000000001</v>
          </cell>
        </row>
        <row r="262">
          <cell r="A262">
            <v>258</v>
          </cell>
          <cell r="B262" t="str">
            <v xml:space="preserve">7501991840291   </v>
          </cell>
          <cell r="C262" t="str">
            <v xml:space="preserve">MIS LIBRITOS (SET No. 1)                </v>
          </cell>
          <cell r="D262" t="str">
            <v xml:space="preserve">BEBE </v>
          </cell>
          <cell r="E262">
            <v>211.2</v>
          </cell>
          <cell r="F262">
            <v>244.99199999999996</v>
          </cell>
        </row>
        <row r="263">
          <cell r="A263">
            <v>259</v>
          </cell>
          <cell r="B263" t="str">
            <v xml:space="preserve">7501991840307   </v>
          </cell>
          <cell r="C263" t="str">
            <v xml:space="preserve">MIS LIBRITOS (SET No. 2)                </v>
          </cell>
          <cell r="D263" t="str">
            <v xml:space="preserve">BEBE </v>
          </cell>
          <cell r="E263">
            <v>211.2</v>
          </cell>
          <cell r="F263">
            <v>244.99199999999996</v>
          </cell>
        </row>
        <row r="264">
          <cell r="A264">
            <v>260</v>
          </cell>
          <cell r="B264" t="str">
            <v xml:space="preserve">7501991840314   </v>
          </cell>
          <cell r="C264" t="str">
            <v xml:space="preserve">MIS LIBRITOS (SET No. 3)                </v>
          </cell>
          <cell r="D264" t="str">
            <v xml:space="preserve">BEBE </v>
          </cell>
          <cell r="E264">
            <v>211.2</v>
          </cell>
          <cell r="F264">
            <v>244.99199999999996</v>
          </cell>
        </row>
        <row r="265">
          <cell r="A265">
            <v>261</v>
          </cell>
          <cell r="B265" t="str">
            <v xml:space="preserve">7501991840321   </v>
          </cell>
          <cell r="C265" t="str">
            <v xml:space="preserve">APRENDO A CONTAR                        </v>
          </cell>
          <cell r="D265" t="str">
            <v xml:space="preserve">BEBE </v>
          </cell>
          <cell r="E265">
            <v>433.95</v>
          </cell>
          <cell r="F265">
            <v>503.38199999999995</v>
          </cell>
        </row>
        <row r="266">
          <cell r="A266">
            <v>262</v>
          </cell>
          <cell r="B266" t="str">
            <v xml:space="preserve">7501991840345   </v>
          </cell>
          <cell r="C266" t="str">
            <v xml:space="preserve">APRENDO LOS COLORES (70x60)cm           </v>
          </cell>
          <cell r="D266" t="str">
            <v xml:space="preserve">BEBE </v>
          </cell>
          <cell r="E266">
            <v>331.65000000000003</v>
          </cell>
          <cell r="F266">
            <v>384.714</v>
          </cell>
        </row>
        <row r="267">
          <cell r="A267">
            <v>263</v>
          </cell>
          <cell r="B267" t="str">
            <v xml:space="preserve">7501991840352   </v>
          </cell>
          <cell r="C267" t="str">
            <v xml:space="preserve">QUE HORA ES?                            </v>
          </cell>
          <cell r="D267" t="str">
            <v xml:space="preserve">BEBE </v>
          </cell>
          <cell r="E267">
            <v>338.25</v>
          </cell>
          <cell r="F267">
            <v>392.36999999999995</v>
          </cell>
        </row>
        <row r="268">
          <cell r="A268">
            <v>264</v>
          </cell>
          <cell r="B268" t="str">
            <v xml:space="preserve">7501991840369   </v>
          </cell>
          <cell r="C268" t="str">
            <v xml:space="preserve">CUENTA CONMIGO                          </v>
          </cell>
          <cell r="D268" t="str">
            <v xml:space="preserve">BEBE </v>
          </cell>
          <cell r="E268">
            <v>296.99999999999994</v>
          </cell>
          <cell r="F268">
            <v>344.51999999999992</v>
          </cell>
        </row>
        <row r="269">
          <cell r="A269">
            <v>265</v>
          </cell>
          <cell r="B269" t="str">
            <v xml:space="preserve">7501991840376   </v>
          </cell>
          <cell r="C269" t="str">
            <v xml:space="preserve">LIBRO QUE FORMA ES?                     </v>
          </cell>
          <cell r="D269" t="str">
            <v xml:space="preserve">BEBE </v>
          </cell>
          <cell r="E269">
            <v>305.25</v>
          </cell>
          <cell r="F269">
            <v>354.09</v>
          </cell>
        </row>
        <row r="270">
          <cell r="A270">
            <v>266</v>
          </cell>
          <cell r="B270" t="str">
            <v xml:space="preserve">7501991840390   </v>
          </cell>
          <cell r="C270" t="str">
            <v xml:space="preserve">COMO ME SIENTO?                         </v>
          </cell>
          <cell r="D270" t="str">
            <v xml:space="preserve">BEBE </v>
          </cell>
          <cell r="E270">
            <v>414.15</v>
          </cell>
          <cell r="F270">
            <v>480.41399999999993</v>
          </cell>
        </row>
        <row r="271">
          <cell r="A271">
            <v>267</v>
          </cell>
          <cell r="B271" t="str">
            <v xml:space="preserve">7501991840406   </v>
          </cell>
          <cell r="C271" t="str">
            <v xml:space="preserve">LOS DISFRACES DE PROSPER                </v>
          </cell>
          <cell r="D271" t="str">
            <v xml:space="preserve">BEBE </v>
          </cell>
          <cell r="E271">
            <v>308.54999999999995</v>
          </cell>
          <cell r="F271">
            <v>357.91799999999995</v>
          </cell>
        </row>
        <row r="272">
          <cell r="A272">
            <v>268</v>
          </cell>
          <cell r="B272" t="str">
            <v xml:space="preserve">7501991840413   </v>
          </cell>
          <cell r="C272" t="str">
            <v xml:space="preserve">CUANTO MIDO?                            </v>
          </cell>
          <cell r="D272" t="str">
            <v xml:space="preserve">BEBE </v>
          </cell>
          <cell r="E272">
            <v>158.39999999999998</v>
          </cell>
          <cell r="F272">
            <v>183.74399999999997</v>
          </cell>
        </row>
        <row r="273">
          <cell r="A273">
            <v>269</v>
          </cell>
          <cell r="B273" t="str">
            <v xml:space="preserve">7501991840420   </v>
          </cell>
          <cell r="C273" t="str">
            <v xml:space="preserve">EL CALENDARIO DE PROSPER                </v>
          </cell>
          <cell r="D273" t="str">
            <v xml:space="preserve">BEBE </v>
          </cell>
          <cell r="E273">
            <v>483.44999999999993</v>
          </cell>
          <cell r="F273">
            <v>560.80199999999991</v>
          </cell>
        </row>
        <row r="274">
          <cell r="A274">
            <v>270</v>
          </cell>
          <cell r="B274" t="str">
            <v xml:space="preserve">7501991840444   </v>
          </cell>
          <cell r="C274" t="str">
            <v xml:space="preserve">MI PRIMER ALFABETO                      </v>
          </cell>
          <cell r="D274" t="str">
            <v xml:space="preserve">BEBE </v>
          </cell>
          <cell r="E274">
            <v>521.4</v>
          </cell>
          <cell r="F274">
            <v>604.82399999999996</v>
          </cell>
        </row>
        <row r="275">
          <cell r="A275">
            <v>271</v>
          </cell>
          <cell r="B275" t="str">
            <v xml:space="preserve">7501991840468   </v>
          </cell>
          <cell r="C275" t="str">
            <v xml:space="preserve">COMO ME PORTE HOY?                      </v>
          </cell>
          <cell r="D275" t="str">
            <v xml:space="preserve">BEBE </v>
          </cell>
          <cell r="E275">
            <v>519.75</v>
          </cell>
          <cell r="F275">
            <v>602.91</v>
          </cell>
        </row>
        <row r="276">
          <cell r="A276">
            <v>272</v>
          </cell>
          <cell r="B276" t="str">
            <v xml:space="preserve">7501991840482   </v>
          </cell>
          <cell r="C276" t="str">
            <v xml:space="preserve">MI BAROMETRO                            </v>
          </cell>
          <cell r="D276" t="str">
            <v xml:space="preserve">BEBE </v>
          </cell>
          <cell r="E276">
            <v>430.65000000000003</v>
          </cell>
          <cell r="F276">
            <v>499.55399999999997</v>
          </cell>
        </row>
        <row r="277">
          <cell r="A277">
            <v>273</v>
          </cell>
          <cell r="B277" t="str">
            <v xml:space="preserve">7501991840499   </v>
          </cell>
          <cell r="C277" t="str">
            <v xml:space="preserve">MIS ORGANOS (CHALECO)                   </v>
          </cell>
          <cell r="D277" t="str">
            <v xml:space="preserve">BEBE </v>
          </cell>
          <cell r="E277">
            <v>386.1</v>
          </cell>
          <cell r="F277">
            <v>447.87599999999998</v>
          </cell>
        </row>
        <row r="278">
          <cell r="A278">
            <v>274</v>
          </cell>
          <cell r="B278" t="str">
            <v xml:space="preserve">7501991840512   </v>
          </cell>
          <cell r="C278" t="str">
            <v xml:space="preserve">EL SISTEMA SOLAR DE PROSPER             </v>
          </cell>
          <cell r="D278" t="str">
            <v xml:space="preserve">BEBE </v>
          </cell>
          <cell r="E278">
            <v>460.35</v>
          </cell>
          <cell r="F278">
            <v>534.00599999999997</v>
          </cell>
        </row>
        <row r="279">
          <cell r="A279">
            <v>275</v>
          </cell>
          <cell r="B279" t="str">
            <v xml:space="preserve">7501991840529   </v>
          </cell>
          <cell r="C279" t="str">
            <v xml:space="preserve">MAGICUBO CON 8 SONAJAS                  </v>
          </cell>
          <cell r="D279" t="str">
            <v xml:space="preserve">BEBE </v>
          </cell>
          <cell r="E279">
            <v>293.7</v>
          </cell>
          <cell r="F279">
            <v>340.69199999999995</v>
          </cell>
        </row>
        <row r="280">
          <cell r="A280">
            <v>276</v>
          </cell>
          <cell r="B280" t="str">
            <v xml:space="preserve">7501991840536   </v>
          </cell>
          <cell r="C280" t="str">
            <v xml:space="preserve">LUDICUBO CON ASAS 1Pz                   </v>
          </cell>
          <cell r="D280" t="str">
            <v xml:space="preserve">BEBE </v>
          </cell>
          <cell r="E280">
            <v>191.4</v>
          </cell>
          <cell r="F280">
            <v>222.024</v>
          </cell>
        </row>
        <row r="281">
          <cell r="A281">
            <v>277</v>
          </cell>
          <cell r="B281" t="str">
            <v xml:space="preserve">7501991840543   </v>
          </cell>
          <cell r="C281" t="str">
            <v xml:space="preserve">TELEFONO ALLO PROSPER                   </v>
          </cell>
          <cell r="D281" t="str">
            <v xml:space="preserve">BEBE </v>
          </cell>
          <cell r="E281">
            <v>158.39999999999998</v>
          </cell>
          <cell r="F281">
            <v>183.74399999999997</v>
          </cell>
        </row>
        <row r="282">
          <cell r="A282">
            <v>278</v>
          </cell>
          <cell r="B282" t="str">
            <v xml:space="preserve">7501991840550   </v>
          </cell>
          <cell r="C282" t="str">
            <v xml:space="preserve">DONDI EL COCODRILO 1Pz                  </v>
          </cell>
          <cell r="D282" t="str">
            <v xml:space="preserve">BEBE </v>
          </cell>
          <cell r="E282">
            <v>158.39999999999998</v>
          </cell>
          <cell r="F282">
            <v>183.74399999999997</v>
          </cell>
        </row>
        <row r="283">
          <cell r="A283">
            <v>279</v>
          </cell>
          <cell r="B283" t="str">
            <v xml:space="preserve">7501991840567   </v>
          </cell>
          <cell r="C283" t="str">
            <v xml:space="preserve">GUS EL GUSANO CHICO                     </v>
          </cell>
          <cell r="D283" t="str">
            <v xml:space="preserve">BEBE </v>
          </cell>
          <cell r="E283">
            <v>151.80000000000001</v>
          </cell>
          <cell r="F283">
            <v>176.08799999999999</v>
          </cell>
        </row>
        <row r="284">
          <cell r="A284">
            <v>280</v>
          </cell>
          <cell r="B284" t="str">
            <v xml:space="preserve">7501991840574   </v>
          </cell>
          <cell r="C284" t="str">
            <v xml:space="preserve">GUS EL GUSANO GRANDE                    </v>
          </cell>
          <cell r="D284" t="str">
            <v xml:space="preserve">BEBE </v>
          </cell>
          <cell r="E284">
            <v>199.64999999999998</v>
          </cell>
          <cell r="F284">
            <v>231.59399999999997</v>
          </cell>
        </row>
        <row r="285">
          <cell r="A285">
            <v>281</v>
          </cell>
          <cell r="B285" t="str">
            <v xml:space="preserve">7501991840581   </v>
          </cell>
          <cell r="C285" t="str">
            <v xml:space="preserve">CUBO ROMPECABEZAS FRUTAS 8Pz            </v>
          </cell>
          <cell r="D285" t="str">
            <v xml:space="preserve">BEBE </v>
          </cell>
          <cell r="E285">
            <v>331.65000000000003</v>
          </cell>
          <cell r="F285">
            <v>384.714</v>
          </cell>
        </row>
        <row r="286">
          <cell r="A286">
            <v>282</v>
          </cell>
          <cell r="B286" t="str">
            <v xml:space="preserve">7501991840598   </v>
          </cell>
          <cell r="C286" t="str">
            <v xml:space="preserve">GEOMETRICUBO                            </v>
          </cell>
          <cell r="D286" t="str">
            <v xml:space="preserve">BEBE </v>
          </cell>
          <cell r="E286">
            <v>321.75</v>
          </cell>
          <cell r="F286">
            <v>373.22999999999996</v>
          </cell>
        </row>
        <row r="287">
          <cell r="A287">
            <v>283</v>
          </cell>
          <cell r="B287" t="str">
            <v xml:space="preserve">7501991840604   </v>
          </cell>
          <cell r="C287" t="str">
            <v xml:space="preserve">POLO EL PULPITO 1Pz                     </v>
          </cell>
          <cell r="D287" t="str">
            <v xml:space="preserve">BEBE </v>
          </cell>
          <cell r="E287">
            <v>191.4</v>
          </cell>
          <cell r="F287">
            <v>222.024</v>
          </cell>
        </row>
        <row r="288">
          <cell r="A288">
            <v>284</v>
          </cell>
          <cell r="B288" t="str">
            <v xml:space="preserve">7501991840611   </v>
          </cell>
          <cell r="C288" t="str">
            <v xml:space="preserve">PROSPER EL OSITO                        </v>
          </cell>
          <cell r="D288" t="str">
            <v xml:space="preserve">BEBE </v>
          </cell>
          <cell r="E288">
            <v>204.6</v>
          </cell>
          <cell r="F288">
            <v>237.33599999999998</v>
          </cell>
        </row>
        <row r="289">
          <cell r="A289">
            <v>285</v>
          </cell>
          <cell r="B289" t="str">
            <v xml:space="preserve">7501991840628   </v>
          </cell>
          <cell r="C289" t="str">
            <v xml:space="preserve">LOLA LA GALLINA                         </v>
          </cell>
          <cell r="D289" t="str">
            <v xml:space="preserve">BEBE </v>
          </cell>
          <cell r="E289">
            <v>179.85</v>
          </cell>
          <cell r="F289">
            <v>208.62599999999998</v>
          </cell>
        </row>
        <row r="290">
          <cell r="A290">
            <v>286</v>
          </cell>
          <cell r="B290" t="str">
            <v xml:space="preserve">7501991840635   </v>
          </cell>
          <cell r="C290" t="str">
            <v xml:space="preserve">LUCY LA LAGARTIJA                       </v>
          </cell>
          <cell r="D290" t="str">
            <v xml:space="preserve">BEBE </v>
          </cell>
          <cell r="E290">
            <v>179.85</v>
          </cell>
          <cell r="F290">
            <v>208.62599999999998</v>
          </cell>
        </row>
        <row r="291">
          <cell r="A291">
            <v>287</v>
          </cell>
          <cell r="B291" t="str">
            <v xml:space="preserve">7501991840642   </v>
          </cell>
          <cell r="C291" t="str">
            <v xml:space="preserve">MAYA LA ABEJA                           </v>
          </cell>
          <cell r="D291" t="str">
            <v xml:space="preserve">BEBE </v>
          </cell>
          <cell r="E291">
            <v>254.1</v>
          </cell>
          <cell r="F291">
            <v>294.75599999999997</v>
          </cell>
        </row>
        <row r="292">
          <cell r="A292">
            <v>288</v>
          </cell>
          <cell r="B292" t="str">
            <v xml:space="preserve">7501991840659   </v>
          </cell>
          <cell r="C292" t="str">
            <v xml:space="preserve">JESSI LA MARIPOSA                       </v>
          </cell>
          <cell r="D292" t="str">
            <v xml:space="preserve">BEBE </v>
          </cell>
          <cell r="E292">
            <v>183.15</v>
          </cell>
          <cell r="F292">
            <v>212.45399999999998</v>
          </cell>
        </row>
        <row r="293">
          <cell r="A293">
            <v>289</v>
          </cell>
          <cell r="B293" t="str">
            <v xml:space="preserve">7501991840666   </v>
          </cell>
          <cell r="C293" t="str">
            <v xml:space="preserve">KATA LA CATARINA 1Pz                    </v>
          </cell>
          <cell r="D293" t="str">
            <v xml:space="preserve">BEBE </v>
          </cell>
          <cell r="E293">
            <v>183.15</v>
          </cell>
          <cell r="F293">
            <v>212.45399999999998</v>
          </cell>
        </row>
        <row r="294">
          <cell r="A294">
            <v>290</v>
          </cell>
          <cell r="B294" t="str">
            <v xml:space="preserve">7501991840673   </v>
          </cell>
          <cell r="C294" t="str">
            <v xml:space="preserve">CUBO ROMPECABEZAS NUMEROS 8Pz           </v>
          </cell>
          <cell r="D294" t="str">
            <v xml:space="preserve">BEBE </v>
          </cell>
          <cell r="E294">
            <v>353.09999999999997</v>
          </cell>
          <cell r="F294">
            <v>409.59599999999995</v>
          </cell>
        </row>
        <row r="295">
          <cell r="A295">
            <v>291</v>
          </cell>
          <cell r="B295" t="str">
            <v xml:space="preserve">7501991840680   </v>
          </cell>
          <cell r="C295" t="str">
            <v xml:space="preserve">LA CUÑA MAGICA 1Pz                      </v>
          </cell>
          <cell r="D295" t="str">
            <v xml:space="preserve">BEBE </v>
          </cell>
          <cell r="E295">
            <v>564.29999999999995</v>
          </cell>
          <cell r="F295">
            <v>654.58799999999997</v>
          </cell>
        </row>
        <row r="296">
          <cell r="A296">
            <v>292</v>
          </cell>
          <cell r="B296" t="str">
            <v xml:space="preserve">7501991840697   </v>
          </cell>
          <cell r="C296" t="str">
            <v xml:space="preserve">EL TABLERO MAGICO                       </v>
          </cell>
          <cell r="D296" t="str">
            <v xml:space="preserve">BEBE </v>
          </cell>
          <cell r="E296">
            <v>331.65000000000003</v>
          </cell>
          <cell r="F296">
            <v>384.714</v>
          </cell>
        </row>
        <row r="297">
          <cell r="A297">
            <v>293</v>
          </cell>
          <cell r="B297" t="str">
            <v xml:space="preserve">7501991840703   </v>
          </cell>
          <cell r="C297" t="str">
            <v xml:space="preserve">MINI CUBO MONTESSORI (10X10)cm          </v>
          </cell>
          <cell r="D297" t="str">
            <v xml:space="preserve">BEBE </v>
          </cell>
          <cell r="E297">
            <v>150.15</v>
          </cell>
          <cell r="F297">
            <v>174.17399999999998</v>
          </cell>
        </row>
        <row r="298">
          <cell r="A298">
            <v>294</v>
          </cell>
          <cell r="B298" t="str">
            <v xml:space="preserve">7501991840710   </v>
          </cell>
          <cell r="C298" t="str">
            <v xml:space="preserve">LA CASITA DE PROSPER                    </v>
          </cell>
          <cell r="D298" t="str">
            <v xml:space="preserve">BEBE </v>
          </cell>
          <cell r="E298">
            <v>384.45</v>
          </cell>
          <cell r="F298">
            <v>445.96199999999993</v>
          </cell>
        </row>
        <row r="299">
          <cell r="A299">
            <v>295</v>
          </cell>
          <cell r="B299" t="str">
            <v xml:space="preserve">7501991840727   </v>
          </cell>
          <cell r="C299" t="str">
            <v xml:space="preserve">LA GRANJITA DE PROSPER                  </v>
          </cell>
          <cell r="D299" t="str">
            <v xml:space="preserve">BEBE </v>
          </cell>
          <cell r="E299">
            <v>384.45</v>
          </cell>
          <cell r="F299">
            <v>445.96199999999993</v>
          </cell>
        </row>
        <row r="300">
          <cell r="A300">
            <v>296</v>
          </cell>
          <cell r="B300" t="str">
            <v xml:space="preserve">7501991840734   </v>
          </cell>
          <cell r="C300" t="str">
            <v xml:space="preserve">MI PEQUEÑA ARCA                         </v>
          </cell>
          <cell r="D300" t="str">
            <v xml:space="preserve">BEBE </v>
          </cell>
          <cell r="E300">
            <v>359.7</v>
          </cell>
          <cell r="F300">
            <v>417.25199999999995</v>
          </cell>
        </row>
        <row r="301">
          <cell r="A301">
            <v>297</v>
          </cell>
          <cell r="B301" t="str">
            <v xml:space="preserve">7501991840741   </v>
          </cell>
          <cell r="C301" t="str">
            <v xml:space="preserve">MI PEQUEÑO MUNDO                        </v>
          </cell>
          <cell r="D301" t="str">
            <v xml:space="preserve">BEBE </v>
          </cell>
          <cell r="E301">
            <v>372.89999999999992</v>
          </cell>
          <cell r="F301">
            <v>432.56399999999991</v>
          </cell>
        </row>
        <row r="302">
          <cell r="A302">
            <v>298</v>
          </cell>
          <cell r="B302" t="str">
            <v xml:space="preserve">7501991840765   </v>
          </cell>
          <cell r="C302" t="str">
            <v xml:space="preserve">LA PECERA MAGICA                        </v>
          </cell>
          <cell r="D302" t="str">
            <v xml:space="preserve">BEBE </v>
          </cell>
          <cell r="E302">
            <v>293.7</v>
          </cell>
          <cell r="F302">
            <v>340.69199999999995</v>
          </cell>
        </row>
        <row r="303">
          <cell r="A303">
            <v>299</v>
          </cell>
          <cell r="B303" t="str">
            <v xml:space="preserve">7501991840772   </v>
          </cell>
          <cell r="C303" t="str">
            <v xml:space="preserve">CUADRIPELOTA CHICA 1Pz                  </v>
          </cell>
          <cell r="D303" t="str">
            <v xml:space="preserve">BEBE </v>
          </cell>
          <cell r="E303">
            <v>150.15</v>
          </cell>
          <cell r="F303">
            <v>174.17399999999998</v>
          </cell>
        </row>
        <row r="304">
          <cell r="A304">
            <v>300</v>
          </cell>
          <cell r="B304" t="str">
            <v xml:space="preserve">7501991840789   </v>
          </cell>
          <cell r="C304" t="str">
            <v xml:space="preserve">CUADRIPELOTA MEDIANA 1Pz                </v>
          </cell>
          <cell r="D304" t="str">
            <v xml:space="preserve">BEBE </v>
          </cell>
          <cell r="E304">
            <v>287.09999999999997</v>
          </cell>
          <cell r="F304">
            <v>333.03599999999994</v>
          </cell>
        </row>
        <row r="305">
          <cell r="A305">
            <v>301</v>
          </cell>
          <cell r="B305" t="str">
            <v xml:space="preserve">7501991840796   </v>
          </cell>
          <cell r="C305" t="str">
            <v xml:space="preserve">CUADRIPELOTA GRANDE 1Pz                 </v>
          </cell>
          <cell r="D305" t="str">
            <v xml:space="preserve">BEBE </v>
          </cell>
          <cell r="E305">
            <v>341.54999999999995</v>
          </cell>
          <cell r="F305">
            <v>396.19799999999992</v>
          </cell>
        </row>
        <row r="306">
          <cell r="A306">
            <v>302</v>
          </cell>
          <cell r="B306" t="str">
            <v xml:space="preserve">7501991840802   </v>
          </cell>
          <cell r="C306" t="str">
            <v xml:space="preserve">CUBO TEXTURA "ALADINO" (12X12)cm 1Pz    </v>
          </cell>
          <cell r="D306" t="str">
            <v xml:space="preserve">BEBE </v>
          </cell>
          <cell r="E306">
            <v>59.4</v>
          </cell>
          <cell r="F306">
            <v>68.903999999999996</v>
          </cell>
        </row>
        <row r="307">
          <cell r="A307">
            <v>303</v>
          </cell>
          <cell r="B307" t="str">
            <v xml:space="preserve">7501991840826   </v>
          </cell>
          <cell r="C307" t="str">
            <v xml:space="preserve">MI PRIMER CUADERNO                      </v>
          </cell>
          <cell r="D307" t="str">
            <v xml:space="preserve">BEBE </v>
          </cell>
          <cell r="E307">
            <v>183.15</v>
          </cell>
          <cell r="F307">
            <v>212.45399999999998</v>
          </cell>
        </row>
        <row r="308">
          <cell r="A308">
            <v>304</v>
          </cell>
          <cell r="B308" t="str">
            <v xml:space="preserve">7501991840833   </v>
          </cell>
          <cell r="C308" t="str">
            <v xml:space="preserve">MIS LIBRITOS (SET No. 4 )               </v>
          </cell>
          <cell r="D308" t="str">
            <v xml:space="preserve">BEBE </v>
          </cell>
          <cell r="E308">
            <v>211.2</v>
          </cell>
          <cell r="F308">
            <v>244.99199999999996</v>
          </cell>
        </row>
        <row r="309">
          <cell r="A309">
            <v>305</v>
          </cell>
          <cell r="B309" t="str">
            <v xml:space="preserve">7501991840840   </v>
          </cell>
          <cell r="C309" t="str">
            <v xml:space="preserve">LA RONDA DE LOS ANIMALES                </v>
          </cell>
          <cell r="D309" t="str">
            <v xml:space="preserve">BEBE </v>
          </cell>
          <cell r="E309">
            <v>471.90000000000003</v>
          </cell>
          <cell r="F309">
            <v>547.404</v>
          </cell>
        </row>
        <row r="310">
          <cell r="A310">
            <v>306</v>
          </cell>
          <cell r="B310" t="str">
            <v xml:space="preserve">7501991840857   </v>
          </cell>
          <cell r="C310" t="str">
            <v xml:space="preserve">CUBO DE FORMAS (20x20)cm 1Pz            </v>
          </cell>
          <cell r="D310" t="str">
            <v xml:space="preserve">BEBE </v>
          </cell>
          <cell r="E310">
            <v>321.75</v>
          </cell>
          <cell r="F310">
            <v>373.22999999999996</v>
          </cell>
        </row>
        <row r="311">
          <cell r="A311">
            <v>307</v>
          </cell>
          <cell r="B311" t="str">
            <v xml:space="preserve">7501991840864   </v>
          </cell>
          <cell r="C311" t="str">
            <v xml:space="preserve">ROMPE-CABEZAS HEXAGONAL                 </v>
          </cell>
          <cell r="D311" t="str">
            <v xml:space="preserve">BEBE </v>
          </cell>
          <cell r="E311">
            <v>191.4</v>
          </cell>
          <cell r="F311">
            <v>222.024</v>
          </cell>
        </row>
        <row r="312">
          <cell r="A312">
            <v>308</v>
          </cell>
          <cell r="B312" t="str">
            <v xml:space="preserve">7501991840871   </v>
          </cell>
          <cell r="C312" t="str">
            <v xml:space="preserve">CUBO SIN FIN 8Pz                        </v>
          </cell>
          <cell r="D312" t="str">
            <v xml:space="preserve">BEBE </v>
          </cell>
          <cell r="E312">
            <v>473.5499999999999</v>
          </cell>
          <cell r="F312">
            <v>549.31799999999987</v>
          </cell>
        </row>
        <row r="313">
          <cell r="A313">
            <v>309</v>
          </cell>
          <cell r="B313" t="str">
            <v xml:space="preserve">7501991840888   </v>
          </cell>
          <cell r="C313" t="str">
            <v xml:space="preserve">MI PRIMER MOVIL                         </v>
          </cell>
          <cell r="D313" t="str">
            <v xml:space="preserve">BEBE </v>
          </cell>
          <cell r="E313">
            <v>440.54999999999995</v>
          </cell>
          <cell r="F313">
            <v>511.0379999999999</v>
          </cell>
        </row>
        <row r="314">
          <cell r="A314">
            <v>310</v>
          </cell>
          <cell r="B314" t="str">
            <v xml:space="preserve">7501991840895   </v>
          </cell>
          <cell r="C314" t="str">
            <v xml:space="preserve">MI 1er JUEGO DE BEISBOL                 </v>
          </cell>
          <cell r="D314" t="str">
            <v xml:space="preserve">BEBE </v>
          </cell>
          <cell r="E314">
            <v>321.75</v>
          </cell>
          <cell r="F314">
            <v>373.22999999999996</v>
          </cell>
        </row>
        <row r="315">
          <cell r="A315">
            <v>311</v>
          </cell>
          <cell r="B315" t="str">
            <v xml:space="preserve">7501991840901   </v>
          </cell>
          <cell r="C315" t="str">
            <v xml:space="preserve">MI PRIMER TEATRO                        </v>
          </cell>
          <cell r="D315" t="str">
            <v xml:space="preserve">BEBE </v>
          </cell>
          <cell r="E315">
            <v>363</v>
          </cell>
          <cell r="F315">
            <v>421.08</v>
          </cell>
        </row>
        <row r="316">
          <cell r="A316">
            <v>312</v>
          </cell>
          <cell r="B316" t="str">
            <v xml:space="preserve">7501991840918   </v>
          </cell>
          <cell r="C316" t="str">
            <v xml:space="preserve">LA TORRE MAGICA 4Pz                     </v>
          </cell>
          <cell r="D316" t="str">
            <v xml:space="preserve">BEBE </v>
          </cell>
          <cell r="E316">
            <v>310.2</v>
          </cell>
          <cell r="F316">
            <v>359.83199999999994</v>
          </cell>
        </row>
        <row r="317">
          <cell r="A317">
            <v>313</v>
          </cell>
          <cell r="B317" t="str">
            <v xml:space="preserve">7501991840932   </v>
          </cell>
          <cell r="C317" t="str">
            <v xml:space="preserve">CUBO TEXTURA "VINIL" (12X12)cm 1Pz      </v>
          </cell>
          <cell r="D317" t="str">
            <v xml:space="preserve">BEBE </v>
          </cell>
          <cell r="E317">
            <v>59.4</v>
          </cell>
          <cell r="F317">
            <v>68.903999999999996</v>
          </cell>
        </row>
        <row r="318">
          <cell r="A318">
            <v>314</v>
          </cell>
          <cell r="B318" t="str">
            <v xml:space="preserve">7501991840949   </v>
          </cell>
          <cell r="C318" t="str">
            <v xml:space="preserve">EL CALENDARIO DE LA CLASE               </v>
          </cell>
          <cell r="D318" t="str">
            <v xml:space="preserve">BEBE </v>
          </cell>
          <cell r="E318">
            <v>635.24999999999989</v>
          </cell>
          <cell r="F318">
            <v>736.88999999999987</v>
          </cell>
        </row>
        <row r="319">
          <cell r="A319">
            <v>315</v>
          </cell>
          <cell r="B319" t="str">
            <v xml:space="preserve">7501991840956   </v>
          </cell>
          <cell r="C319" t="str">
            <v xml:space="preserve">CUBO TEXTURA (12X12)cm 1Pz              </v>
          </cell>
          <cell r="D319" t="str">
            <v xml:space="preserve">BEBE </v>
          </cell>
          <cell r="E319">
            <v>59.4</v>
          </cell>
          <cell r="F319">
            <v>68.903999999999996</v>
          </cell>
        </row>
        <row r="320">
          <cell r="A320">
            <v>316</v>
          </cell>
          <cell r="B320" t="str">
            <v xml:space="preserve">7501991840963   </v>
          </cell>
          <cell r="C320" t="str">
            <v xml:space="preserve">LA PIRAMIDE NUTRICIONAL 1Pz             </v>
          </cell>
          <cell r="D320" t="str">
            <v xml:space="preserve">BEBE </v>
          </cell>
          <cell r="E320">
            <v>590.69999999999993</v>
          </cell>
          <cell r="F320">
            <v>685.21199999999988</v>
          </cell>
        </row>
        <row r="321">
          <cell r="A321">
            <v>317</v>
          </cell>
          <cell r="B321" t="str">
            <v xml:space="preserve">7501991840970   </v>
          </cell>
          <cell r="C321" t="str">
            <v xml:space="preserve">MEMO EL PEZ GLOBO                       </v>
          </cell>
          <cell r="D321" t="str">
            <v xml:space="preserve">BEBE </v>
          </cell>
          <cell r="E321">
            <v>201.29999999999998</v>
          </cell>
          <cell r="F321">
            <v>233.50799999999995</v>
          </cell>
        </row>
        <row r="322">
          <cell r="A322">
            <v>318</v>
          </cell>
          <cell r="B322" t="str">
            <v xml:space="preserve">7501991840987   </v>
          </cell>
          <cell r="C322" t="str">
            <v xml:space="preserve">SET 4 CUBITOS                           </v>
          </cell>
          <cell r="D322" t="str">
            <v xml:space="preserve">BEBE </v>
          </cell>
          <cell r="E322">
            <v>222.75</v>
          </cell>
          <cell r="F322">
            <v>258.39</v>
          </cell>
        </row>
        <row r="323">
          <cell r="A323">
            <v>319</v>
          </cell>
          <cell r="B323" t="str">
            <v xml:space="preserve">7501991840994   </v>
          </cell>
          <cell r="C323" t="str">
            <v xml:space="preserve">SET 3 CUBOS TEXTURAS 12X12              </v>
          </cell>
          <cell r="D323" t="str">
            <v xml:space="preserve">BEBE </v>
          </cell>
          <cell r="E323">
            <v>206.25</v>
          </cell>
          <cell r="F323">
            <v>239.25</v>
          </cell>
        </row>
        <row r="324">
          <cell r="A324">
            <v>320</v>
          </cell>
          <cell r="B324" t="str">
            <v xml:space="preserve">7501991841007   </v>
          </cell>
          <cell r="C324" t="str">
            <v xml:space="preserve">FLIPER EL DELFIN                        </v>
          </cell>
          <cell r="D324" t="str">
            <v xml:space="preserve">BEBE </v>
          </cell>
          <cell r="E324">
            <v>201.29999999999998</v>
          </cell>
          <cell r="F324">
            <v>233.50799999999995</v>
          </cell>
        </row>
        <row r="325">
          <cell r="A325">
            <v>321</v>
          </cell>
          <cell r="B325" t="str">
            <v xml:space="preserve">7501991841014   </v>
          </cell>
          <cell r="C325" t="str">
            <v xml:space="preserve">LA BOA LOCA                             </v>
          </cell>
          <cell r="D325" t="str">
            <v xml:space="preserve">BEBE </v>
          </cell>
          <cell r="E325">
            <v>259.04999999999995</v>
          </cell>
          <cell r="F325">
            <v>300.49799999999993</v>
          </cell>
        </row>
        <row r="326">
          <cell r="A326">
            <v>322</v>
          </cell>
          <cell r="B326" t="str">
            <v xml:space="preserve">7501991841021   </v>
          </cell>
          <cell r="C326" t="str">
            <v xml:space="preserve">CUBO TEXTURAS GRANDE (20x20)cm          </v>
          </cell>
          <cell r="D326" t="str">
            <v xml:space="preserve">BEBE </v>
          </cell>
          <cell r="E326">
            <v>103.95</v>
          </cell>
          <cell r="F326">
            <v>120.58199999999999</v>
          </cell>
        </row>
        <row r="327">
          <cell r="A327">
            <v>323</v>
          </cell>
          <cell r="B327" t="str">
            <v xml:space="preserve">7501991841038   </v>
          </cell>
          <cell r="C327" t="str">
            <v xml:space="preserve">SET 5 CUBOS ALFABETO                    </v>
          </cell>
          <cell r="D327" t="str">
            <v xml:space="preserve">BEBE </v>
          </cell>
          <cell r="E327">
            <v>400.95</v>
          </cell>
          <cell r="F327">
            <v>465.10199999999998</v>
          </cell>
        </row>
        <row r="328">
          <cell r="A328">
            <v>324</v>
          </cell>
          <cell r="B328" t="str">
            <v xml:space="preserve">7501991841045   </v>
          </cell>
          <cell r="C328" t="str">
            <v xml:space="preserve">SET DE 3 CUBOS IMPRESOS                 </v>
          </cell>
          <cell r="D328" t="str">
            <v xml:space="preserve">BEBE </v>
          </cell>
          <cell r="E328">
            <v>259.04999999999995</v>
          </cell>
          <cell r="F328">
            <v>300.49799999999993</v>
          </cell>
        </row>
        <row r="329">
          <cell r="A329">
            <v>325</v>
          </cell>
          <cell r="B329" t="str">
            <v xml:space="preserve">7501991841502   </v>
          </cell>
          <cell r="C329" t="str">
            <v xml:space="preserve">BINGO EMOCIONES ADULTO                  </v>
          </cell>
          <cell r="D329" t="str">
            <v>BINGO</v>
          </cell>
          <cell r="E329">
            <v>148.49999999999997</v>
          </cell>
          <cell r="F329">
            <v>172.25999999999996</v>
          </cell>
        </row>
        <row r="330">
          <cell r="A330">
            <v>326</v>
          </cell>
          <cell r="B330" t="str">
            <v xml:space="preserve">7501991841519   </v>
          </cell>
          <cell r="C330" t="str">
            <v xml:space="preserve">BINGO EMOCIONES ADOLESCENTES            </v>
          </cell>
          <cell r="D330" t="str">
            <v>BINGO</v>
          </cell>
          <cell r="E330">
            <v>148.49999999999997</v>
          </cell>
          <cell r="F330">
            <v>172.25999999999996</v>
          </cell>
        </row>
        <row r="331">
          <cell r="A331">
            <v>327</v>
          </cell>
          <cell r="B331" t="str">
            <v xml:space="preserve">7501991841526   </v>
          </cell>
          <cell r="C331" t="str">
            <v xml:space="preserve">BINGO EMOCIONES NIÑOS                   </v>
          </cell>
          <cell r="D331" t="str">
            <v>BINGO</v>
          </cell>
          <cell r="E331">
            <v>148.49999999999997</v>
          </cell>
          <cell r="F331">
            <v>172.25999999999996</v>
          </cell>
        </row>
        <row r="332">
          <cell r="A332">
            <v>328</v>
          </cell>
          <cell r="B332" t="str">
            <v xml:space="preserve">7501991812595   </v>
          </cell>
          <cell r="C332" t="str">
            <v xml:space="preserve">CATALOGO EDUCAR No.2 / 1Pz              </v>
          </cell>
          <cell r="D332" t="str">
            <v>CATAL</v>
          </cell>
          <cell r="E332">
            <v>82.5</v>
          </cell>
          <cell r="F332">
            <v>95.699999999999989</v>
          </cell>
        </row>
        <row r="333">
          <cell r="A333">
            <v>329</v>
          </cell>
          <cell r="B333" t="str">
            <v xml:space="preserve">7501991860039   </v>
          </cell>
          <cell r="C333" t="str">
            <v xml:space="preserve">CATALOGO DIAKO 1Pz                      </v>
          </cell>
          <cell r="D333" t="str">
            <v>CATAL</v>
          </cell>
          <cell r="E333">
            <v>66</v>
          </cell>
          <cell r="F333">
            <v>76.559999999999988</v>
          </cell>
        </row>
        <row r="334">
          <cell r="A334">
            <v>330</v>
          </cell>
          <cell r="B334" t="str">
            <v xml:space="preserve">C2000           </v>
          </cell>
          <cell r="C334" t="str">
            <v xml:space="preserve">CATALOGO 2000 EDUCAR                    </v>
          </cell>
          <cell r="D334" t="str">
            <v>CATAL</v>
          </cell>
          <cell r="E334">
            <v>82.5</v>
          </cell>
          <cell r="F334">
            <v>95.699999999999989</v>
          </cell>
        </row>
        <row r="335">
          <cell r="A335">
            <v>331</v>
          </cell>
          <cell r="B335" t="str">
            <v xml:space="preserve">CE              </v>
          </cell>
          <cell r="C335" t="str">
            <v xml:space="preserve">CATALOGO LA EDUCADORA JUEGOS            </v>
          </cell>
          <cell r="D335" t="str">
            <v>CATAL</v>
          </cell>
          <cell r="E335">
            <v>165</v>
          </cell>
          <cell r="F335">
            <v>191.39999999999998</v>
          </cell>
        </row>
        <row r="336">
          <cell r="A336">
            <v>332</v>
          </cell>
          <cell r="B336" t="str">
            <v xml:space="preserve">CERC            </v>
          </cell>
          <cell r="C336" t="str">
            <v xml:space="preserve">CATALOGO LA EDUCADORA ROMPECABEZAS      </v>
          </cell>
          <cell r="D336" t="str">
            <v>CATAL</v>
          </cell>
          <cell r="E336">
            <v>165</v>
          </cell>
          <cell r="F336">
            <v>191.39999999999998</v>
          </cell>
        </row>
        <row r="337">
          <cell r="A337">
            <v>333</v>
          </cell>
          <cell r="B337" t="str">
            <v xml:space="preserve">CH              </v>
          </cell>
          <cell r="C337" t="str">
            <v xml:space="preserve">CATALOGO HANDS                          </v>
          </cell>
          <cell r="D337" t="str">
            <v>CATAL</v>
          </cell>
          <cell r="E337">
            <v>41.25</v>
          </cell>
          <cell r="F337">
            <v>47.849999999999994</v>
          </cell>
        </row>
        <row r="338">
          <cell r="A338">
            <v>334</v>
          </cell>
          <cell r="B338" t="str">
            <v xml:space="preserve">CL              </v>
          </cell>
          <cell r="C338" t="str">
            <v xml:space="preserve">CATALOGO SELLOS LIMON                   </v>
          </cell>
          <cell r="D338" t="str">
            <v>CATAL</v>
          </cell>
          <cell r="E338">
            <v>59.4</v>
          </cell>
          <cell r="F338">
            <v>68.903999999999996</v>
          </cell>
        </row>
        <row r="339">
          <cell r="A339">
            <v>335</v>
          </cell>
          <cell r="B339" t="str">
            <v xml:space="preserve">CPIKOLO         </v>
          </cell>
          <cell r="C339" t="str">
            <v xml:space="preserve">CATALOGO LETREROS PIKOLO                </v>
          </cell>
          <cell r="D339" t="str">
            <v>CATAL</v>
          </cell>
          <cell r="E339">
            <v>59.4</v>
          </cell>
          <cell r="F339">
            <v>68.903999999999996</v>
          </cell>
        </row>
        <row r="340">
          <cell r="A340">
            <v>336</v>
          </cell>
          <cell r="B340" t="str">
            <v xml:space="preserve">CPP             </v>
          </cell>
          <cell r="C340" t="str">
            <v xml:space="preserve">CATALOGO PUSH PUPS                      </v>
          </cell>
          <cell r="D340" t="str">
            <v>CATAL</v>
          </cell>
          <cell r="E340">
            <v>8.25</v>
          </cell>
          <cell r="F340">
            <v>9.5699999999999985</v>
          </cell>
        </row>
        <row r="341">
          <cell r="A341">
            <v>337</v>
          </cell>
          <cell r="B341" t="str">
            <v xml:space="preserve">CTP             </v>
          </cell>
          <cell r="C341" t="str">
            <v xml:space="preserve">CATALOGO TEACH PLAY                     </v>
          </cell>
          <cell r="D341" t="str">
            <v>CATAL</v>
          </cell>
          <cell r="E341">
            <v>8.25</v>
          </cell>
          <cell r="F341">
            <v>9.5699999999999985</v>
          </cell>
        </row>
        <row r="342">
          <cell r="A342">
            <v>338</v>
          </cell>
          <cell r="B342" t="str">
            <v xml:space="preserve">CV              </v>
          </cell>
          <cell r="C342" t="str">
            <v xml:space="preserve">CATALOGO VIA APRENDE                    </v>
          </cell>
          <cell r="D342" t="str">
            <v>CATAL</v>
          </cell>
          <cell r="E342">
            <v>28.05</v>
          </cell>
          <cell r="F342">
            <v>32.537999999999997</v>
          </cell>
        </row>
        <row r="343">
          <cell r="A343">
            <v>339</v>
          </cell>
          <cell r="B343" t="str">
            <v xml:space="preserve">M101            </v>
          </cell>
          <cell r="C343" t="str">
            <v xml:space="preserve">CATALOGO KIDS COLORS                    </v>
          </cell>
          <cell r="D343" t="str">
            <v>CATAL</v>
          </cell>
          <cell r="E343">
            <v>24.75</v>
          </cell>
          <cell r="F343">
            <v>28.709999999999997</v>
          </cell>
        </row>
        <row r="344">
          <cell r="A344">
            <v>340</v>
          </cell>
          <cell r="B344" t="str">
            <v xml:space="preserve">871577077012    </v>
          </cell>
          <cell r="C344" t="str">
            <v xml:space="preserve">RC 3D EIFFEL TOWER (C044HG)             </v>
          </cell>
          <cell r="D344" t="str">
            <v>CUBIC</v>
          </cell>
          <cell r="E344">
            <v>102.3</v>
          </cell>
          <cell r="F344">
            <v>118.66799999999999</v>
          </cell>
        </row>
        <row r="345">
          <cell r="A345">
            <v>341</v>
          </cell>
          <cell r="B345" t="str">
            <v xml:space="preserve">871577077029    </v>
          </cell>
          <cell r="C345" t="str">
            <v xml:space="preserve">RC 3D ARC DE TRIOMPHE PARIS (C045H)     </v>
          </cell>
          <cell r="D345" t="str">
            <v>CUBIC</v>
          </cell>
          <cell r="E345">
            <v>102.3</v>
          </cell>
          <cell r="F345">
            <v>118.66799999999999</v>
          </cell>
        </row>
        <row r="346">
          <cell r="A346">
            <v>342</v>
          </cell>
          <cell r="B346" t="str">
            <v xml:space="preserve">871577077036    </v>
          </cell>
          <cell r="C346" t="str">
            <v xml:space="preserve">RC 3D EMPIRE STATE BUILDING (C048H)     </v>
          </cell>
          <cell r="D346" t="str">
            <v>CUBIC</v>
          </cell>
          <cell r="E346">
            <v>125.4</v>
          </cell>
          <cell r="F346">
            <v>145.464</v>
          </cell>
        </row>
        <row r="347">
          <cell r="A347">
            <v>343</v>
          </cell>
          <cell r="B347" t="str">
            <v xml:space="preserve">871577077043    </v>
          </cell>
          <cell r="C347" t="str">
            <v xml:space="preserve">RC 3D LEANIN TOWER OF PISA (C053H)      </v>
          </cell>
          <cell r="D347" t="str">
            <v>CUBIC</v>
          </cell>
          <cell r="E347">
            <v>125.4</v>
          </cell>
          <cell r="F347">
            <v>145.464</v>
          </cell>
        </row>
        <row r="348">
          <cell r="A348">
            <v>344</v>
          </cell>
          <cell r="B348" t="str">
            <v xml:space="preserve">871577077050    </v>
          </cell>
          <cell r="C348" t="str">
            <v xml:space="preserve">RC 3D NOTRE-DAME DE PARIS (C054H)       </v>
          </cell>
          <cell r="D348" t="str">
            <v>CUBIC</v>
          </cell>
          <cell r="E348">
            <v>163.34999999999997</v>
          </cell>
          <cell r="F348">
            <v>189.48599999999996</v>
          </cell>
        </row>
        <row r="349">
          <cell r="A349">
            <v>345</v>
          </cell>
          <cell r="B349" t="str">
            <v xml:space="preserve">871577077067    </v>
          </cell>
          <cell r="C349" t="str">
            <v xml:space="preserve">RC 3D COLOSSEUM (C055H)                 </v>
          </cell>
          <cell r="D349" t="str">
            <v>CUBIC</v>
          </cell>
          <cell r="E349">
            <v>163.34999999999997</v>
          </cell>
          <cell r="F349">
            <v>189.48599999999996</v>
          </cell>
        </row>
        <row r="350">
          <cell r="A350">
            <v>346</v>
          </cell>
          <cell r="B350" t="str">
            <v xml:space="preserve">871577077074    </v>
          </cell>
          <cell r="C350" t="str">
            <v xml:space="preserve">RC 3D MINI ARCHITECTURE SERIES (C056H)  </v>
          </cell>
          <cell r="D350" t="str">
            <v>CUBIC</v>
          </cell>
          <cell r="E350">
            <v>125.4</v>
          </cell>
          <cell r="F350">
            <v>145.464</v>
          </cell>
        </row>
        <row r="351">
          <cell r="A351">
            <v>347</v>
          </cell>
          <cell r="B351" t="str">
            <v xml:space="preserve">871577077081    </v>
          </cell>
          <cell r="C351" t="str">
            <v xml:space="preserve">RC 3D WORLD FAMOUS MINI (C058H)         </v>
          </cell>
          <cell r="D351" t="str">
            <v>CUBIC</v>
          </cell>
          <cell r="E351">
            <v>125.4</v>
          </cell>
          <cell r="F351">
            <v>145.464</v>
          </cell>
        </row>
        <row r="352">
          <cell r="A352">
            <v>348</v>
          </cell>
          <cell r="B352" t="str">
            <v xml:space="preserve">871577077111    </v>
          </cell>
          <cell r="C352" t="str">
            <v xml:space="preserve">RC 3D NEUS WANSTEIN CASTLE (C062H)      </v>
          </cell>
          <cell r="D352" t="str">
            <v>CUBIC</v>
          </cell>
          <cell r="E352">
            <v>163.34999999999997</v>
          </cell>
          <cell r="F352">
            <v>189.48599999999996</v>
          </cell>
        </row>
        <row r="353">
          <cell r="A353">
            <v>349</v>
          </cell>
          <cell r="B353" t="str">
            <v xml:space="preserve">871577077128    </v>
          </cell>
          <cell r="C353" t="str">
            <v xml:space="preserve">RC 3D BURJAL ARAB (C065H)               </v>
          </cell>
          <cell r="D353" t="str">
            <v>CUBIC</v>
          </cell>
          <cell r="E353">
            <v>102.3</v>
          </cell>
          <cell r="F353">
            <v>118.66799999999999</v>
          </cell>
        </row>
        <row r="354">
          <cell r="A354">
            <v>350</v>
          </cell>
          <cell r="B354" t="str">
            <v xml:space="preserve">871577077135    </v>
          </cell>
          <cell r="C354" t="str">
            <v xml:space="preserve">RC 3D TOWER BRIDGE (C066H)              </v>
          </cell>
          <cell r="D354" t="str">
            <v>CUBIC</v>
          </cell>
          <cell r="E354">
            <v>163.34999999999997</v>
          </cell>
          <cell r="F354">
            <v>189.48599999999996</v>
          </cell>
        </row>
        <row r="355">
          <cell r="A355">
            <v>351</v>
          </cell>
          <cell r="B355" t="str">
            <v xml:space="preserve">871577077142    </v>
          </cell>
          <cell r="C355" t="str">
            <v xml:space="preserve">RC 3D SYDNEY OPERA HOUSE (C067H)        </v>
          </cell>
          <cell r="D355" t="str">
            <v>CUBIC</v>
          </cell>
          <cell r="E355">
            <v>125.4</v>
          </cell>
          <cell r="F355">
            <v>145.464</v>
          </cell>
        </row>
        <row r="356">
          <cell r="A356">
            <v>352</v>
          </cell>
          <cell r="B356" t="str">
            <v xml:space="preserve">871577077173    </v>
          </cell>
          <cell r="C356" t="str">
            <v xml:space="preserve">RC 3D THE TEMPLE OF HEAVEN (C072H)      </v>
          </cell>
          <cell r="D356" t="str">
            <v>CUBIC</v>
          </cell>
          <cell r="E356">
            <v>163.34999999999997</v>
          </cell>
          <cell r="F356">
            <v>189.48599999999996</v>
          </cell>
        </row>
        <row r="357">
          <cell r="A357">
            <v>353</v>
          </cell>
          <cell r="B357" t="str">
            <v xml:space="preserve">871577077180    </v>
          </cell>
          <cell r="C357" t="str">
            <v xml:space="preserve">RC 3D MAYA PYRAMID (C073H)              </v>
          </cell>
          <cell r="D357" t="str">
            <v>CUBIC</v>
          </cell>
          <cell r="E357">
            <v>102.3</v>
          </cell>
          <cell r="F357">
            <v>118.66799999999999</v>
          </cell>
        </row>
        <row r="358">
          <cell r="A358">
            <v>354</v>
          </cell>
          <cell r="B358" t="str">
            <v xml:space="preserve">871577077197    </v>
          </cell>
          <cell r="C358" t="str">
            <v xml:space="preserve">RC 3D THE CAPITOL HILL (C074H)          </v>
          </cell>
          <cell r="D358" t="str">
            <v>CUBIC</v>
          </cell>
          <cell r="E358">
            <v>163.34999999999997</v>
          </cell>
          <cell r="F358">
            <v>189.48599999999996</v>
          </cell>
        </row>
        <row r="359">
          <cell r="A359">
            <v>355</v>
          </cell>
          <cell r="B359" t="str">
            <v xml:space="preserve">871577077210    </v>
          </cell>
          <cell r="C359" t="str">
            <v xml:space="preserve">RC 3D EGIPTO RELIQUE (C077H)            </v>
          </cell>
          <cell r="D359" t="str">
            <v>CUBIC</v>
          </cell>
          <cell r="E359">
            <v>125.4</v>
          </cell>
          <cell r="F359">
            <v>145.464</v>
          </cell>
        </row>
        <row r="360">
          <cell r="A360">
            <v>356</v>
          </cell>
          <cell r="B360" t="str">
            <v xml:space="preserve">871577077234    </v>
          </cell>
          <cell r="C360" t="str">
            <v xml:space="preserve">RC 3D STATUE OF LIBERTY (C080H)         </v>
          </cell>
          <cell r="D360" t="str">
            <v>CUBIC</v>
          </cell>
          <cell r="E360">
            <v>102.3</v>
          </cell>
          <cell r="F360">
            <v>118.66799999999999</v>
          </cell>
        </row>
        <row r="361">
          <cell r="A361">
            <v>357</v>
          </cell>
          <cell r="B361" t="str">
            <v xml:space="preserve">871577077241    </v>
          </cell>
          <cell r="C361" t="str">
            <v xml:space="preserve">RC 3D TAL MAHAL (C081H)                 </v>
          </cell>
          <cell r="D361" t="str">
            <v>CUBIC</v>
          </cell>
          <cell r="E361">
            <v>125.4</v>
          </cell>
          <cell r="F361">
            <v>145.464</v>
          </cell>
        </row>
        <row r="362">
          <cell r="A362">
            <v>358</v>
          </cell>
          <cell r="B362" t="str">
            <v xml:space="preserve">871577077265    </v>
          </cell>
          <cell r="C362" t="str">
            <v xml:space="preserve">RC 3D SEARS TOWER (C083H)               </v>
          </cell>
          <cell r="D362" t="str">
            <v>CUBIC</v>
          </cell>
          <cell r="E362">
            <v>125.4</v>
          </cell>
          <cell r="F362">
            <v>145.464</v>
          </cell>
        </row>
        <row r="363">
          <cell r="A363">
            <v>359</v>
          </cell>
          <cell r="B363" t="str">
            <v xml:space="preserve">871577077272    </v>
          </cell>
          <cell r="C363" t="str">
            <v xml:space="preserve">RC 3D PETRONAS TOWERS (C084H)           </v>
          </cell>
          <cell r="D363" t="str">
            <v>CUBIC</v>
          </cell>
          <cell r="E363">
            <v>163.34999999999997</v>
          </cell>
          <cell r="F363">
            <v>189.48599999999996</v>
          </cell>
        </row>
        <row r="364">
          <cell r="A364">
            <v>360</v>
          </cell>
          <cell r="B364" t="str">
            <v xml:space="preserve">871577077289    </v>
          </cell>
          <cell r="C364" t="str">
            <v xml:space="preserve">RC 3D TAIPEI 101 (C085H)                </v>
          </cell>
          <cell r="D364" t="str">
            <v>CUBIC</v>
          </cell>
          <cell r="E364">
            <v>125.4</v>
          </cell>
          <cell r="F364">
            <v>145.464</v>
          </cell>
        </row>
        <row r="365">
          <cell r="A365">
            <v>361</v>
          </cell>
          <cell r="B365" t="str">
            <v xml:space="preserve">871577077296    </v>
          </cell>
          <cell r="C365" t="str">
            <v xml:space="preserve">RC 3D WORLD FAMOUS MINI (C086H)         </v>
          </cell>
          <cell r="D365" t="str">
            <v>CUBIC</v>
          </cell>
          <cell r="E365">
            <v>125.4</v>
          </cell>
          <cell r="F365">
            <v>145.464</v>
          </cell>
        </row>
        <row r="366">
          <cell r="A366">
            <v>362</v>
          </cell>
          <cell r="B366" t="str">
            <v xml:space="preserve">871577077302    </v>
          </cell>
          <cell r="C366" t="str">
            <v xml:space="preserve">RC 3D DREAN KINGDOM (C017H)             </v>
          </cell>
          <cell r="D366" t="str">
            <v>CUBIC</v>
          </cell>
          <cell r="E366">
            <v>74.249999999999986</v>
          </cell>
          <cell r="F366">
            <v>86.129999999999981</v>
          </cell>
        </row>
        <row r="367">
          <cell r="A367">
            <v>363</v>
          </cell>
          <cell r="B367" t="str">
            <v xml:space="preserve">871577077319    </v>
          </cell>
          <cell r="C367" t="str">
            <v xml:space="preserve">RC 3D HONEY ROOM (C051-01H)             </v>
          </cell>
          <cell r="D367" t="str">
            <v>CUBIC</v>
          </cell>
          <cell r="E367">
            <v>74.249999999999986</v>
          </cell>
          <cell r="F367">
            <v>86.129999999999981</v>
          </cell>
        </row>
        <row r="368">
          <cell r="A368">
            <v>364</v>
          </cell>
          <cell r="B368" t="str">
            <v xml:space="preserve">871577077326    </v>
          </cell>
          <cell r="C368" t="str">
            <v xml:space="preserve">RC 3D HONEY ROOM (C051-02H)             </v>
          </cell>
          <cell r="D368" t="str">
            <v>CUBIC</v>
          </cell>
          <cell r="E368">
            <v>74.249999999999986</v>
          </cell>
          <cell r="F368">
            <v>86.129999999999981</v>
          </cell>
        </row>
        <row r="369">
          <cell r="A369">
            <v>365</v>
          </cell>
          <cell r="B369" t="str">
            <v xml:space="preserve">871577077333    </v>
          </cell>
          <cell r="C369" t="str">
            <v xml:space="preserve">RC 3D HONEY ROOM (C051-04H)             </v>
          </cell>
          <cell r="D369" t="str">
            <v>CUBIC</v>
          </cell>
          <cell r="E369">
            <v>74.249999999999986</v>
          </cell>
          <cell r="F369">
            <v>86.129999999999981</v>
          </cell>
        </row>
        <row r="370">
          <cell r="A370">
            <v>366</v>
          </cell>
          <cell r="B370" t="str">
            <v xml:space="preserve">871577077340    </v>
          </cell>
          <cell r="C370" t="str">
            <v xml:space="preserve">RC 3D MEI MEI BARBERSHOP (C079-01H)     </v>
          </cell>
          <cell r="D370" t="str">
            <v>CUBIC</v>
          </cell>
          <cell r="E370">
            <v>102.3</v>
          </cell>
          <cell r="F370">
            <v>118.66799999999999</v>
          </cell>
        </row>
        <row r="371">
          <cell r="A371">
            <v>367</v>
          </cell>
          <cell r="B371" t="str">
            <v xml:space="preserve">871577077357    </v>
          </cell>
          <cell r="C371" t="str">
            <v xml:space="preserve">RC 3D KO KO EATBAR (C079-02H)           </v>
          </cell>
          <cell r="D371" t="str">
            <v>CUBIC</v>
          </cell>
          <cell r="E371">
            <v>102.3</v>
          </cell>
          <cell r="F371">
            <v>118.66799999999999</v>
          </cell>
        </row>
        <row r="372">
          <cell r="A372">
            <v>368</v>
          </cell>
          <cell r="B372" t="str">
            <v xml:space="preserve">871577077364    </v>
          </cell>
          <cell r="C372" t="str">
            <v xml:space="preserve">RC 3D  LOCOMOTIVE (C009H)               </v>
          </cell>
          <cell r="D372" t="str">
            <v>CUBIC</v>
          </cell>
          <cell r="E372">
            <v>125.4</v>
          </cell>
          <cell r="F372">
            <v>145.464</v>
          </cell>
        </row>
        <row r="373">
          <cell r="A373">
            <v>369</v>
          </cell>
          <cell r="B373" t="str">
            <v xml:space="preserve">871577077371    </v>
          </cell>
          <cell r="C373" t="str">
            <v xml:space="preserve">RC 3D RAICING CAR (C019H)               </v>
          </cell>
          <cell r="D373" t="str">
            <v>CUBIC</v>
          </cell>
          <cell r="E373">
            <v>74.249999999999986</v>
          </cell>
          <cell r="F373">
            <v>86.129999999999981</v>
          </cell>
        </row>
        <row r="374">
          <cell r="A374">
            <v>370</v>
          </cell>
          <cell r="B374" t="str">
            <v xml:space="preserve">871577077388    </v>
          </cell>
          <cell r="C374" t="str">
            <v xml:space="preserve">RC 3D GUN SHIP (C025H)                  </v>
          </cell>
          <cell r="D374" t="str">
            <v>CUBIC</v>
          </cell>
          <cell r="E374">
            <v>74.249999999999986</v>
          </cell>
          <cell r="F374">
            <v>86.129999999999981</v>
          </cell>
        </row>
        <row r="375">
          <cell r="A375">
            <v>371</v>
          </cell>
          <cell r="B375" t="str">
            <v xml:space="preserve">871577077395    </v>
          </cell>
          <cell r="C375" t="str">
            <v xml:space="preserve">RC 3D WRC SERIES (C037H)                </v>
          </cell>
          <cell r="D375" t="str">
            <v>CUBIC</v>
          </cell>
          <cell r="E375">
            <v>125.4</v>
          </cell>
          <cell r="F375">
            <v>145.464</v>
          </cell>
        </row>
        <row r="376">
          <cell r="A376">
            <v>372</v>
          </cell>
          <cell r="B376" t="str">
            <v xml:space="preserve">871577077401    </v>
          </cell>
          <cell r="C376" t="str">
            <v xml:space="preserve">RC 3D BRITTANY FERRIES (C068H)          </v>
          </cell>
          <cell r="D376" t="str">
            <v>CUBIC</v>
          </cell>
          <cell r="E376">
            <v>125.4</v>
          </cell>
          <cell r="F376">
            <v>145.464</v>
          </cell>
        </row>
        <row r="377">
          <cell r="A377">
            <v>373</v>
          </cell>
          <cell r="B377" t="str">
            <v xml:space="preserve">871577077418    </v>
          </cell>
          <cell r="C377" t="str">
            <v xml:space="preserve">RC 3D CONTAINER TRUCK (064H)            </v>
          </cell>
          <cell r="D377" t="str">
            <v>CUBIC</v>
          </cell>
          <cell r="E377">
            <v>163.34999999999997</v>
          </cell>
          <cell r="F377">
            <v>189.48599999999996</v>
          </cell>
        </row>
        <row r="378">
          <cell r="A378">
            <v>374</v>
          </cell>
          <cell r="B378" t="str">
            <v xml:space="preserve">871577077425    </v>
          </cell>
          <cell r="C378" t="str">
            <v xml:space="preserve">RC 3D ANIMAL FOREST (C012H)             </v>
          </cell>
          <cell r="D378" t="str">
            <v>CUBIC</v>
          </cell>
          <cell r="E378">
            <v>74.249999999999986</v>
          </cell>
          <cell r="F378">
            <v>86.129999999999981</v>
          </cell>
        </row>
        <row r="379">
          <cell r="A379">
            <v>375</v>
          </cell>
          <cell r="B379" t="str">
            <v xml:space="preserve">871577077432    </v>
          </cell>
          <cell r="C379" t="str">
            <v xml:space="preserve">RC 3D DINOSAUR WORLD (C013H)            </v>
          </cell>
          <cell r="D379" t="str">
            <v>CUBIC</v>
          </cell>
          <cell r="E379">
            <v>74.249999999999986</v>
          </cell>
          <cell r="F379">
            <v>86.129999999999981</v>
          </cell>
        </row>
        <row r="380">
          <cell r="A380">
            <v>376</v>
          </cell>
          <cell r="B380" t="str">
            <v xml:space="preserve">871577077449    </v>
          </cell>
          <cell r="C380" t="str">
            <v xml:space="preserve">RC 3D DINO SAUR PARK (C026H)            </v>
          </cell>
          <cell r="D380" t="str">
            <v>CUBIC</v>
          </cell>
          <cell r="E380">
            <v>102.3</v>
          </cell>
          <cell r="F380">
            <v>118.66799999999999</v>
          </cell>
        </row>
        <row r="381">
          <cell r="A381">
            <v>377</v>
          </cell>
          <cell r="B381" t="str">
            <v xml:space="preserve">871577077463    </v>
          </cell>
          <cell r="C381" t="str">
            <v xml:space="preserve">RC 3D THE ERA OF NAVIGATION (C007H)     </v>
          </cell>
          <cell r="D381" t="str">
            <v>CUBIC</v>
          </cell>
          <cell r="E381">
            <v>82.5</v>
          </cell>
          <cell r="F381">
            <v>95.699999999999989</v>
          </cell>
        </row>
        <row r="382">
          <cell r="A382">
            <v>378</v>
          </cell>
          <cell r="B382" t="str">
            <v xml:space="preserve">7501373824994   </v>
          </cell>
          <cell r="C382" t="str">
            <v>JGO-02 SET C/5 DADOS 16 MM PUNTO DE COL.</v>
          </cell>
          <cell r="D382" t="str">
            <v xml:space="preserve">DADO </v>
          </cell>
          <cell r="E382">
            <v>20.625</v>
          </cell>
          <cell r="F382">
            <v>23.924999999999997</v>
          </cell>
        </row>
        <row r="383">
          <cell r="A383">
            <v>379</v>
          </cell>
          <cell r="B383" t="str">
            <v xml:space="preserve">7502212381067   </v>
          </cell>
          <cell r="C383" t="str">
            <v xml:space="preserve">(9523-A) SILLON  PARA MATERNAL (30 x 30 x 40)cm  </v>
          </cell>
          <cell r="D383" t="str">
            <v>DIAKM</v>
          </cell>
          <cell r="E383">
            <v>305.25</v>
          </cell>
          <cell r="F383">
            <v>354.09</v>
          </cell>
        </row>
        <row r="384">
          <cell r="A384">
            <v>380</v>
          </cell>
          <cell r="B384" t="str">
            <v xml:space="preserve">7502212381722   </v>
          </cell>
          <cell r="C384" t="str">
            <v xml:space="preserve">(9735-B) EXHIBIDOR CIRCULAR </v>
          </cell>
          <cell r="D384" t="str">
            <v>DIAKM</v>
          </cell>
          <cell r="E384">
            <v>1146.75</v>
          </cell>
          <cell r="F384">
            <v>1330.23</v>
          </cell>
        </row>
        <row r="385">
          <cell r="A385">
            <v>381</v>
          </cell>
          <cell r="B385" t="str">
            <v xml:space="preserve">750221238189    </v>
          </cell>
          <cell r="C385" t="str">
            <v xml:space="preserve">(9020-A) MESA CUADRADA BLANCA FILO AMARILLO      </v>
          </cell>
          <cell r="D385" t="str">
            <v>DIAKM</v>
          </cell>
          <cell r="E385">
            <v>529.65</v>
          </cell>
          <cell r="F385">
            <v>614.39399999999989</v>
          </cell>
        </row>
        <row r="386">
          <cell r="A386">
            <v>382</v>
          </cell>
          <cell r="B386" t="str">
            <v xml:space="preserve">750221238190    </v>
          </cell>
          <cell r="C386" t="str">
            <v xml:space="preserve">(9020-A) MESA CUADRADA AZUL FILO ROJO            </v>
          </cell>
          <cell r="D386" t="str">
            <v>DIAKM</v>
          </cell>
          <cell r="E386">
            <v>529.65</v>
          </cell>
          <cell r="F386">
            <v>614.39399999999989</v>
          </cell>
        </row>
        <row r="387">
          <cell r="A387">
            <v>383</v>
          </cell>
          <cell r="B387" t="str">
            <v xml:space="preserve">750221238191    </v>
          </cell>
          <cell r="C387" t="str">
            <v xml:space="preserve">(9020-A) MESA CUADRADA OYAMEEL FILO VERDE        </v>
          </cell>
          <cell r="D387" t="str">
            <v>DIAKM</v>
          </cell>
          <cell r="E387">
            <v>529.65</v>
          </cell>
          <cell r="F387">
            <v>614.39399999999989</v>
          </cell>
        </row>
        <row r="388">
          <cell r="A388">
            <v>384</v>
          </cell>
          <cell r="B388" t="str">
            <v xml:space="preserve">750221238192    </v>
          </cell>
          <cell r="C388" t="str">
            <v xml:space="preserve">(9020-A) MESA CUADRADA BLANCA FILO BLANCO        </v>
          </cell>
          <cell r="D388" t="str">
            <v>DIAKM</v>
          </cell>
          <cell r="E388">
            <v>529.65</v>
          </cell>
          <cell r="F388">
            <v>614.39399999999989</v>
          </cell>
        </row>
        <row r="389">
          <cell r="A389">
            <v>385</v>
          </cell>
          <cell r="B389" t="str">
            <v xml:space="preserve">750221238193    </v>
          </cell>
          <cell r="C389" t="str">
            <v xml:space="preserve">(9020-A) MESA CUADRADA AMARILLA FILO ROJO        </v>
          </cell>
          <cell r="D389" t="str">
            <v>DIAKM</v>
          </cell>
          <cell r="E389">
            <v>529.65</v>
          </cell>
          <cell r="F389">
            <v>614.39399999999989</v>
          </cell>
        </row>
        <row r="390">
          <cell r="A390">
            <v>386</v>
          </cell>
          <cell r="B390" t="str">
            <v xml:space="preserve">750221238194    </v>
          </cell>
          <cell r="C390" t="str">
            <v xml:space="preserve">(9020-A) MESA CUADRADA AZUL FILO AMARILLO        </v>
          </cell>
          <cell r="D390" t="str">
            <v>DIAKM</v>
          </cell>
          <cell r="E390">
            <v>529.65</v>
          </cell>
          <cell r="F390">
            <v>614.39399999999989</v>
          </cell>
        </row>
        <row r="391">
          <cell r="A391">
            <v>387</v>
          </cell>
          <cell r="B391" t="str">
            <v xml:space="preserve">750221238195    </v>
          </cell>
          <cell r="C391" t="str">
            <v xml:space="preserve">(9020-A) MESA CUADRADA OYAMEEL FILO ROJO         </v>
          </cell>
          <cell r="D391" t="str">
            <v>DIAKM</v>
          </cell>
          <cell r="E391">
            <v>529.65</v>
          </cell>
          <cell r="F391">
            <v>614.39399999999989</v>
          </cell>
        </row>
        <row r="392">
          <cell r="A392">
            <v>388</v>
          </cell>
          <cell r="B392" t="str">
            <v xml:space="preserve">750221238196    </v>
          </cell>
          <cell r="C392" t="str">
            <v xml:space="preserve">(9020-A) MESA CUADRADA OYAMEEL COMPLETA          </v>
          </cell>
          <cell r="D392" t="str">
            <v>DIAKM</v>
          </cell>
          <cell r="E392">
            <v>529.65</v>
          </cell>
          <cell r="F392">
            <v>614.39399999999989</v>
          </cell>
        </row>
        <row r="393">
          <cell r="A393">
            <v>389</v>
          </cell>
          <cell r="B393" t="str">
            <v xml:space="preserve">750221238197    </v>
          </cell>
          <cell r="C393" t="str">
            <v xml:space="preserve">(9020-A) MESA CUADRADA ROJO FILO AMARILLO        </v>
          </cell>
          <cell r="D393" t="str">
            <v>DIAKM</v>
          </cell>
          <cell r="E393">
            <v>529.65</v>
          </cell>
          <cell r="F393">
            <v>614.39399999999989</v>
          </cell>
        </row>
        <row r="394">
          <cell r="A394">
            <v>390</v>
          </cell>
          <cell r="B394" t="str">
            <v xml:space="preserve">750221238198    </v>
          </cell>
          <cell r="C394" t="str">
            <v xml:space="preserve">(9020-A) MESA CUADRADA ROJO FILO VERDE           </v>
          </cell>
          <cell r="D394" t="str">
            <v>DIAKM</v>
          </cell>
          <cell r="E394">
            <v>529.65</v>
          </cell>
          <cell r="F394">
            <v>614.39399999999989</v>
          </cell>
        </row>
        <row r="395">
          <cell r="A395">
            <v>391</v>
          </cell>
          <cell r="B395" t="str">
            <v xml:space="preserve">750221238199    </v>
          </cell>
          <cell r="C395" t="str">
            <v xml:space="preserve">(9020-A) MESA CUADRADA OYAMEEL FILO AZUL         </v>
          </cell>
          <cell r="D395" t="str">
            <v>DIAKM</v>
          </cell>
          <cell r="E395">
            <v>529.65</v>
          </cell>
          <cell r="F395">
            <v>614.39399999999989</v>
          </cell>
        </row>
        <row r="396">
          <cell r="A396">
            <v>392</v>
          </cell>
          <cell r="B396" t="str">
            <v xml:space="preserve">750221238200    </v>
          </cell>
          <cell r="C396" t="str">
            <v xml:space="preserve">(9020-A) MESA CUADRADA BLANCA FILO AZUL          </v>
          </cell>
          <cell r="D396" t="str">
            <v>DIAKM</v>
          </cell>
          <cell r="E396">
            <v>529.65</v>
          </cell>
          <cell r="F396">
            <v>614.39399999999989</v>
          </cell>
        </row>
        <row r="397">
          <cell r="A397">
            <v>393</v>
          </cell>
          <cell r="B397" t="str">
            <v xml:space="preserve">750221238201    </v>
          </cell>
          <cell r="C397" t="str">
            <v xml:space="preserve">(9020-A) MESA CUADRADA OYAMEEL FILO AMARILLO     </v>
          </cell>
          <cell r="D397" t="str">
            <v>DIAKM</v>
          </cell>
          <cell r="E397">
            <v>529.65</v>
          </cell>
          <cell r="F397">
            <v>614.39399999999989</v>
          </cell>
        </row>
        <row r="398">
          <cell r="A398">
            <v>394</v>
          </cell>
          <cell r="B398" t="str">
            <v xml:space="preserve">750221238202    </v>
          </cell>
          <cell r="C398" t="str">
            <v xml:space="preserve">(9020-A) MESA CUADRADA BLANCA FILO ROJO          </v>
          </cell>
          <cell r="D398" t="str">
            <v>DIAKM</v>
          </cell>
          <cell r="E398">
            <v>529.65</v>
          </cell>
          <cell r="F398">
            <v>614.39399999999989</v>
          </cell>
        </row>
        <row r="399">
          <cell r="A399">
            <v>395</v>
          </cell>
          <cell r="B399" t="str">
            <v xml:space="preserve">750221238203    </v>
          </cell>
          <cell r="C399" t="str">
            <v xml:space="preserve">(9020-A) MESA CUADRADA BLANCA FILO VERDE         </v>
          </cell>
          <cell r="D399" t="str">
            <v>DIAKM</v>
          </cell>
          <cell r="E399">
            <v>529.65</v>
          </cell>
          <cell r="F399">
            <v>614.39399999999989</v>
          </cell>
        </row>
        <row r="400">
          <cell r="A400">
            <v>396</v>
          </cell>
          <cell r="B400" t="str">
            <v xml:space="preserve">750221238204    </v>
          </cell>
          <cell r="C400" t="str">
            <v xml:space="preserve">(9020-A) MESA CUADRADA AMARILLA FILO AMARILLO    </v>
          </cell>
          <cell r="D400" t="str">
            <v>DIAKM</v>
          </cell>
          <cell r="E400">
            <v>529.65</v>
          </cell>
          <cell r="F400">
            <v>614.39399999999989</v>
          </cell>
        </row>
        <row r="401">
          <cell r="A401">
            <v>397</v>
          </cell>
          <cell r="B401" t="str">
            <v xml:space="preserve">750221238205    </v>
          </cell>
          <cell r="C401" t="str">
            <v xml:space="preserve">(9020-A) MESA CUADRADA AZUL FILO AZUL            </v>
          </cell>
          <cell r="D401" t="str">
            <v>DIAKM</v>
          </cell>
          <cell r="E401">
            <v>529.65</v>
          </cell>
          <cell r="F401">
            <v>614.39399999999989</v>
          </cell>
        </row>
        <row r="402">
          <cell r="A402">
            <v>398</v>
          </cell>
          <cell r="B402" t="str">
            <v xml:space="preserve">750221238206    </v>
          </cell>
          <cell r="C402" t="str">
            <v xml:space="preserve">(9020-A) MESA CUADRADA ROJA FILO ROJO            </v>
          </cell>
          <cell r="D402" t="str">
            <v>DIAKM</v>
          </cell>
          <cell r="E402">
            <v>529.65</v>
          </cell>
          <cell r="F402">
            <v>614.39399999999989</v>
          </cell>
        </row>
        <row r="403">
          <cell r="A403">
            <v>399</v>
          </cell>
          <cell r="B403" t="str">
            <v xml:space="preserve">750221238207    </v>
          </cell>
          <cell r="C403" t="str">
            <v xml:space="preserve">(9020-A) MESA CUADRADA VERDE FILO VERDE          </v>
          </cell>
          <cell r="D403" t="str">
            <v>DIAKM</v>
          </cell>
          <cell r="E403">
            <v>529.65</v>
          </cell>
          <cell r="F403">
            <v>614.39399999999989</v>
          </cell>
        </row>
        <row r="404">
          <cell r="A404">
            <v>400</v>
          </cell>
          <cell r="B404" t="str">
            <v xml:space="preserve">750221238208    </v>
          </cell>
          <cell r="C404" t="str">
            <v xml:space="preserve">(9020-A) MESA CUADRADA VERDE FILO AMARILLO       </v>
          </cell>
          <cell r="D404" t="str">
            <v>DIAKM</v>
          </cell>
          <cell r="E404">
            <v>529.65</v>
          </cell>
          <cell r="F404">
            <v>614.39399999999989</v>
          </cell>
        </row>
        <row r="405">
          <cell r="A405">
            <v>401</v>
          </cell>
          <cell r="B405" t="str">
            <v xml:space="preserve">750221238209    </v>
          </cell>
          <cell r="C405" t="str">
            <v xml:space="preserve">(9120-G) SILLA ASIENTO BLANCO                    </v>
          </cell>
          <cell r="D405" t="str">
            <v>DIAKM</v>
          </cell>
          <cell r="E405">
            <v>321.75</v>
          </cell>
          <cell r="F405">
            <v>373.22999999999996</v>
          </cell>
        </row>
        <row r="406">
          <cell r="A406">
            <v>402</v>
          </cell>
          <cell r="B406" t="str">
            <v xml:space="preserve">750221238210    </v>
          </cell>
          <cell r="C406" t="str">
            <v xml:space="preserve">(9120-G) SILLA ASIENTO AMARILLO                  </v>
          </cell>
          <cell r="D406" t="str">
            <v>DIAKM</v>
          </cell>
          <cell r="E406">
            <v>321.75</v>
          </cell>
          <cell r="F406">
            <v>373.22999999999996</v>
          </cell>
        </row>
        <row r="407">
          <cell r="A407">
            <v>403</v>
          </cell>
          <cell r="B407" t="str">
            <v xml:space="preserve">750221238211    </v>
          </cell>
          <cell r="C407" t="str">
            <v xml:space="preserve">(9120-G) SILLA ASIENTO AZUL                      </v>
          </cell>
          <cell r="D407" t="str">
            <v>DIAKM</v>
          </cell>
          <cell r="E407">
            <v>321.75</v>
          </cell>
          <cell r="F407">
            <v>373.22999999999996</v>
          </cell>
        </row>
        <row r="408">
          <cell r="A408">
            <v>404</v>
          </cell>
          <cell r="B408" t="str">
            <v xml:space="preserve">750221238212    </v>
          </cell>
          <cell r="C408" t="str">
            <v xml:space="preserve">(9120-G) SILLA ASIENTO ROJO                      </v>
          </cell>
          <cell r="D408" t="str">
            <v>DIAKM</v>
          </cell>
          <cell r="E408">
            <v>321.75</v>
          </cell>
          <cell r="F408">
            <v>373.22999999999996</v>
          </cell>
        </row>
        <row r="409">
          <cell r="A409">
            <v>405</v>
          </cell>
          <cell r="B409" t="str">
            <v xml:space="preserve">750221238213    </v>
          </cell>
          <cell r="C409" t="str">
            <v xml:space="preserve">(9120-G) SILLA ASIENTO VERDE                     </v>
          </cell>
          <cell r="D409" t="str">
            <v>DIAKM</v>
          </cell>
          <cell r="E409">
            <v>321.75</v>
          </cell>
          <cell r="F409">
            <v>373.22999999999996</v>
          </cell>
        </row>
        <row r="410">
          <cell r="A410">
            <v>406</v>
          </cell>
          <cell r="B410" t="str">
            <v xml:space="preserve">750221238214    </v>
          </cell>
          <cell r="C410" t="str">
            <v xml:space="preserve">(9120-G) SILLA ASIENTO AZUL POLAR                </v>
          </cell>
          <cell r="D410" t="str">
            <v>DIAKM</v>
          </cell>
          <cell r="E410">
            <v>321.75</v>
          </cell>
          <cell r="F410">
            <v>373.22999999999996</v>
          </cell>
        </row>
        <row r="411">
          <cell r="A411">
            <v>407</v>
          </cell>
          <cell r="B411" t="str">
            <v xml:space="preserve">750221238215    </v>
          </cell>
          <cell r="C411" t="str">
            <v xml:space="preserve">(9120-G) SILLA ASIENTO OYAMEL                    </v>
          </cell>
          <cell r="D411" t="str">
            <v>DIAKM</v>
          </cell>
          <cell r="E411">
            <v>321.75</v>
          </cell>
          <cell r="F411">
            <v>373.22999999999996</v>
          </cell>
        </row>
        <row r="412">
          <cell r="A412">
            <v>408</v>
          </cell>
          <cell r="B412" t="str">
            <v xml:space="preserve">750221238216    </v>
          </cell>
          <cell r="C412" t="str">
            <v xml:space="preserve">(9121-B) BANCA MULTIUSOS AMARILLA COMPLETA       </v>
          </cell>
          <cell r="D412" t="str">
            <v>DIAKM</v>
          </cell>
          <cell r="E412">
            <v>651.75</v>
          </cell>
          <cell r="F412">
            <v>756.03</v>
          </cell>
        </row>
        <row r="413">
          <cell r="A413">
            <v>409</v>
          </cell>
          <cell r="B413" t="str">
            <v xml:space="preserve">750221238217    </v>
          </cell>
          <cell r="C413" t="str">
            <v xml:space="preserve">(9121-B)BANCA MULTIUSOS AZUL COMPLETA           </v>
          </cell>
          <cell r="D413" t="str">
            <v>DIAKM</v>
          </cell>
          <cell r="E413">
            <v>651.75</v>
          </cell>
          <cell r="F413">
            <v>756.03</v>
          </cell>
        </row>
        <row r="414">
          <cell r="A414">
            <v>410</v>
          </cell>
          <cell r="B414" t="str">
            <v xml:space="preserve">750221238218    </v>
          </cell>
          <cell r="C414" t="str">
            <v xml:space="preserve">(9121-B)BANCA MULTIUSOS ROJO COMPLETA           </v>
          </cell>
          <cell r="D414" t="str">
            <v>DIAKM</v>
          </cell>
          <cell r="E414">
            <v>651.75</v>
          </cell>
          <cell r="F414">
            <v>756.03</v>
          </cell>
        </row>
        <row r="415">
          <cell r="A415">
            <v>411</v>
          </cell>
          <cell r="B415" t="str">
            <v xml:space="preserve">750221238219    </v>
          </cell>
          <cell r="C415" t="str">
            <v xml:space="preserve">(9121-B)BANCA MULTIUSOS VERDE COMPLETA          </v>
          </cell>
          <cell r="D415" t="str">
            <v>DIAKM</v>
          </cell>
          <cell r="E415">
            <v>651.75</v>
          </cell>
          <cell r="F415">
            <v>756.03</v>
          </cell>
        </row>
        <row r="416">
          <cell r="A416">
            <v>412</v>
          </cell>
          <cell r="B416" t="str">
            <v xml:space="preserve">750221238220    </v>
          </cell>
          <cell r="C416" t="str">
            <v xml:space="preserve">(9121-B)BANCA MULTIUSOS OYAMEEL COMPLETA        </v>
          </cell>
          <cell r="D416" t="str">
            <v>DIAKM</v>
          </cell>
          <cell r="E416">
            <v>651.75</v>
          </cell>
          <cell r="F416">
            <v>756.03</v>
          </cell>
        </row>
        <row r="417">
          <cell r="A417">
            <v>413</v>
          </cell>
          <cell r="B417" t="str">
            <v xml:space="preserve">750221238221    </v>
          </cell>
          <cell r="C417" t="str">
            <v xml:space="preserve">(9121-H) BANQUITO MULTIUSOS BLANCO FILO AMARILLO </v>
          </cell>
          <cell r="D417" t="str">
            <v>DIAKM</v>
          </cell>
          <cell r="E417">
            <v>189.74999999999997</v>
          </cell>
          <cell r="F417">
            <v>220.10999999999996</v>
          </cell>
        </row>
        <row r="418">
          <cell r="A418">
            <v>414</v>
          </cell>
          <cell r="B418" t="str">
            <v xml:space="preserve">750221238222    </v>
          </cell>
          <cell r="C418" t="str">
            <v xml:space="preserve">(9121-H) BANQUITO MULTIUSOS OYAMEL COMPLETO      </v>
          </cell>
          <cell r="D418" t="str">
            <v>DIAKM</v>
          </cell>
          <cell r="E418">
            <v>189.74999999999997</v>
          </cell>
          <cell r="F418">
            <v>220.10999999999996</v>
          </cell>
        </row>
        <row r="419">
          <cell r="A419">
            <v>415</v>
          </cell>
          <cell r="B419" t="str">
            <v xml:space="preserve">750221238223    </v>
          </cell>
          <cell r="C419" t="str">
            <v xml:space="preserve">(9121-H) BANQUITO MULTIUSOS BLANCO FILO AZUL     </v>
          </cell>
          <cell r="D419" t="str">
            <v>DIAKM</v>
          </cell>
          <cell r="E419">
            <v>189.74999999999997</v>
          </cell>
          <cell r="F419">
            <v>220.10999999999996</v>
          </cell>
        </row>
        <row r="420">
          <cell r="A420">
            <v>416</v>
          </cell>
          <cell r="B420" t="str">
            <v xml:space="preserve">750221238224    </v>
          </cell>
          <cell r="C420" t="str">
            <v xml:space="preserve">(9121-H) BANQUITO MULTIUSOS BLANCO FILO ROJO     </v>
          </cell>
          <cell r="D420" t="str">
            <v>DIAKM</v>
          </cell>
          <cell r="E420">
            <v>189.74999999999997</v>
          </cell>
          <cell r="F420">
            <v>220.10999999999996</v>
          </cell>
        </row>
        <row r="421">
          <cell r="A421">
            <v>417</v>
          </cell>
          <cell r="B421" t="str">
            <v xml:space="preserve">750221238225    </v>
          </cell>
          <cell r="C421" t="str">
            <v xml:space="preserve">(9121-H) BANQUITO MULTIUSOS BLANCO FILO VERDE    </v>
          </cell>
          <cell r="D421" t="str">
            <v>DIAKM</v>
          </cell>
          <cell r="E421">
            <v>189.74999999999997</v>
          </cell>
          <cell r="F421">
            <v>220.10999999999996</v>
          </cell>
        </row>
        <row r="422">
          <cell r="A422">
            <v>418</v>
          </cell>
          <cell r="B422" t="str">
            <v xml:space="preserve">750221238226    </v>
          </cell>
          <cell r="C422" t="str">
            <v xml:space="preserve">(9121-H) BANQUITO MULTIUSOS AMARILLO COMPLETO    </v>
          </cell>
          <cell r="D422" t="str">
            <v>DIAKM</v>
          </cell>
          <cell r="E422">
            <v>189.74999999999997</v>
          </cell>
          <cell r="F422">
            <v>220.10999999999996</v>
          </cell>
        </row>
        <row r="423">
          <cell r="A423">
            <v>419</v>
          </cell>
          <cell r="B423" t="str">
            <v xml:space="preserve">750221238227    </v>
          </cell>
          <cell r="C423" t="str">
            <v xml:space="preserve">(9121-H) BANQUITO MULTIUSOS AZUL COMPLETO        </v>
          </cell>
          <cell r="D423" t="str">
            <v>DIAKM</v>
          </cell>
          <cell r="E423">
            <v>189.74999999999997</v>
          </cell>
          <cell r="F423">
            <v>220.10999999999996</v>
          </cell>
        </row>
        <row r="424">
          <cell r="A424">
            <v>420</v>
          </cell>
          <cell r="B424" t="str">
            <v xml:space="preserve">750221238228    </v>
          </cell>
          <cell r="C424" t="str">
            <v xml:space="preserve">(9121-H) BANQUITO MULTIUSOS ROJO COMPLETO        </v>
          </cell>
          <cell r="D424" t="str">
            <v>DIAKM</v>
          </cell>
          <cell r="E424">
            <v>189.74999999999997</v>
          </cell>
          <cell r="F424">
            <v>220.10999999999996</v>
          </cell>
        </row>
        <row r="425">
          <cell r="A425">
            <v>421</v>
          </cell>
          <cell r="B425" t="str">
            <v xml:space="preserve">750221238229    </v>
          </cell>
          <cell r="C425" t="str">
            <v xml:space="preserve">(9121-H) BANQUITO MULTIUSOS VERDE COMPLETO       </v>
          </cell>
          <cell r="D425" t="str">
            <v>DIAKM</v>
          </cell>
          <cell r="E425">
            <v>189.74999999999997</v>
          </cell>
          <cell r="F425">
            <v>220.10999999999996</v>
          </cell>
        </row>
        <row r="426">
          <cell r="A426">
            <v>422</v>
          </cell>
          <cell r="B426" t="str">
            <v xml:space="preserve">750221238230    </v>
          </cell>
          <cell r="C426" t="str">
            <v xml:space="preserve">(9121-H) BANQUITO MULTIUSOS OYAMEL FILO AMARILLO </v>
          </cell>
          <cell r="D426" t="str">
            <v>DIAKM</v>
          </cell>
          <cell r="E426">
            <v>189.74999999999997</v>
          </cell>
          <cell r="F426">
            <v>220.10999999999996</v>
          </cell>
        </row>
        <row r="427">
          <cell r="A427">
            <v>423</v>
          </cell>
          <cell r="B427" t="str">
            <v xml:space="preserve">750221238231    </v>
          </cell>
          <cell r="C427" t="str">
            <v xml:space="preserve">(9220-B) MESA RECTANGULAR BLANCA FILO AMARILLO   </v>
          </cell>
          <cell r="D427" t="str">
            <v>DIAKM</v>
          </cell>
          <cell r="E427">
            <v>684.75</v>
          </cell>
          <cell r="F427">
            <v>794.31</v>
          </cell>
        </row>
        <row r="428">
          <cell r="A428">
            <v>424</v>
          </cell>
          <cell r="B428" t="str">
            <v xml:space="preserve">750221238232    </v>
          </cell>
          <cell r="C428" t="str">
            <v xml:space="preserve">(9220-B) MESA RECTANGULAR OYAMEL FILO ROJO       </v>
          </cell>
          <cell r="D428" t="str">
            <v>DIAKM</v>
          </cell>
          <cell r="E428">
            <v>684.75</v>
          </cell>
          <cell r="F428">
            <v>794.31</v>
          </cell>
        </row>
        <row r="429">
          <cell r="A429">
            <v>425</v>
          </cell>
          <cell r="B429" t="str">
            <v xml:space="preserve">750221238233    </v>
          </cell>
          <cell r="C429" t="str">
            <v xml:space="preserve">(9220-B) MESA RECTANGULAR VERDE FILO AMARILLO    </v>
          </cell>
          <cell r="D429" t="str">
            <v>DIAKM</v>
          </cell>
          <cell r="E429">
            <v>684.75</v>
          </cell>
          <cell r="F429">
            <v>794.31</v>
          </cell>
        </row>
        <row r="430">
          <cell r="A430">
            <v>426</v>
          </cell>
          <cell r="B430" t="str">
            <v xml:space="preserve">750221238234    </v>
          </cell>
          <cell r="C430" t="str">
            <v xml:space="preserve">(9220-B) MESA RECTANGULAR OYAMEL FILO VERDE      </v>
          </cell>
          <cell r="D430" t="str">
            <v>DIAKM</v>
          </cell>
          <cell r="E430">
            <v>684.75</v>
          </cell>
          <cell r="F430">
            <v>794.31</v>
          </cell>
        </row>
        <row r="431">
          <cell r="A431">
            <v>427</v>
          </cell>
          <cell r="B431" t="str">
            <v xml:space="preserve">750221238235    </v>
          </cell>
          <cell r="C431" t="str">
            <v xml:space="preserve">(9220-B) MESA RECTANGULAR AMARILLA FILO AZUL     </v>
          </cell>
          <cell r="D431" t="str">
            <v>DIAKM</v>
          </cell>
          <cell r="E431">
            <v>684.75</v>
          </cell>
          <cell r="F431">
            <v>794.31</v>
          </cell>
        </row>
        <row r="432">
          <cell r="A432">
            <v>428</v>
          </cell>
          <cell r="B432" t="str">
            <v xml:space="preserve">750221238236    </v>
          </cell>
          <cell r="C432" t="str">
            <v xml:space="preserve">(9220-B) MESA RECTANGULAR VERDE FILO ROJO        </v>
          </cell>
          <cell r="D432" t="str">
            <v>DIAKM</v>
          </cell>
          <cell r="E432">
            <v>684.75</v>
          </cell>
          <cell r="F432">
            <v>794.31</v>
          </cell>
        </row>
        <row r="433">
          <cell r="A433">
            <v>429</v>
          </cell>
          <cell r="B433" t="str">
            <v xml:space="preserve">750221238237    </v>
          </cell>
          <cell r="C433" t="str">
            <v xml:space="preserve">(9220-B) MESA RECTANGULAR BLANCA FILO AZUL       </v>
          </cell>
          <cell r="D433" t="str">
            <v>DIAKM</v>
          </cell>
          <cell r="E433">
            <v>684.75</v>
          </cell>
          <cell r="F433">
            <v>794.31</v>
          </cell>
        </row>
        <row r="434">
          <cell r="A434">
            <v>430</v>
          </cell>
          <cell r="B434" t="str">
            <v xml:space="preserve">750221238238    </v>
          </cell>
          <cell r="C434" t="str">
            <v xml:space="preserve">(9220-B) MESA RECTANGULAR BLANCO FILO ROJO       </v>
          </cell>
          <cell r="D434" t="str">
            <v>DIAKM</v>
          </cell>
          <cell r="E434">
            <v>684.75</v>
          </cell>
          <cell r="F434">
            <v>794.31</v>
          </cell>
        </row>
        <row r="435">
          <cell r="A435">
            <v>431</v>
          </cell>
          <cell r="B435" t="str">
            <v xml:space="preserve">750221238239    </v>
          </cell>
          <cell r="C435" t="str">
            <v xml:space="preserve">(9220-B) MESA RECTANGULAR BLANCO FILO VERDE      </v>
          </cell>
          <cell r="D435" t="str">
            <v>DIAKM</v>
          </cell>
          <cell r="E435">
            <v>684.75</v>
          </cell>
          <cell r="F435">
            <v>794.31</v>
          </cell>
        </row>
        <row r="436">
          <cell r="A436">
            <v>432</v>
          </cell>
          <cell r="B436" t="str">
            <v xml:space="preserve">750221238240    </v>
          </cell>
          <cell r="C436" t="str">
            <v xml:space="preserve">(9220-B) MESA RECTANGULAR AMARILLO COMPLETO      </v>
          </cell>
          <cell r="D436" t="str">
            <v>DIAKM</v>
          </cell>
          <cell r="E436">
            <v>684.75</v>
          </cell>
          <cell r="F436">
            <v>794.31</v>
          </cell>
        </row>
        <row r="437">
          <cell r="A437">
            <v>433</v>
          </cell>
          <cell r="B437" t="str">
            <v xml:space="preserve">750221238241    </v>
          </cell>
          <cell r="C437" t="str">
            <v xml:space="preserve">(9220-B) MESA RECTANGULAR AZUL COMPLETO          </v>
          </cell>
          <cell r="D437" t="str">
            <v>DIAKM</v>
          </cell>
          <cell r="E437">
            <v>684.75</v>
          </cell>
          <cell r="F437">
            <v>794.31</v>
          </cell>
        </row>
        <row r="438">
          <cell r="A438">
            <v>434</v>
          </cell>
          <cell r="B438" t="str">
            <v xml:space="preserve">750221238242    </v>
          </cell>
          <cell r="C438" t="str">
            <v xml:space="preserve">(9220-B) MESA RECTANGULAR ROJO FILO ROJO         </v>
          </cell>
          <cell r="D438" t="str">
            <v>DIAKM</v>
          </cell>
          <cell r="E438">
            <v>684.75</v>
          </cell>
          <cell r="F438">
            <v>794.31</v>
          </cell>
        </row>
        <row r="439">
          <cell r="A439">
            <v>435</v>
          </cell>
          <cell r="B439" t="str">
            <v xml:space="preserve">750221238243    </v>
          </cell>
          <cell r="C439" t="str">
            <v xml:space="preserve">(9220-B) MESA RECTANGULAR VERDE FILO VERDE       </v>
          </cell>
          <cell r="D439" t="str">
            <v>DIAKM</v>
          </cell>
          <cell r="E439">
            <v>684.75</v>
          </cell>
          <cell r="F439">
            <v>794.31</v>
          </cell>
        </row>
        <row r="440">
          <cell r="A440">
            <v>436</v>
          </cell>
          <cell r="B440" t="str">
            <v xml:space="preserve">750221238244    </v>
          </cell>
          <cell r="C440" t="str">
            <v xml:space="preserve">(9220-B) MESA RECTANGULAR OYAMEL FILO AMARILLO   </v>
          </cell>
          <cell r="D440" t="str">
            <v>DIAKM</v>
          </cell>
          <cell r="E440">
            <v>684.75</v>
          </cell>
          <cell r="F440">
            <v>794.31</v>
          </cell>
        </row>
        <row r="441">
          <cell r="A441">
            <v>437</v>
          </cell>
          <cell r="B441" t="str">
            <v xml:space="preserve">750221238245    </v>
          </cell>
          <cell r="C441" t="str">
            <v xml:space="preserve">(9320-B) MESA REDONDA BLANCA FILO AMARILLO       </v>
          </cell>
          <cell r="D441" t="str">
            <v>DIAKM</v>
          </cell>
          <cell r="E441">
            <v>866.25</v>
          </cell>
          <cell r="F441">
            <v>1004.8499999999999</v>
          </cell>
        </row>
        <row r="442">
          <cell r="A442">
            <v>438</v>
          </cell>
          <cell r="B442" t="str">
            <v xml:space="preserve">750221238246    </v>
          </cell>
          <cell r="C442" t="str">
            <v xml:space="preserve">(9320-B) MESA REDONDA OYAMEL FILO VERDE          </v>
          </cell>
          <cell r="D442" t="str">
            <v>DIAKM</v>
          </cell>
          <cell r="E442">
            <v>866.25</v>
          </cell>
          <cell r="F442">
            <v>1004.8499999999999</v>
          </cell>
        </row>
        <row r="443">
          <cell r="A443">
            <v>439</v>
          </cell>
          <cell r="B443" t="str">
            <v xml:space="preserve">750221238247    </v>
          </cell>
          <cell r="C443" t="str">
            <v xml:space="preserve">(9320-B) MESA REDONDA AZUL FILO ROJO             </v>
          </cell>
          <cell r="D443" t="str">
            <v>DIAKM</v>
          </cell>
          <cell r="E443">
            <v>866.25</v>
          </cell>
          <cell r="F443">
            <v>1004.8499999999999</v>
          </cell>
        </row>
        <row r="444">
          <cell r="A444">
            <v>440</v>
          </cell>
          <cell r="B444" t="str">
            <v xml:space="preserve">750221238248    </v>
          </cell>
          <cell r="C444" t="str">
            <v xml:space="preserve">(9320-B) MESA REDONDA AMARILLA FILO AZUL         </v>
          </cell>
          <cell r="D444" t="str">
            <v>DIAKM</v>
          </cell>
          <cell r="E444">
            <v>866.25</v>
          </cell>
          <cell r="F444">
            <v>1004.8499999999999</v>
          </cell>
        </row>
        <row r="445">
          <cell r="A445">
            <v>441</v>
          </cell>
          <cell r="B445" t="str">
            <v xml:space="preserve">750221238249    </v>
          </cell>
          <cell r="C445" t="str">
            <v xml:space="preserve">(9320-B) MESA REDONDA ROJO FILO AZUL             </v>
          </cell>
          <cell r="D445" t="str">
            <v>DIAKM</v>
          </cell>
          <cell r="E445">
            <v>866.25</v>
          </cell>
          <cell r="F445">
            <v>1004.8499999999999</v>
          </cell>
        </row>
        <row r="446">
          <cell r="A446">
            <v>442</v>
          </cell>
          <cell r="B446" t="str">
            <v xml:space="preserve">750221238250    </v>
          </cell>
          <cell r="C446" t="str">
            <v xml:space="preserve">(9320-B) MESA REDONDA OYAMEEL COMPLETO           </v>
          </cell>
          <cell r="D446" t="str">
            <v>DIAKM</v>
          </cell>
          <cell r="E446">
            <v>866.25</v>
          </cell>
          <cell r="F446">
            <v>1004.8499999999999</v>
          </cell>
        </row>
        <row r="447">
          <cell r="A447">
            <v>443</v>
          </cell>
          <cell r="B447" t="str">
            <v xml:space="preserve">750221238251    </v>
          </cell>
          <cell r="C447" t="str">
            <v xml:space="preserve">(9320-B) MESA REDONDA OYAMEL FILO AMARILLO       </v>
          </cell>
          <cell r="D447" t="str">
            <v>DIAKM</v>
          </cell>
          <cell r="E447">
            <v>866.25</v>
          </cell>
          <cell r="F447">
            <v>1004.8499999999999</v>
          </cell>
        </row>
        <row r="448">
          <cell r="A448">
            <v>444</v>
          </cell>
          <cell r="B448" t="str">
            <v xml:space="preserve">750221238252    </v>
          </cell>
          <cell r="C448" t="str">
            <v xml:space="preserve">(9320-B) MESA REDONDA BLANCA FILO AZUL           </v>
          </cell>
          <cell r="D448" t="str">
            <v>DIAKM</v>
          </cell>
          <cell r="E448">
            <v>866.25</v>
          </cell>
          <cell r="F448">
            <v>1004.8499999999999</v>
          </cell>
        </row>
        <row r="449">
          <cell r="A449">
            <v>445</v>
          </cell>
          <cell r="B449" t="str">
            <v xml:space="preserve">750221238253    </v>
          </cell>
          <cell r="C449" t="str">
            <v xml:space="preserve">(9320-B) MESA REDONDA BLANCA FILO ROJO           </v>
          </cell>
          <cell r="D449" t="str">
            <v>DIAKM</v>
          </cell>
          <cell r="E449">
            <v>866.25</v>
          </cell>
          <cell r="F449">
            <v>1004.8499999999999</v>
          </cell>
        </row>
        <row r="450">
          <cell r="A450">
            <v>446</v>
          </cell>
          <cell r="B450" t="str">
            <v xml:space="preserve">750221238254    </v>
          </cell>
          <cell r="C450" t="str">
            <v xml:space="preserve">(9320-B) MESA REDONDA BLANCA FILO VERDE          </v>
          </cell>
          <cell r="D450" t="str">
            <v>DIAKM</v>
          </cell>
          <cell r="E450">
            <v>866.25</v>
          </cell>
          <cell r="F450">
            <v>1004.8499999999999</v>
          </cell>
        </row>
        <row r="451">
          <cell r="A451">
            <v>447</v>
          </cell>
          <cell r="B451" t="str">
            <v xml:space="preserve">750221238255    </v>
          </cell>
          <cell r="C451" t="str">
            <v xml:space="preserve">(9320-B) MESA REDONDA AMARILLA FILO AMARILLO     </v>
          </cell>
          <cell r="D451" t="str">
            <v>DIAKM</v>
          </cell>
          <cell r="E451">
            <v>866.25</v>
          </cell>
          <cell r="F451">
            <v>1004.8499999999999</v>
          </cell>
        </row>
        <row r="452">
          <cell r="A452">
            <v>448</v>
          </cell>
          <cell r="B452" t="str">
            <v xml:space="preserve">750221238256    </v>
          </cell>
          <cell r="C452" t="str">
            <v xml:space="preserve">(9320-B) MESA REDONDA AZUL FILO AZUL             </v>
          </cell>
          <cell r="D452" t="str">
            <v>DIAKM</v>
          </cell>
          <cell r="E452">
            <v>866.25</v>
          </cell>
          <cell r="F452">
            <v>1004.8499999999999</v>
          </cell>
        </row>
        <row r="453">
          <cell r="A453">
            <v>449</v>
          </cell>
          <cell r="B453" t="str">
            <v xml:space="preserve">750221238257    </v>
          </cell>
          <cell r="C453" t="str">
            <v xml:space="preserve">(9320-B) MESA REDONDA ROJO FILO ROJO             </v>
          </cell>
          <cell r="D453" t="str">
            <v>DIAKM</v>
          </cell>
          <cell r="E453">
            <v>866.25</v>
          </cell>
          <cell r="F453">
            <v>1004.8499999999999</v>
          </cell>
        </row>
        <row r="454">
          <cell r="A454">
            <v>450</v>
          </cell>
          <cell r="B454" t="str">
            <v xml:space="preserve">750221238258    </v>
          </cell>
          <cell r="C454" t="str">
            <v xml:space="preserve">(9320-B) MESA REDONDA VERDE FILO VERDE           </v>
          </cell>
          <cell r="D454" t="str">
            <v>DIAKM</v>
          </cell>
          <cell r="E454">
            <v>866.25</v>
          </cell>
          <cell r="F454">
            <v>1004.8499999999999</v>
          </cell>
        </row>
        <row r="455">
          <cell r="A455">
            <v>451</v>
          </cell>
          <cell r="B455" t="str">
            <v xml:space="preserve">750221238259    </v>
          </cell>
          <cell r="C455" t="str">
            <v xml:space="preserve">(9320-B) MESA REDONDA VERDE FILO AMARILLO        </v>
          </cell>
          <cell r="D455" t="str">
            <v>DIAKM</v>
          </cell>
          <cell r="E455">
            <v>866.25</v>
          </cell>
          <cell r="F455">
            <v>1004.8499999999999</v>
          </cell>
        </row>
        <row r="456">
          <cell r="A456">
            <v>452</v>
          </cell>
          <cell r="B456" t="str">
            <v xml:space="preserve">750221238260    </v>
          </cell>
          <cell r="C456" t="str">
            <v xml:space="preserve">(9423-B) MESA PARA MATERNAL BLANCA FILO AMARILLO </v>
          </cell>
          <cell r="D456" t="str">
            <v>DIAKM</v>
          </cell>
          <cell r="E456">
            <v>470.24999999999994</v>
          </cell>
          <cell r="F456">
            <v>545.4899999999999</v>
          </cell>
        </row>
        <row r="457">
          <cell r="A457">
            <v>453</v>
          </cell>
          <cell r="B457" t="str">
            <v xml:space="preserve">750221238261    </v>
          </cell>
          <cell r="C457" t="str">
            <v>(9423-B) MESA PARA MATERNAL OYAMEEL FILO AMARILLO</v>
          </cell>
          <cell r="D457" t="str">
            <v>DIAKM</v>
          </cell>
          <cell r="E457">
            <v>470.24999999999994</v>
          </cell>
          <cell r="F457">
            <v>545.4899999999999</v>
          </cell>
        </row>
        <row r="458">
          <cell r="A458">
            <v>454</v>
          </cell>
          <cell r="B458" t="str">
            <v xml:space="preserve">750221238262    </v>
          </cell>
          <cell r="C458" t="str">
            <v xml:space="preserve">(9423-B) MESA PARA MATERNAL OYAMEEL FILO ROJO    </v>
          </cell>
          <cell r="D458" t="str">
            <v>DIAKM</v>
          </cell>
          <cell r="E458">
            <v>470.24999999999994</v>
          </cell>
          <cell r="F458">
            <v>545.4899999999999</v>
          </cell>
        </row>
        <row r="459">
          <cell r="A459">
            <v>455</v>
          </cell>
          <cell r="B459" t="str">
            <v xml:space="preserve">750221238263    </v>
          </cell>
          <cell r="C459" t="str">
            <v xml:space="preserve">(9423-B) MESA PARA MATERNAL OYAMEEL FILO VERDE   </v>
          </cell>
          <cell r="D459" t="str">
            <v>DIAKM</v>
          </cell>
          <cell r="E459">
            <v>470.24999999999994</v>
          </cell>
          <cell r="F459">
            <v>545.4899999999999</v>
          </cell>
        </row>
        <row r="460">
          <cell r="A460">
            <v>456</v>
          </cell>
          <cell r="B460" t="str">
            <v xml:space="preserve">750221238264    </v>
          </cell>
          <cell r="C460" t="str">
            <v xml:space="preserve">(9423-B) MESA PARA MATERNAL AMARILLO FILO ROJO   </v>
          </cell>
          <cell r="D460" t="str">
            <v>DIAKM</v>
          </cell>
          <cell r="E460">
            <v>470.24999999999994</v>
          </cell>
          <cell r="F460">
            <v>545.4899999999999</v>
          </cell>
        </row>
        <row r="461">
          <cell r="A461">
            <v>457</v>
          </cell>
          <cell r="B461" t="str">
            <v xml:space="preserve">750221238265    </v>
          </cell>
          <cell r="C461" t="str">
            <v xml:space="preserve">(9423-B) MESA PARA MATERNAL BLANCA FILO AZUL     </v>
          </cell>
          <cell r="D461" t="str">
            <v>DIAKM</v>
          </cell>
          <cell r="E461">
            <v>470.24999999999994</v>
          </cell>
          <cell r="F461">
            <v>545.4899999999999</v>
          </cell>
        </row>
        <row r="462">
          <cell r="A462">
            <v>458</v>
          </cell>
          <cell r="B462" t="str">
            <v xml:space="preserve">750221238266    </v>
          </cell>
          <cell r="C462" t="str">
            <v xml:space="preserve">(9423-B) MESA PARA MATERNAL BLANCA FILO  ROJO    </v>
          </cell>
          <cell r="D462" t="str">
            <v>DIAKM</v>
          </cell>
          <cell r="E462">
            <v>470.24999999999994</v>
          </cell>
          <cell r="F462">
            <v>545.4899999999999</v>
          </cell>
        </row>
        <row r="463">
          <cell r="A463">
            <v>459</v>
          </cell>
          <cell r="B463" t="str">
            <v xml:space="preserve">750221238267    </v>
          </cell>
          <cell r="C463" t="str">
            <v xml:space="preserve">(9423-B) MESA PARA MATERNAL BLANCA FILO VERDE    </v>
          </cell>
          <cell r="D463" t="str">
            <v>DIAKM</v>
          </cell>
          <cell r="E463">
            <v>470.24999999999994</v>
          </cell>
          <cell r="F463">
            <v>545.4899999999999</v>
          </cell>
        </row>
        <row r="464">
          <cell r="A464">
            <v>460</v>
          </cell>
          <cell r="B464" t="str">
            <v xml:space="preserve">750221238268    </v>
          </cell>
          <cell r="C464" t="str">
            <v xml:space="preserve">(9423-B) MESA PARA MATERNAL AMARILLO COMPLETO    </v>
          </cell>
          <cell r="D464" t="str">
            <v>DIAKM</v>
          </cell>
          <cell r="E464">
            <v>470.24999999999994</v>
          </cell>
          <cell r="F464">
            <v>545.4899999999999</v>
          </cell>
        </row>
        <row r="465">
          <cell r="A465">
            <v>461</v>
          </cell>
          <cell r="B465" t="str">
            <v xml:space="preserve">750221238269    </v>
          </cell>
          <cell r="C465" t="str">
            <v xml:space="preserve">(9423-B) MESA PARA MATERNAL AZUL COMPLETO        </v>
          </cell>
          <cell r="D465" t="str">
            <v>DIAKM</v>
          </cell>
          <cell r="E465">
            <v>470.24999999999994</v>
          </cell>
          <cell r="F465">
            <v>545.4899999999999</v>
          </cell>
        </row>
        <row r="466">
          <cell r="A466">
            <v>462</v>
          </cell>
          <cell r="B466" t="str">
            <v xml:space="preserve">750221238270    </v>
          </cell>
          <cell r="C466" t="str">
            <v xml:space="preserve">(9423-B) MESA PARA MATERNAL ROJO COMPLETO        </v>
          </cell>
          <cell r="D466" t="str">
            <v>DIAKM</v>
          </cell>
          <cell r="E466">
            <v>470.24999999999994</v>
          </cell>
          <cell r="F466">
            <v>545.4899999999999</v>
          </cell>
        </row>
        <row r="467">
          <cell r="A467">
            <v>463</v>
          </cell>
          <cell r="B467" t="str">
            <v xml:space="preserve">750221238271    </v>
          </cell>
          <cell r="C467" t="str">
            <v xml:space="preserve">(9423-B) MESA PARA MATERNAL VERDE COMPLETO       </v>
          </cell>
          <cell r="D467" t="str">
            <v>DIAKM</v>
          </cell>
          <cell r="E467">
            <v>470.24999999999994</v>
          </cell>
          <cell r="F467">
            <v>545.4899999999999</v>
          </cell>
        </row>
        <row r="468">
          <cell r="A468">
            <v>464</v>
          </cell>
          <cell r="B468" t="str">
            <v xml:space="preserve">750221238272    </v>
          </cell>
          <cell r="C468" t="str">
            <v xml:space="preserve">(9423-B) MESA PARA MATERNAL VERDE FILO AMARILLO  </v>
          </cell>
          <cell r="D468" t="str">
            <v>DIAKM</v>
          </cell>
          <cell r="E468">
            <v>470.24999999999994</v>
          </cell>
          <cell r="F468">
            <v>545.4899999999999</v>
          </cell>
        </row>
        <row r="469">
          <cell r="A469">
            <v>465</v>
          </cell>
          <cell r="B469" t="str">
            <v xml:space="preserve">750221238273    </v>
          </cell>
          <cell r="C469" t="str">
            <v xml:space="preserve">(9530-B) STAND PARA LIBROS BLANCO FILO AMARILLO  </v>
          </cell>
          <cell r="D469" t="str">
            <v>DIAKM</v>
          </cell>
          <cell r="E469">
            <v>602.25</v>
          </cell>
          <cell r="F469">
            <v>698.6099999999999</v>
          </cell>
        </row>
        <row r="470">
          <cell r="A470">
            <v>466</v>
          </cell>
          <cell r="B470" t="str">
            <v xml:space="preserve">750221238274    </v>
          </cell>
          <cell r="C470" t="str">
            <v xml:space="preserve">(9530-B) STAND PARA LIBROS OYAMEL COMPLETO       </v>
          </cell>
          <cell r="D470" t="str">
            <v>DIAKM</v>
          </cell>
          <cell r="E470">
            <v>602.25</v>
          </cell>
          <cell r="F470">
            <v>698.6099999999999</v>
          </cell>
        </row>
        <row r="471">
          <cell r="A471">
            <v>467</v>
          </cell>
          <cell r="B471" t="str">
            <v xml:space="preserve">750221238275    </v>
          </cell>
          <cell r="C471" t="str">
            <v xml:space="preserve">(9530-B) STAND PARA LIBROS BLANCO FILO AZUL      </v>
          </cell>
          <cell r="D471" t="str">
            <v>DIAKM</v>
          </cell>
          <cell r="E471">
            <v>602.25</v>
          </cell>
          <cell r="F471">
            <v>698.6099999999999</v>
          </cell>
        </row>
        <row r="472">
          <cell r="A472">
            <v>468</v>
          </cell>
          <cell r="B472" t="str">
            <v xml:space="preserve">750221238276    </v>
          </cell>
          <cell r="C472" t="str">
            <v xml:space="preserve">(9530-B) STAND PARA LIBROS BLANCO FILO ROJO      </v>
          </cell>
          <cell r="D472" t="str">
            <v>DIAKM</v>
          </cell>
          <cell r="E472">
            <v>602.25</v>
          </cell>
          <cell r="F472">
            <v>698.6099999999999</v>
          </cell>
        </row>
        <row r="473">
          <cell r="A473">
            <v>469</v>
          </cell>
          <cell r="B473" t="str">
            <v xml:space="preserve">750221238277    </v>
          </cell>
          <cell r="C473" t="str">
            <v xml:space="preserve">(9530-B) STAND PARA LIBROS BLANCO FILO VERDE     </v>
          </cell>
          <cell r="D473" t="str">
            <v>DIAKM</v>
          </cell>
          <cell r="E473">
            <v>602.25</v>
          </cell>
          <cell r="F473">
            <v>698.6099999999999</v>
          </cell>
        </row>
        <row r="474">
          <cell r="A474">
            <v>470</v>
          </cell>
          <cell r="B474" t="str">
            <v xml:space="preserve">750221238278    </v>
          </cell>
          <cell r="C474" t="str">
            <v xml:space="preserve">(9530-B) STAND PARA LIBROS AMARILLO COMPLETO     </v>
          </cell>
          <cell r="D474" t="str">
            <v>DIAKM</v>
          </cell>
          <cell r="E474">
            <v>602.25</v>
          </cell>
          <cell r="F474">
            <v>698.6099999999999</v>
          </cell>
        </row>
        <row r="475">
          <cell r="A475">
            <v>471</v>
          </cell>
          <cell r="B475" t="str">
            <v xml:space="preserve">750221238279    </v>
          </cell>
          <cell r="C475" t="str">
            <v xml:space="preserve">(9530-B) STAND PARA LIBROS AZUL COMPLETO         </v>
          </cell>
          <cell r="D475" t="str">
            <v>DIAKM</v>
          </cell>
          <cell r="E475">
            <v>602.25</v>
          </cell>
          <cell r="F475">
            <v>698.6099999999999</v>
          </cell>
        </row>
        <row r="476">
          <cell r="A476">
            <v>472</v>
          </cell>
          <cell r="B476" t="str">
            <v xml:space="preserve">750221238280    </v>
          </cell>
          <cell r="C476" t="str">
            <v xml:space="preserve">(9530-B) STAND PARA LIBROS ROJO COMPLETO         </v>
          </cell>
          <cell r="D476" t="str">
            <v>DIAKM</v>
          </cell>
          <cell r="E476">
            <v>602.25</v>
          </cell>
          <cell r="F476">
            <v>698.6099999999999</v>
          </cell>
        </row>
        <row r="477">
          <cell r="A477">
            <v>473</v>
          </cell>
          <cell r="B477" t="str">
            <v xml:space="preserve">750221238281    </v>
          </cell>
          <cell r="C477" t="str">
            <v xml:space="preserve">(9530-B) STAND PARA LIBROS VERDE COMPLETO        </v>
          </cell>
          <cell r="D477" t="str">
            <v>DIAKM</v>
          </cell>
          <cell r="E477">
            <v>602.25</v>
          </cell>
          <cell r="F477">
            <v>698.6099999999999</v>
          </cell>
        </row>
        <row r="478">
          <cell r="A478">
            <v>474</v>
          </cell>
          <cell r="B478" t="str">
            <v xml:space="preserve">750221238282    </v>
          </cell>
          <cell r="C478" t="str">
            <v xml:space="preserve">(9530-B) STAND PARA LIBROS BLANCO FILO BLANCO    </v>
          </cell>
          <cell r="D478" t="str">
            <v>DIAKM</v>
          </cell>
          <cell r="E478">
            <v>602.25</v>
          </cell>
          <cell r="F478">
            <v>698.6099999999999</v>
          </cell>
        </row>
        <row r="479">
          <cell r="A479">
            <v>475</v>
          </cell>
          <cell r="B479" t="str">
            <v xml:space="preserve">750221238283    </v>
          </cell>
          <cell r="C479" t="str">
            <v xml:space="preserve">(9531-A) STAND P/ LIBROS GDE BCO FILO AMARILLO   </v>
          </cell>
          <cell r="D479" t="str">
            <v>DIAKM</v>
          </cell>
          <cell r="E479">
            <v>948.75</v>
          </cell>
          <cell r="F479">
            <v>1100.55</v>
          </cell>
        </row>
        <row r="480">
          <cell r="A480">
            <v>476</v>
          </cell>
          <cell r="B480" t="str">
            <v xml:space="preserve">750221238284    </v>
          </cell>
          <cell r="C480" t="str">
            <v xml:space="preserve">(9531-A) STAND P/ LIBROS GDE AZUL FILO AMARILLO  </v>
          </cell>
          <cell r="D480" t="str">
            <v>DIAKM</v>
          </cell>
          <cell r="E480">
            <v>948.75</v>
          </cell>
          <cell r="F480">
            <v>1100.55</v>
          </cell>
        </row>
        <row r="481">
          <cell r="A481">
            <v>477</v>
          </cell>
          <cell r="B481" t="str">
            <v xml:space="preserve">750221238285    </v>
          </cell>
          <cell r="C481" t="str">
            <v xml:space="preserve">(9531-A) STAND P/ LIBROS GDE OYAMEL FILO AZUL    </v>
          </cell>
          <cell r="D481" t="str">
            <v>DIAKM</v>
          </cell>
          <cell r="E481">
            <v>948.75</v>
          </cell>
          <cell r="F481">
            <v>1100.55</v>
          </cell>
        </row>
        <row r="482">
          <cell r="A482">
            <v>478</v>
          </cell>
          <cell r="B482" t="str">
            <v xml:space="preserve">750221238286    </v>
          </cell>
          <cell r="C482" t="str">
            <v xml:space="preserve">(9531-A) STAND P/ LIBROS GDE AZUL FILO ROJO      </v>
          </cell>
          <cell r="D482" t="str">
            <v>DIAKM</v>
          </cell>
          <cell r="E482">
            <v>948.75</v>
          </cell>
          <cell r="F482">
            <v>1100.55</v>
          </cell>
        </row>
        <row r="483">
          <cell r="A483">
            <v>479</v>
          </cell>
          <cell r="B483" t="str">
            <v xml:space="preserve">750221238287    </v>
          </cell>
          <cell r="C483" t="str">
            <v xml:space="preserve">(9531-A) STAND P/ LIBROS GDE OYAMEL FILO VERDE   </v>
          </cell>
          <cell r="D483" t="str">
            <v>DIAKM</v>
          </cell>
          <cell r="E483">
            <v>948.75</v>
          </cell>
          <cell r="F483">
            <v>1100.55</v>
          </cell>
        </row>
        <row r="484">
          <cell r="A484">
            <v>480</v>
          </cell>
          <cell r="B484" t="str">
            <v xml:space="preserve">750221238288    </v>
          </cell>
          <cell r="C484" t="str">
            <v xml:space="preserve">(9531-A) STAND P/ LIBROS GDE VERDE FILO AMARILLO </v>
          </cell>
          <cell r="D484" t="str">
            <v>DIAKM</v>
          </cell>
          <cell r="E484">
            <v>948.75</v>
          </cell>
          <cell r="F484">
            <v>1100.55</v>
          </cell>
        </row>
        <row r="485">
          <cell r="A485">
            <v>481</v>
          </cell>
          <cell r="B485" t="str">
            <v xml:space="preserve">750221238289    </v>
          </cell>
          <cell r="C485" t="str">
            <v xml:space="preserve">(9531-A) STAND P/ LIBROS GDE AMARILLO FILO ROJO  </v>
          </cell>
          <cell r="D485" t="str">
            <v>DIAKM</v>
          </cell>
          <cell r="E485">
            <v>948.75</v>
          </cell>
          <cell r="F485">
            <v>1100.55</v>
          </cell>
        </row>
        <row r="486">
          <cell r="A486">
            <v>482</v>
          </cell>
          <cell r="B486" t="str">
            <v xml:space="preserve">750221238290    </v>
          </cell>
          <cell r="C486" t="str">
            <v xml:space="preserve">(9531-A) STAND P/LIBROS GDE ROJO FILO AZUL       </v>
          </cell>
          <cell r="D486" t="str">
            <v>DIAKM</v>
          </cell>
          <cell r="E486">
            <v>948.75</v>
          </cell>
          <cell r="F486">
            <v>1100.55</v>
          </cell>
        </row>
        <row r="487">
          <cell r="A487">
            <v>483</v>
          </cell>
          <cell r="B487" t="str">
            <v xml:space="preserve">750221238291    </v>
          </cell>
          <cell r="C487" t="str">
            <v xml:space="preserve">(9531-A) STAND P/ LIBROS GDE OYAMEEL COMPLETO    </v>
          </cell>
          <cell r="D487" t="str">
            <v>DIAKM</v>
          </cell>
          <cell r="E487">
            <v>948.75</v>
          </cell>
          <cell r="F487">
            <v>1100.55</v>
          </cell>
        </row>
        <row r="488">
          <cell r="A488">
            <v>484</v>
          </cell>
          <cell r="B488" t="str">
            <v xml:space="preserve">750221238292    </v>
          </cell>
          <cell r="C488" t="str">
            <v xml:space="preserve">(9531-A) STAND P/ LIBROS GDE OYAMEL FILO ROJO    </v>
          </cell>
          <cell r="D488" t="str">
            <v>DIAKM</v>
          </cell>
          <cell r="E488">
            <v>948.75</v>
          </cell>
          <cell r="F488">
            <v>1100.55</v>
          </cell>
        </row>
        <row r="489">
          <cell r="A489">
            <v>485</v>
          </cell>
          <cell r="B489" t="str">
            <v xml:space="preserve">750221238293    </v>
          </cell>
          <cell r="C489" t="str">
            <v xml:space="preserve">(9531-A) STAND PARA LIBROS GDE BCO FILO AZUL     </v>
          </cell>
          <cell r="D489" t="str">
            <v>DIAKM</v>
          </cell>
          <cell r="E489">
            <v>948.75</v>
          </cell>
          <cell r="F489">
            <v>1100.55</v>
          </cell>
        </row>
        <row r="490">
          <cell r="A490">
            <v>486</v>
          </cell>
          <cell r="B490" t="str">
            <v xml:space="preserve">750221238294    </v>
          </cell>
          <cell r="C490" t="str">
            <v xml:space="preserve">(9531-A) STAND P/ LIBROS GDE BCO FILO ROJO       </v>
          </cell>
          <cell r="D490" t="str">
            <v>DIAKM</v>
          </cell>
          <cell r="E490">
            <v>948.75</v>
          </cell>
          <cell r="F490">
            <v>1100.55</v>
          </cell>
        </row>
        <row r="491">
          <cell r="A491">
            <v>487</v>
          </cell>
          <cell r="B491" t="str">
            <v xml:space="preserve">750221238295    </v>
          </cell>
          <cell r="C491" t="str">
            <v xml:space="preserve">(9531-A) STAND P/ LIBROS GDE BCO FILO VERDE      </v>
          </cell>
          <cell r="D491" t="str">
            <v>DIAKM</v>
          </cell>
          <cell r="E491">
            <v>948.75</v>
          </cell>
          <cell r="F491">
            <v>1100.55</v>
          </cell>
        </row>
        <row r="492">
          <cell r="A492">
            <v>488</v>
          </cell>
          <cell r="B492" t="str">
            <v xml:space="preserve">750221238296    </v>
          </cell>
          <cell r="C492" t="str">
            <v xml:space="preserve">(9531-A) STAND P/ LIBROS GDE AMARILLO COMPLETO   </v>
          </cell>
          <cell r="D492" t="str">
            <v>DIAKM</v>
          </cell>
          <cell r="E492">
            <v>948.75</v>
          </cell>
          <cell r="F492">
            <v>1100.55</v>
          </cell>
        </row>
        <row r="493">
          <cell r="A493">
            <v>489</v>
          </cell>
          <cell r="B493" t="str">
            <v xml:space="preserve">750221238297    </v>
          </cell>
          <cell r="C493" t="str">
            <v xml:space="preserve">(9531-A) STAND P/ LIBROS GDE AZUL COMPLETO       </v>
          </cell>
          <cell r="D493" t="str">
            <v>DIAKM</v>
          </cell>
          <cell r="E493">
            <v>948.75</v>
          </cell>
          <cell r="F493">
            <v>1100.55</v>
          </cell>
        </row>
        <row r="494">
          <cell r="A494">
            <v>490</v>
          </cell>
          <cell r="B494" t="str">
            <v xml:space="preserve">750221238298    </v>
          </cell>
          <cell r="C494" t="str">
            <v xml:space="preserve">(9531-A) STAND P/ LIBROS GDE ROJO COMPLETO       </v>
          </cell>
          <cell r="D494" t="str">
            <v>DIAKM</v>
          </cell>
          <cell r="E494">
            <v>948.75</v>
          </cell>
          <cell r="F494">
            <v>1100.55</v>
          </cell>
        </row>
        <row r="495">
          <cell r="A495">
            <v>491</v>
          </cell>
          <cell r="B495" t="str">
            <v xml:space="preserve">750221238299    </v>
          </cell>
          <cell r="C495" t="str">
            <v xml:space="preserve">(9531-A) STAND P/ LIBROS GDE VERDE COMPLETO      </v>
          </cell>
          <cell r="D495" t="str">
            <v>DIAKM</v>
          </cell>
          <cell r="E495">
            <v>948.75</v>
          </cell>
          <cell r="F495">
            <v>1100.55</v>
          </cell>
        </row>
        <row r="496">
          <cell r="A496">
            <v>492</v>
          </cell>
          <cell r="B496" t="str">
            <v xml:space="preserve">750221238300    </v>
          </cell>
          <cell r="C496" t="str">
            <v>(9531-A) STAND P/ LIBROS GDE OYAMEL FILO AMARILLO</v>
          </cell>
          <cell r="D496" t="str">
            <v>DIAKM</v>
          </cell>
          <cell r="E496">
            <v>948.75</v>
          </cell>
          <cell r="F496">
            <v>1100.55</v>
          </cell>
        </row>
        <row r="497">
          <cell r="A497">
            <v>493</v>
          </cell>
          <cell r="B497" t="str">
            <v xml:space="preserve">750221238301    </v>
          </cell>
          <cell r="C497" t="str">
            <v xml:space="preserve">(9630-A) ORGANIZADOR P/ MATERIAL BCO F/ AMARILLO </v>
          </cell>
          <cell r="D497" t="str">
            <v>DIAKM</v>
          </cell>
          <cell r="E497">
            <v>1361.2499999999998</v>
          </cell>
          <cell r="F497">
            <v>1579.0499999999997</v>
          </cell>
        </row>
        <row r="498">
          <cell r="A498">
            <v>494</v>
          </cell>
          <cell r="B498" t="str">
            <v xml:space="preserve">750221238302    </v>
          </cell>
          <cell r="C498" t="str">
            <v xml:space="preserve">(9630-A) ORGANIZADOR P/MAT OYAMEL FILO AZUL      </v>
          </cell>
          <cell r="D498" t="str">
            <v>DIAKM</v>
          </cell>
          <cell r="E498">
            <v>1361.2499999999998</v>
          </cell>
          <cell r="F498">
            <v>1579.0499999999997</v>
          </cell>
        </row>
        <row r="499">
          <cell r="A499">
            <v>495</v>
          </cell>
          <cell r="B499" t="str">
            <v xml:space="preserve">750221238303    </v>
          </cell>
          <cell r="C499" t="str">
            <v xml:space="preserve">(9630-A) ORGANIZADOR P/MAT. OYAMEL FILO ROJO     </v>
          </cell>
          <cell r="D499" t="str">
            <v>DIAKM</v>
          </cell>
          <cell r="E499">
            <v>1361.2499999999998</v>
          </cell>
          <cell r="F499">
            <v>1579.0499999999997</v>
          </cell>
        </row>
        <row r="500">
          <cell r="A500">
            <v>496</v>
          </cell>
          <cell r="B500" t="str">
            <v xml:space="preserve">750221238304    </v>
          </cell>
          <cell r="C500" t="str">
            <v xml:space="preserve">(9630-A) ORGANIZADOR P/MAT. OYAMEL FILO VERDE    </v>
          </cell>
          <cell r="D500" t="str">
            <v>DIAKM</v>
          </cell>
          <cell r="E500">
            <v>1361.2499999999998</v>
          </cell>
          <cell r="F500">
            <v>1579.0499999999997</v>
          </cell>
        </row>
        <row r="501">
          <cell r="A501">
            <v>497</v>
          </cell>
          <cell r="B501" t="str">
            <v xml:space="preserve">750221238305    </v>
          </cell>
          <cell r="C501" t="str">
            <v xml:space="preserve">(9630-A) ORGANIZADOR P/MAT. ROJO FILO AZUL       </v>
          </cell>
          <cell r="D501" t="str">
            <v>DIAKM</v>
          </cell>
          <cell r="E501">
            <v>1361.2499999999998</v>
          </cell>
          <cell r="F501">
            <v>1579.0499999999997</v>
          </cell>
        </row>
        <row r="502">
          <cell r="A502">
            <v>498</v>
          </cell>
          <cell r="B502" t="str">
            <v xml:space="preserve">750221238306    </v>
          </cell>
          <cell r="C502" t="str">
            <v xml:space="preserve">(9630-A) ORGANIZADOR P/MAT. AZUL FILO ROJO       </v>
          </cell>
          <cell r="D502" t="str">
            <v>DIAKM</v>
          </cell>
          <cell r="E502">
            <v>1361.2499999999998</v>
          </cell>
          <cell r="F502">
            <v>1579.0499999999997</v>
          </cell>
        </row>
        <row r="503">
          <cell r="A503">
            <v>499</v>
          </cell>
          <cell r="B503" t="str">
            <v xml:space="preserve">750221238307    </v>
          </cell>
          <cell r="C503" t="str">
            <v xml:space="preserve">(9630-A) ORGANIZADOR P/MAT. AZUL FILO AMARILLO   </v>
          </cell>
          <cell r="D503" t="str">
            <v>DIAKM</v>
          </cell>
          <cell r="E503">
            <v>1361.2499999999998</v>
          </cell>
          <cell r="F503">
            <v>1579.0499999999997</v>
          </cell>
        </row>
        <row r="504">
          <cell r="A504">
            <v>500</v>
          </cell>
          <cell r="B504" t="str">
            <v xml:space="preserve">750221238308    </v>
          </cell>
          <cell r="C504" t="str">
            <v xml:space="preserve">(9630-A) ORGANIZADOR P/MAT. AMARILLO FILO AZUL   </v>
          </cell>
          <cell r="D504" t="str">
            <v>DIAKM</v>
          </cell>
          <cell r="E504">
            <v>1361.2499999999998</v>
          </cell>
          <cell r="F504">
            <v>1579.0499999999997</v>
          </cell>
        </row>
        <row r="505">
          <cell r="A505">
            <v>501</v>
          </cell>
          <cell r="B505" t="str">
            <v xml:space="preserve">750221238309    </v>
          </cell>
          <cell r="C505" t="str">
            <v xml:space="preserve">(9630-A) ORGANIZADOR P/MAT. AMARILLO FILO VERDE  </v>
          </cell>
          <cell r="D505" t="str">
            <v>DIAKM</v>
          </cell>
          <cell r="E505">
            <v>1361.2499999999998</v>
          </cell>
          <cell r="F505">
            <v>1579.0499999999997</v>
          </cell>
        </row>
        <row r="506">
          <cell r="A506">
            <v>502</v>
          </cell>
          <cell r="B506" t="str">
            <v xml:space="preserve">750221238310    </v>
          </cell>
          <cell r="C506" t="str">
            <v xml:space="preserve">(9630-A) ORGANIZADOR P/MAT.VERDE FILO AMARILLO   </v>
          </cell>
          <cell r="D506" t="str">
            <v>DIAKM</v>
          </cell>
          <cell r="E506">
            <v>1361.2499999999998</v>
          </cell>
          <cell r="F506">
            <v>1579.0499999999997</v>
          </cell>
        </row>
        <row r="507">
          <cell r="A507">
            <v>503</v>
          </cell>
          <cell r="B507" t="str">
            <v xml:space="preserve">750221238311    </v>
          </cell>
          <cell r="C507" t="str">
            <v xml:space="preserve">(9630-A) ORG P/MAT. OYAMEEL COMPLETO             </v>
          </cell>
          <cell r="D507" t="str">
            <v>DIAKM</v>
          </cell>
          <cell r="E507">
            <v>1361.2499999999998</v>
          </cell>
          <cell r="F507">
            <v>1579.0499999999997</v>
          </cell>
        </row>
        <row r="508">
          <cell r="A508">
            <v>504</v>
          </cell>
          <cell r="B508" t="str">
            <v xml:space="preserve">750221238312    </v>
          </cell>
          <cell r="C508" t="str">
            <v xml:space="preserve">(9630-A) ORGANIZADOR  P/MATERIAL BCO FILO AZUL   </v>
          </cell>
          <cell r="D508" t="str">
            <v>DIAKM</v>
          </cell>
          <cell r="E508">
            <v>1361.2499999999998</v>
          </cell>
          <cell r="F508">
            <v>1579.0499999999997</v>
          </cell>
        </row>
        <row r="509">
          <cell r="A509">
            <v>505</v>
          </cell>
          <cell r="B509" t="str">
            <v xml:space="preserve">750221238313    </v>
          </cell>
          <cell r="C509" t="str">
            <v xml:space="preserve">(9630-A) ORGANIZADOR PARA MATERIAL BCO FILO ROJO </v>
          </cell>
          <cell r="D509" t="str">
            <v>DIAKM</v>
          </cell>
          <cell r="E509">
            <v>1361.2499999999998</v>
          </cell>
          <cell r="F509">
            <v>1579.0499999999997</v>
          </cell>
        </row>
        <row r="510">
          <cell r="A510">
            <v>506</v>
          </cell>
          <cell r="B510" t="str">
            <v xml:space="preserve">750221238314    </v>
          </cell>
          <cell r="C510" t="str">
            <v xml:space="preserve">(9630-A) ORGANIZADOR P/MATERIAL BCO FILO VERDE   </v>
          </cell>
          <cell r="D510" t="str">
            <v>DIAKM</v>
          </cell>
          <cell r="E510">
            <v>1361.2499999999998</v>
          </cell>
          <cell r="F510">
            <v>1579.0499999999997</v>
          </cell>
        </row>
        <row r="511">
          <cell r="A511">
            <v>507</v>
          </cell>
          <cell r="B511" t="str">
            <v xml:space="preserve">750221238315    </v>
          </cell>
          <cell r="C511" t="str">
            <v xml:space="preserve">(9630-A) ORGANIZADOR P/MAT. AMARILLO COMPLETO    </v>
          </cell>
          <cell r="D511" t="str">
            <v>DIAKM</v>
          </cell>
          <cell r="E511">
            <v>1361.2499999999998</v>
          </cell>
          <cell r="F511">
            <v>1579.0499999999997</v>
          </cell>
        </row>
        <row r="512">
          <cell r="A512">
            <v>508</v>
          </cell>
          <cell r="B512" t="str">
            <v xml:space="preserve">750221238316    </v>
          </cell>
          <cell r="C512" t="str">
            <v xml:space="preserve">(9630-A) ORGANIZADOR P MAT. AZUL COMPLETO        </v>
          </cell>
          <cell r="D512" t="str">
            <v>DIAKM</v>
          </cell>
          <cell r="E512">
            <v>1361.2499999999998</v>
          </cell>
          <cell r="F512">
            <v>1579.0499999999997</v>
          </cell>
        </row>
        <row r="513">
          <cell r="A513">
            <v>509</v>
          </cell>
          <cell r="B513" t="str">
            <v xml:space="preserve">750221238317    </v>
          </cell>
          <cell r="C513" t="str">
            <v xml:space="preserve">(9630-A) ORGANIZADOR P/MAT. ROJO COMPLETO        </v>
          </cell>
          <cell r="D513" t="str">
            <v>DIAKM</v>
          </cell>
          <cell r="E513">
            <v>1361.2499999999998</v>
          </cell>
          <cell r="F513">
            <v>1579.0499999999997</v>
          </cell>
        </row>
        <row r="514">
          <cell r="A514">
            <v>510</v>
          </cell>
          <cell r="B514" t="str">
            <v xml:space="preserve">750221238318    </v>
          </cell>
          <cell r="C514" t="str">
            <v xml:space="preserve">(9630-A) ORGANIZADOR P/MAT. VERDE COMPLETO       </v>
          </cell>
          <cell r="D514" t="str">
            <v>DIAKM</v>
          </cell>
          <cell r="E514">
            <v>1361.2499999999998</v>
          </cell>
          <cell r="F514">
            <v>1579.0499999999997</v>
          </cell>
        </row>
        <row r="515">
          <cell r="A515">
            <v>511</v>
          </cell>
          <cell r="B515" t="str">
            <v xml:space="preserve">750221238319    </v>
          </cell>
          <cell r="C515" t="str">
            <v xml:space="preserve">(9630-A) ORGANIZADOR P/MAT. OYAMEL FILO AMARILLO </v>
          </cell>
          <cell r="D515" t="str">
            <v>DIAKM</v>
          </cell>
          <cell r="E515">
            <v>1361.2499999999998</v>
          </cell>
          <cell r="F515">
            <v>1579.0499999999997</v>
          </cell>
        </row>
        <row r="516">
          <cell r="A516">
            <v>512</v>
          </cell>
          <cell r="B516" t="str">
            <v xml:space="preserve">750221238320    </v>
          </cell>
          <cell r="C516" t="str">
            <v xml:space="preserve">(9631-B) ORGANIZADOR CHICO BLANCO FILO AMARILLO  </v>
          </cell>
          <cell r="D516" t="str">
            <v>DIAKM</v>
          </cell>
          <cell r="E516">
            <v>948.75</v>
          </cell>
          <cell r="F516">
            <v>1100.55</v>
          </cell>
        </row>
        <row r="517">
          <cell r="A517">
            <v>513</v>
          </cell>
          <cell r="B517" t="str">
            <v xml:space="preserve">750221238321    </v>
          </cell>
          <cell r="C517" t="str">
            <v xml:space="preserve">(9631-B) ORGANIZADOR CHICO OYAMEL FILO AMARILLO  </v>
          </cell>
          <cell r="D517" t="str">
            <v>DIAKM</v>
          </cell>
          <cell r="E517">
            <v>948.75</v>
          </cell>
          <cell r="F517">
            <v>1100.55</v>
          </cell>
        </row>
        <row r="518">
          <cell r="A518">
            <v>514</v>
          </cell>
          <cell r="B518" t="str">
            <v xml:space="preserve">750221238322    </v>
          </cell>
          <cell r="C518" t="str">
            <v xml:space="preserve">(9631-B) ORGANIZADOR CHICO OYAMEL FILO  ROJO     </v>
          </cell>
          <cell r="D518" t="str">
            <v>DIAKM</v>
          </cell>
          <cell r="E518">
            <v>948.75</v>
          </cell>
          <cell r="F518">
            <v>1100.55</v>
          </cell>
        </row>
        <row r="519">
          <cell r="A519">
            <v>515</v>
          </cell>
          <cell r="B519" t="str">
            <v xml:space="preserve">750221238323    </v>
          </cell>
          <cell r="C519" t="str">
            <v xml:space="preserve">(9631-B) ORGANIZADOR CHICO OYAMEL FILO AZUL      </v>
          </cell>
          <cell r="D519" t="str">
            <v>DIAKM</v>
          </cell>
          <cell r="E519">
            <v>948.75</v>
          </cell>
          <cell r="F519">
            <v>1100.55</v>
          </cell>
        </row>
        <row r="520">
          <cell r="A520">
            <v>516</v>
          </cell>
          <cell r="B520" t="str">
            <v xml:space="preserve">750221238324    </v>
          </cell>
          <cell r="C520" t="str">
            <v xml:space="preserve">(9631-B) ORGANIZADOR CHICO OYAMEEL COMPLETO      </v>
          </cell>
          <cell r="D520" t="str">
            <v>DIAKM</v>
          </cell>
          <cell r="E520">
            <v>948.75</v>
          </cell>
          <cell r="F520">
            <v>1100.55</v>
          </cell>
        </row>
        <row r="521">
          <cell r="A521">
            <v>517</v>
          </cell>
          <cell r="B521" t="str">
            <v xml:space="preserve">750221238325    </v>
          </cell>
          <cell r="C521" t="str">
            <v xml:space="preserve">(9631-B) ORGANIZADOR CHICO BCO FILO AZUL         </v>
          </cell>
          <cell r="D521" t="str">
            <v>DIAKM</v>
          </cell>
          <cell r="E521">
            <v>948.75</v>
          </cell>
          <cell r="F521">
            <v>1100.55</v>
          </cell>
        </row>
        <row r="522">
          <cell r="A522">
            <v>518</v>
          </cell>
          <cell r="B522" t="str">
            <v xml:space="preserve">750221238326    </v>
          </cell>
          <cell r="C522" t="str">
            <v xml:space="preserve">(9631-B) ORGANIZADOR CHICO BLANCO FILO ROJO      </v>
          </cell>
          <cell r="D522" t="str">
            <v>DIAKM</v>
          </cell>
          <cell r="E522">
            <v>948.75</v>
          </cell>
          <cell r="F522">
            <v>1100.55</v>
          </cell>
        </row>
        <row r="523">
          <cell r="A523">
            <v>519</v>
          </cell>
          <cell r="B523" t="str">
            <v xml:space="preserve">750221238327    </v>
          </cell>
          <cell r="C523" t="str">
            <v xml:space="preserve">(9631-B) ORGANIZADOR CHICO BLANCO FILO VERDE     </v>
          </cell>
          <cell r="D523" t="str">
            <v>DIAKM</v>
          </cell>
          <cell r="E523">
            <v>948.75</v>
          </cell>
          <cell r="F523">
            <v>1100.55</v>
          </cell>
        </row>
        <row r="524">
          <cell r="A524">
            <v>520</v>
          </cell>
          <cell r="B524" t="str">
            <v xml:space="preserve">750221238328    </v>
          </cell>
          <cell r="C524" t="str">
            <v xml:space="preserve">(9631-B) ORGANIZADOR CHICO AMARILLO COMPLETO     </v>
          </cell>
          <cell r="D524" t="str">
            <v>DIAKM</v>
          </cell>
          <cell r="E524">
            <v>948.75</v>
          </cell>
          <cell r="F524">
            <v>1100.55</v>
          </cell>
        </row>
        <row r="525">
          <cell r="A525">
            <v>521</v>
          </cell>
          <cell r="B525" t="str">
            <v xml:space="preserve">750221238329    </v>
          </cell>
          <cell r="C525" t="str">
            <v xml:space="preserve">(9631-B) ORGANIZADOR CHICO AZUL COMPLETO         </v>
          </cell>
          <cell r="D525" t="str">
            <v>DIAKM</v>
          </cell>
          <cell r="E525">
            <v>948.75</v>
          </cell>
          <cell r="F525">
            <v>1100.55</v>
          </cell>
        </row>
        <row r="526">
          <cell r="A526">
            <v>522</v>
          </cell>
          <cell r="B526" t="str">
            <v xml:space="preserve">750221238330    </v>
          </cell>
          <cell r="C526" t="str">
            <v xml:space="preserve">(9631-B) ORGANIZADOR CHICO ROJO COMPLETO         </v>
          </cell>
          <cell r="D526" t="str">
            <v>DIAKM</v>
          </cell>
          <cell r="E526">
            <v>948.75</v>
          </cell>
          <cell r="F526">
            <v>1100.55</v>
          </cell>
        </row>
        <row r="527">
          <cell r="A527">
            <v>523</v>
          </cell>
          <cell r="B527" t="str">
            <v xml:space="preserve">750221238331    </v>
          </cell>
          <cell r="C527" t="str">
            <v xml:space="preserve">(9631-B) ORGANIZADOR CHICO VERDE COMPLETO        </v>
          </cell>
          <cell r="D527" t="str">
            <v>DIAKM</v>
          </cell>
          <cell r="E527">
            <v>948.75</v>
          </cell>
          <cell r="F527">
            <v>1100.55</v>
          </cell>
        </row>
        <row r="528">
          <cell r="A528">
            <v>524</v>
          </cell>
          <cell r="B528" t="str">
            <v xml:space="preserve">750221238332    </v>
          </cell>
          <cell r="C528" t="str">
            <v xml:space="preserve">(9631-B) ORGANIZADOR CHICO ROJO FILO AZUL        </v>
          </cell>
          <cell r="D528" t="str">
            <v>DIAKM</v>
          </cell>
          <cell r="E528">
            <v>948.75</v>
          </cell>
          <cell r="F528">
            <v>1100.55</v>
          </cell>
        </row>
        <row r="529">
          <cell r="A529">
            <v>525</v>
          </cell>
          <cell r="B529" t="str">
            <v xml:space="preserve">750221238333    </v>
          </cell>
          <cell r="C529" t="str">
            <v>(9632-L) ORGANIZADOR LATERAL BLANCO FILO AMARILLO</v>
          </cell>
          <cell r="D529" t="str">
            <v>DIAKM</v>
          </cell>
          <cell r="E529">
            <v>907.50000000000011</v>
          </cell>
          <cell r="F529">
            <v>1052.7</v>
          </cell>
        </row>
        <row r="530">
          <cell r="A530">
            <v>526</v>
          </cell>
          <cell r="B530" t="str">
            <v xml:space="preserve">750221238334    </v>
          </cell>
          <cell r="C530" t="str">
            <v xml:space="preserve">(9632-L) ORGANIZADOR LATERAL VERDE FILO AMARILLO </v>
          </cell>
          <cell r="D530" t="str">
            <v>DIAKM</v>
          </cell>
          <cell r="E530">
            <v>907.50000000000011</v>
          </cell>
          <cell r="F530">
            <v>1052.7</v>
          </cell>
        </row>
        <row r="531">
          <cell r="A531">
            <v>527</v>
          </cell>
          <cell r="B531" t="str">
            <v xml:space="preserve">750221238335    </v>
          </cell>
          <cell r="C531" t="str">
            <v xml:space="preserve">(9632-L) ORGANIZADOR LATERAL OYAMEL FILO ROJO    </v>
          </cell>
          <cell r="D531" t="str">
            <v>DIAKM</v>
          </cell>
          <cell r="E531">
            <v>907.50000000000011</v>
          </cell>
          <cell r="F531">
            <v>1052.7</v>
          </cell>
        </row>
        <row r="532">
          <cell r="A532">
            <v>528</v>
          </cell>
          <cell r="B532" t="str">
            <v xml:space="preserve">750221238336    </v>
          </cell>
          <cell r="C532" t="str">
            <v xml:space="preserve">(9632-L) ORGANIZADOR LATERAL ROJO FILO  AZUL     </v>
          </cell>
          <cell r="D532" t="str">
            <v>DIAKM</v>
          </cell>
          <cell r="E532">
            <v>907.50000000000011</v>
          </cell>
          <cell r="F532">
            <v>1052.7</v>
          </cell>
        </row>
        <row r="533">
          <cell r="A533">
            <v>529</v>
          </cell>
          <cell r="B533" t="str">
            <v xml:space="preserve">750221238337    </v>
          </cell>
          <cell r="C533" t="str">
            <v xml:space="preserve">(9632-L) ORGANIZADOR LATERAL AMARILLO FILO VERDE </v>
          </cell>
          <cell r="D533" t="str">
            <v>DIAKM</v>
          </cell>
          <cell r="E533">
            <v>907.50000000000011</v>
          </cell>
          <cell r="F533">
            <v>1052.7</v>
          </cell>
        </row>
        <row r="534">
          <cell r="A534">
            <v>530</v>
          </cell>
          <cell r="B534" t="str">
            <v xml:space="preserve">750221238338    </v>
          </cell>
          <cell r="C534" t="str">
            <v xml:space="preserve">(9632-L) ORGANIZADOR LATERAL BLANCO FILO BLANCO  </v>
          </cell>
          <cell r="D534" t="str">
            <v>DIAKM</v>
          </cell>
          <cell r="E534">
            <v>907.50000000000011</v>
          </cell>
          <cell r="F534">
            <v>1052.7</v>
          </cell>
        </row>
        <row r="535">
          <cell r="A535">
            <v>531</v>
          </cell>
          <cell r="B535" t="str">
            <v xml:space="preserve">750221238339    </v>
          </cell>
          <cell r="C535" t="str">
            <v xml:space="preserve">(9632-L) ORGANIZADOR LATERAL OYAMEL COMPLETO     </v>
          </cell>
          <cell r="D535" t="str">
            <v>DIAKM</v>
          </cell>
          <cell r="E535">
            <v>907.50000000000011</v>
          </cell>
          <cell r="F535">
            <v>1052.7</v>
          </cell>
        </row>
        <row r="536">
          <cell r="A536">
            <v>532</v>
          </cell>
          <cell r="B536" t="str">
            <v xml:space="preserve">750221238340    </v>
          </cell>
          <cell r="C536" t="str">
            <v xml:space="preserve">(9632-L) ORGANIZADOR LATERAL  BLANCO FILO AZUL   </v>
          </cell>
          <cell r="D536" t="str">
            <v>DIAKM</v>
          </cell>
          <cell r="E536">
            <v>907.50000000000011</v>
          </cell>
          <cell r="F536">
            <v>1052.7</v>
          </cell>
        </row>
        <row r="537">
          <cell r="A537">
            <v>533</v>
          </cell>
          <cell r="B537" t="str">
            <v xml:space="preserve">750221238341    </v>
          </cell>
          <cell r="C537" t="str">
            <v xml:space="preserve">(9632-L) ORGANIZADOR LATERAL BLANCO FILO ROJO    </v>
          </cell>
          <cell r="D537" t="str">
            <v>DIAKM</v>
          </cell>
          <cell r="E537">
            <v>907.50000000000011</v>
          </cell>
          <cell r="F537">
            <v>1052.7</v>
          </cell>
        </row>
        <row r="538">
          <cell r="A538">
            <v>534</v>
          </cell>
          <cell r="B538" t="str">
            <v xml:space="preserve">750221238342    </v>
          </cell>
          <cell r="C538" t="str">
            <v xml:space="preserve">(9632-L) ORGANIZADOR LATERAL BLANCO FILO VERDE   </v>
          </cell>
          <cell r="D538" t="str">
            <v>DIAKM</v>
          </cell>
          <cell r="E538">
            <v>907.50000000000011</v>
          </cell>
          <cell r="F538">
            <v>1052.7</v>
          </cell>
        </row>
        <row r="539">
          <cell r="A539">
            <v>535</v>
          </cell>
          <cell r="B539" t="str">
            <v xml:space="preserve">750221238343    </v>
          </cell>
          <cell r="C539" t="str">
            <v xml:space="preserve">(9632-L) ORGANIZADOR LATERAL AMARILLO COMPLETO   </v>
          </cell>
          <cell r="D539" t="str">
            <v>DIAKM</v>
          </cell>
          <cell r="E539">
            <v>907.50000000000011</v>
          </cell>
          <cell r="F539">
            <v>1052.7</v>
          </cell>
        </row>
        <row r="540">
          <cell r="A540">
            <v>536</v>
          </cell>
          <cell r="B540" t="str">
            <v xml:space="preserve">750221238344    </v>
          </cell>
          <cell r="C540" t="str">
            <v xml:space="preserve">(9632-L) ORGANIZADOR LATERAL AZUL COMPLETO       </v>
          </cell>
          <cell r="D540" t="str">
            <v>DIAKM</v>
          </cell>
          <cell r="E540">
            <v>907.50000000000011</v>
          </cell>
          <cell r="F540">
            <v>1052.7</v>
          </cell>
        </row>
        <row r="541">
          <cell r="A541">
            <v>537</v>
          </cell>
          <cell r="B541" t="str">
            <v xml:space="preserve">750221238345    </v>
          </cell>
          <cell r="C541" t="str">
            <v xml:space="preserve">(9632-L) ORGANIZADOR LATERAL ROJO COMPLETO       </v>
          </cell>
          <cell r="D541" t="str">
            <v>DIAKM</v>
          </cell>
          <cell r="E541">
            <v>907.50000000000011</v>
          </cell>
          <cell r="F541">
            <v>1052.7</v>
          </cell>
        </row>
        <row r="542">
          <cell r="A542">
            <v>538</v>
          </cell>
          <cell r="B542" t="str">
            <v xml:space="preserve">750221238346    </v>
          </cell>
          <cell r="C542" t="str">
            <v xml:space="preserve">(9632-L) ORGANIZADOR LATERAL VERDE COMPLETO      </v>
          </cell>
          <cell r="D542" t="str">
            <v>DIAKM</v>
          </cell>
          <cell r="E542">
            <v>907.50000000000011</v>
          </cell>
          <cell r="F542">
            <v>1052.7</v>
          </cell>
        </row>
        <row r="543">
          <cell r="A543">
            <v>539</v>
          </cell>
          <cell r="B543" t="str">
            <v xml:space="preserve">750221238347    </v>
          </cell>
          <cell r="C543" t="str">
            <v xml:space="preserve">(9632-L) ORGANIZADOR LATERAL AMARILLO FILO ROJO  </v>
          </cell>
          <cell r="D543" t="str">
            <v>DIAKM</v>
          </cell>
          <cell r="E543">
            <v>907.50000000000011</v>
          </cell>
          <cell r="F543">
            <v>1052.7</v>
          </cell>
        </row>
        <row r="544">
          <cell r="A544">
            <v>540</v>
          </cell>
          <cell r="B544" t="str">
            <v xml:space="preserve">750221238348    </v>
          </cell>
          <cell r="C544" t="str">
            <v>(9634-B) ORGANIZADOR LAT. CHICO BCO FILO AMARILLO</v>
          </cell>
          <cell r="D544" t="str">
            <v>DIAKM</v>
          </cell>
          <cell r="E544">
            <v>627</v>
          </cell>
          <cell r="F544">
            <v>727.31999999999994</v>
          </cell>
        </row>
        <row r="545">
          <cell r="A545">
            <v>541</v>
          </cell>
          <cell r="B545" t="str">
            <v xml:space="preserve">750221238349    </v>
          </cell>
          <cell r="C545" t="str">
            <v xml:space="preserve">(9634-B) ORGANIZADOR LAT. CH. AMARILLO FILO AZUL </v>
          </cell>
          <cell r="D545" t="str">
            <v>DIAKM</v>
          </cell>
          <cell r="E545">
            <v>627</v>
          </cell>
          <cell r="F545">
            <v>727.31999999999994</v>
          </cell>
        </row>
        <row r="546">
          <cell r="A546">
            <v>542</v>
          </cell>
          <cell r="B546" t="str">
            <v xml:space="preserve">750221238350    </v>
          </cell>
          <cell r="C546" t="str">
            <v xml:space="preserve">(9634-B) ORGANIZADOR LAT. CHICO OYAMEEL COMPLETO </v>
          </cell>
          <cell r="D546" t="str">
            <v>DIAKM</v>
          </cell>
          <cell r="E546">
            <v>627</v>
          </cell>
          <cell r="F546">
            <v>727.31999999999994</v>
          </cell>
        </row>
        <row r="547">
          <cell r="A547">
            <v>543</v>
          </cell>
          <cell r="B547" t="str">
            <v xml:space="preserve">750221238351    </v>
          </cell>
          <cell r="C547" t="str">
            <v xml:space="preserve">(9634-B) ORGANIZADOR LAT. CHICO BLANCO FILO AZUL </v>
          </cell>
          <cell r="D547" t="str">
            <v>DIAKM</v>
          </cell>
          <cell r="E547">
            <v>627</v>
          </cell>
          <cell r="F547">
            <v>727.31999999999994</v>
          </cell>
        </row>
        <row r="548">
          <cell r="A548">
            <v>544</v>
          </cell>
          <cell r="B548" t="str">
            <v xml:space="preserve">750221238352    </v>
          </cell>
          <cell r="C548" t="str">
            <v xml:space="preserve">(9634-B) ORGANIZADOR LAT. CHICO BLANCO FILO ROJO </v>
          </cell>
          <cell r="D548" t="str">
            <v>DIAKM</v>
          </cell>
          <cell r="E548">
            <v>627</v>
          </cell>
          <cell r="F548">
            <v>727.31999999999994</v>
          </cell>
        </row>
        <row r="549">
          <cell r="A549">
            <v>545</v>
          </cell>
          <cell r="B549" t="str">
            <v xml:space="preserve">750221238353    </v>
          </cell>
          <cell r="C549" t="str">
            <v xml:space="preserve">(9634-B) ORGANIZADOR LATERAL CH BLANCO FILO VERD </v>
          </cell>
          <cell r="D549" t="str">
            <v>DIAKM</v>
          </cell>
          <cell r="E549">
            <v>627</v>
          </cell>
          <cell r="F549">
            <v>727.31999999999994</v>
          </cell>
        </row>
        <row r="550">
          <cell r="A550">
            <v>546</v>
          </cell>
          <cell r="B550" t="str">
            <v xml:space="preserve">750221238354    </v>
          </cell>
          <cell r="C550" t="str">
            <v xml:space="preserve">(9634-B) ORGANIZADOR LAT. CH. AMARILLO COMPLETO  </v>
          </cell>
          <cell r="D550" t="str">
            <v>DIAKM</v>
          </cell>
          <cell r="E550">
            <v>627</v>
          </cell>
          <cell r="F550">
            <v>727.31999999999994</v>
          </cell>
        </row>
        <row r="551">
          <cell r="A551">
            <v>547</v>
          </cell>
          <cell r="B551" t="str">
            <v xml:space="preserve">750221238355    </v>
          </cell>
          <cell r="C551" t="str">
            <v xml:space="preserve">(9634-B) ORGANIZADOR LAT. CH AZUL COMPLETO       </v>
          </cell>
          <cell r="D551" t="str">
            <v>DIAKM</v>
          </cell>
          <cell r="E551">
            <v>627</v>
          </cell>
          <cell r="F551">
            <v>727.31999999999994</v>
          </cell>
        </row>
        <row r="552">
          <cell r="A552">
            <v>548</v>
          </cell>
          <cell r="B552" t="str">
            <v xml:space="preserve">750221238356    </v>
          </cell>
          <cell r="C552" t="str">
            <v xml:space="preserve">(9634-B) ORGANIZADOR LATERAL CH. ROJO COMPLETO   </v>
          </cell>
          <cell r="D552" t="str">
            <v>DIAKM</v>
          </cell>
          <cell r="E552">
            <v>627</v>
          </cell>
          <cell r="F552">
            <v>727.31999999999994</v>
          </cell>
        </row>
        <row r="553">
          <cell r="A553">
            <v>549</v>
          </cell>
          <cell r="B553" t="str">
            <v xml:space="preserve">750221238357    </v>
          </cell>
          <cell r="C553" t="str">
            <v xml:space="preserve">(9634-B) ORGANIZADOR LATERAL CH.VERDE COMPLETO   </v>
          </cell>
          <cell r="D553" t="str">
            <v>DIAKM</v>
          </cell>
          <cell r="E553">
            <v>627</v>
          </cell>
          <cell r="F553">
            <v>727.31999999999994</v>
          </cell>
        </row>
        <row r="554">
          <cell r="A554">
            <v>550</v>
          </cell>
          <cell r="B554" t="str">
            <v xml:space="preserve">750221238358    </v>
          </cell>
          <cell r="C554" t="str">
            <v xml:space="preserve">(9634-B) ORGANIZADOR LAT. CH. OYAMEL FILO AMARIL </v>
          </cell>
          <cell r="D554" t="str">
            <v>DIAKM</v>
          </cell>
          <cell r="E554">
            <v>627</v>
          </cell>
          <cell r="F554">
            <v>727.31999999999994</v>
          </cell>
        </row>
        <row r="555">
          <cell r="A555">
            <v>551</v>
          </cell>
          <cell r="B555" t="str">
            <v xml:space="preserve">750221238359    </v>
          </cell>
          <cell r="C555" t="str">
            <v xml:space="preserve">(9734-A) EXHIBIDOR DIAKO AZUL COMPLETO           </v>
          </cell>
          <cell r="D555" t="str">
            <v>DIAKM</v>
          </cell>
          <cell r="E555">
            <v>2466.7499999999995</v>
          </cell>
          <cell r="F555">
            <v>2861.4299999999994</v>
          </cell>
        </row>
        <row r="556">
          <cell r="A556">
            <v>552</v>
          </cell>
          <cell r="B556" t="str">
            <v xml:space="preserve">750221238360    </v>
          </cell>
          <cell r="C556" t="str">
            <v xml:space="preserve">(9734-A) EXHIBIDOR DIAKO BLANCO FILO AMARILLO    </v>
          </cell>
          <cell r="D556" t="str">
            <v>DIAKM</v>
          </cell>
          <cell r="E556">
            <v>2466.7499999999995</v>
          </cell>
          <cell r="F556">
            <v>2861.4299999999994</v>
          </cell>
        </row>
        <row r="557">
          <cell r="A557">
            <v>553</v>
          </cell>
          <cell r="B557" t="str">
            <v xml:space="preserve">750221238361    </v>
          </cell>
          <cell r="C557" t="str">
            <v xml:space="preserve">(9734-A) EXHIBIDOR DIAKO C/COLOR                 </v>
          </cell>
          <cell r="D557" t="str">
            <v>DIAKM</v>
          </cell>
          <cell r="E557">
            <v>2466.7499999999995</v>
          </cell>
          <cell r="F557">
            <v>2861.4299999999994</v>
          </cell>
        </row>
        <row r="558">
          <cell r="A558">
            <v>554</v>
          </cell>
          <cell r="B558" t="str">
            <v xml:space="preserve">750221238362    </v>
          </cell>
          <cell r="C558" t="str">
            <v xml:space="preserve">(9734-A) EXHIBIDOR DIAKO VERDE COMPLETO          </v>
          </cell>
          <cell r="D558" t="str">
            <v>DIAKM</v>
          </cell>
          <cell r="E558">
            <v>2466.7499999999995</v>
          </cell>
          <cell r="F558">
            <v>2861.4299999999994</v>
          </cell>
        </row>
        <row r="559">
          <cell r="A559">
            <v>555</v>
          </cell>
          <cell r="B559" t="str">
            <v xml:space="preserve">750221238363    </v>
          </cell>
          <cell r="C559" t="str">
            <v xml:space="preserve">(9734-A) EXHIBIDOR DIAKO BLANCO FILO AZUL        </v>
          </cell>
          <cell r="D559" t="str">
            <v>DIAKM</v>
          </cell>
          <cell r="E559">
            <v>2466.7499999999995</v>
          </cell>
          <cell r="F559">
            <v>2861.4299999999994</v>
          </cell>
        </row>
        <row r="560">
          <cell r="A560">
            <v>556</v>
          </cell>
          <cell r="B560" t="str">
            <v xml:space="preserve">750221238364    </v>
          </cell>
          <cell r="C560" t="str">
            <v xml:space="preserve">(9734-A) EXHIBIDOR DIAKO ROJO COMPLETO           </v>
          </cell>
          <cell r="D560" t="str">
            <v>DIAKM</v>
          </cell>
          <cell r="E560">
            <v>2466.7499999999995</v>
          </cell>
          <cell r="F560">
            <v>2861.4299999999994</v>
          </cell>
        </row>
        <row r="561">
          <cell r="A561">
            <v>557</v>
          </cell>
          <cell r="B561" t="str">
            <v xml:space="preserve">750221238365    </v>
          </cell>
          <cell r="C561" t="str">
            <v xml:space="preserve">(9734-A) EXHIBIDOR DIAKO BLANCO FILO VERDE       </v>
          </cell>
          <cell r="D561" t="str">
            <v>DIAKM</v>
          </cell>
          <cell r="E561">
            <v>2466.7499999999995</v>
          </cell>
          <cell r="F561">
            <v>2861.4299999999994</v>
          </cell>
        </row>
        <row r="562">
          <cell r="A562">
            <v>558</v>
          </cell>
          <cell r="B562" t="str">
            <v xml:space="preserve">750221238366    </v>
          </cell>
          <cell r="C562" t="str">
            <v xml:space="preserve">(9734-A) EXHIBIDOR DIAKO AMARILLO COMPLETO       </v>
          </cell>
          <cell r="D562" t="str">
            <v>DIAKM</v>
          </cell>
          <cell r="E562">
            <v>2466.7499999999995</v>
          </cell>
          <cell r="F562">
            <v>2861.4299999999994</v>
          </cell>
        </row>
        <row r="563">
          <cell r="A563">
            <v>559</v>
          </cell>
          <cell r="B563" t="str">
            <v xml:space="preserve">750221238367    </v>
          </cell>
          <cell r="C563" t="str">
            <v xml:space="preserve">(9734-A) EXHIBIDOR DIAKO OYAMEEL FILO AMARILLO   </v>
          </cell>
          <cell r="D563" t="str">
            <v>DIAKM</v>
          </cell>
          <cell r="E563">
            <v>2466.7499999999995</v>
          </cell>
          <cell r="F563">
            <v>2861.4299999999994</v>
          </cell>
        </row>
        <row r="564">
          <cell r="A564">
            <v>560</v>
          </cell>
          <cell r="B564" t="str">
            <v xml:space="preserve">750221238368    </v>
          </cell>
          <cell r="C564" t="str">
            <v xml:space="preserve">(9735-B) EXHIBIDOR CIRCULAR VERDE                </v>
          </cell>
          <cell r="D564" t="str">
            <v>DIAKM</v>
          </cell>
          <cell r="E564">
            <v>1146.75</v>
          </cell>
          <cell r="F564">
            <v>1330.2299999999998</v>
          </cell>
        </row>
        <row r="565">
          <cell r="A565">
            <v>561</v>
          </cell>
          <cell r="B565" t="str">
            <v xml:space="preserve">750221238369    </v>
          </cell>
          <cell r="C565" t="str">
            <v xml:space="preserve">(9760-L) LIBRERO BLANCO FILO AMARILLO            </v>
          </cell>
          <cell r="D565" t="str">
            <v>DIAKM</v>
          </cell>
          <cell r="E565">
            <v>1187.9999999999998</v>
          </cell>
          <cell r="F565">
            <v>1378.0799999999997</v>
          </cell>
        </row>
        <row r="566">
          <cell r="A566">
            <v>562</v>
          </cell>
          <cell r="B566" t="str">
            <v xml:space="preserve">750221238370    </v>
          </cell>
          <cell r="C566" t="str">
            <v xml:space="preserve">(9760-L) LIBRERO ROJO FILO  AMARILLO             </v>
          </cell>
          <cell r="D566" t="str">
            <v>DIAKM</v>
          </cell>
          <cell r="E566">
            <v>1187.9999999999998</v>
          </cell>
          <cell r="F566">
            <v>1378.0799999999997</v>
          </cell>
        </row>
        <row r="567">
          <cell r="A567">
            <v>563</v>
          </cell>
          <cell r="B567" t="str">
            <v xml:space="preserve">750221238371    </v>
          </cell>
          <cell r="C567" t="str">
            <v xml:space="preserve">(9760-L) LIBRERO AZUL FILO AMARILLO              </v>
          </cell>
          <cell r="D567" t="str">
            <v>DIAKM</v>
          </cell>
          <cell r="E567">
            <v>1187.9999999999998</v>
          </cell>
          <cell r="F567">
            <v>1378.0799999999997</v>
          </cell>
        </row>
        <row r="568">
          <cell r="A568">
            <v>564</v>
          </cell>
          <cell r="B568" t="str">
            <v xml:space="preserve">750221238372    </v>
          </cell>
          <cell r="C568" t="str">
            <v xml:space="preserve">(9760-L) LIBRERO AMARILLO FILO AZUL              </v>
          </cell>
          <cell r="D568" t="str">
            <v>DIAKM</v>
          </cell>
          <cell r="E568">
            <v>1187.9999999999998</v>
          </cell>
          <cell r="F568">
            <v>1378.0799999999997</v>
          </cell>
        </row>
        <row r="569">
          <cell r="A569">
            <v>565</v>
          </cell>
          <cell r="B569" t="str">
            <v xml:space="preserve">750221238373    </v>
          </cell>
          <cell r="C569" t="str">
            <v xml:space="preserve">(9760-L) LIBRERO BLANCO FILO AZUL                </v>
          </cell>
          <cell r="D569" t="str">
            <v>DIAKM</v>
          </cell>
          <cell r="E569">
            <v>1187.9999999999998</v>
          </cell>
          <cell r="F569">
            <v>1378.0799999999997</v>
          </cell>
        </row>
        <row r="570">
          <cell r="A570">
            <v>566</v>
          </cell>
          <cell r="B570" t="str">
            <v xml:space="preserve">750221238374    </v>
          </cell>
          <cell r="C570" t="str">
            <v xml:space="preserve">(9760-L) LIBRERO BLANCO FILO ROJO                </v>
          </cell>
          <cell r="D570" t="str">
            <v>DIAKM</v>
          </cell>
          <cell r="E570">
            <v>1187.9999999999998</v>
          </cell>
          <cell r="F570">
            <v>1378.0799999999997</v>
          </cell>
        </row>
        <row r="571">
          <cell r="A571">
            <v>567</v>
          </cell>
          <cell r="B571" t="str">
            <v xml:space="preserve">750221238375    </v>
          </cell>
          <cell r="C571" t="str">
            <v xml:space="preserve">(9760-L) LIBRERO BLANCO FILO VERDE               </v>
          </cell>
          <cell r="D571" t="str">
            <v>DIAKM</v>
          </cell>
          <cell r="E571">
            <v>1187.9999999999998</v>
          </cell>
          <cell r="F571">
            <v>1378.0799999999997</v>
          </cell>
        </row>
        <row r="572">
          <cell r="A572">
            <v>568</v>
          </cell>
          <cell r="B572" t="str">
            <v xml:space="preserve">750221238376    </v>
          </cell>
          <cell r="C572" t="str">
            <v xml:space="preserve">(9760-L) LIBRERO AMARILLO COMPLETO               </v>
          </cell>
          <cell r="D572" t="str">
            <v>DIAKM</v>
          </cell>
          <cell r="E572">
            <v>1187.9999999999998</v>
          </cell>
          <cell r="F572">
            <v>1378.0799999999997</v>
          </cell>
        </row>
        <row r="573">
          <cell r="A573">
            <v>569</v>
          </cell>
          <cell r="B573" t="str">
            <v xml:space="preserve">750221238377    </v>
          </cell>
          <cell r="C573" t="str">
            <v xml:space="preserve">(9760-L) LIBRERO AZUL COMPLETO                   </v>
          </cell>
          <cell r="D573" t="str">
            <v>DIAKM</v>
          </cell>
          <cell r="E573">
            <v>1187.9999999999998</v>
          </cell>
          <cell r="F573">
            <v>1378.0799999999997</v>
          </cell>
        </row>
        <row r="574">
          <cell r="A574">
            <v>570</v>
          </cell>
          <cell r="B574" t="str">
            <v xml:space="preserve">750221238378    </v>
          </cell>
          <cell r="C574" t="str">
            <v xml:space="preserve">(9760-L) LIBRERO ROJO COMPLETO                   </v>
          </cell>
          <cell r="D574" t="str">
            <v>DIAKM</v>
          </cell>
          <cell r="E574">
            <v>1187.9999999999998</v>
          </cell>
          <cell r="F574">
            <v>1378.0799999999997</v>
          </cell>
        </row>
        <row r="575">
          <cell r="A575">
            <v>571</v>
          </cell>
          <cell r="B575" t="str">
            <v xml:space="preserve">750221238379    </v>
          </cell>
          <cell r="C575" t="str">
            <v xml:space="preserve">(9760-L) LIBRERO VERDE COMPLETO                  </v>
          </cell>
          <cell r="D575" t="str">
            <v>DIAKM</v>
          </cell>
          <cell r="E575">
            <v>1187.9999999999998</v>
          </cell>
          <cell r="F575">
            <v>1378.0799999999997</v>
          </cell>
        </row>
        <row r="576">
          <cell r="A576">
            <v>572</v>
          </cell>
          <cell r="B576" t="str">
            <v xml:space="preserve">750221238380    </v>
          </cell>
          <cell r="C576" t="str">
            <v xml:space="preserve">(9760-L) LIBRERO ROJO FILO AZUL                  </v>
          </cell>
          <cell r="D576" t="str">
            <v>DIAKM</v>
          </cell>
          <cell r="E576">
            <v>1187.9999999999998</v>
          </cell>
          <cell r="F576">
            <v>1378.0799999999997</v>
          </cell>
        </row>
        <row r="577">
          <cell r="A577">
            <v>573</v>
          </cell>
          <cell r="B577" t="str">
            <v xml:space="preserve">750221238381    </v>
          </cell>
          <cell r="C577" t="str">
            <v>(9760-L) LIBRERO OYAMEEL FILO ROJO ESPECIAL 'VERT</v>
          </cell>
          <cell r="D577" t="str">
            <v>DIAKM</v>
          </cell>
          <cell r="E577">
            <v>2409</v>
          </cell>
          <cell r="F577">
            <v>2794.4399999999996</v>
          </cell>
        </row>
        <row r="578">
          <cell r="A578">
            <v>574</v>
          </cell>
          <cell r="B578" t="str">
            <v xml:space="preserve">750221238382    </v>
          </cell>
          <cell r="C578" t="str">
            <v xml:space="preserve">(9780-M) LOCKER MAESTRO BLANCO FILO AMARILLO     </v>
          </cell>
          <cell r="D578" t="str">
            <v>DIAKM</v>
          </cell>
          <cell r="E578">
            <v>2409</v>
          </cell>
          <cell r="F578">
            <v>2794.4399999999996</v>
          </cell>
        </row>
        <row r="579">
          <cell r="A579">
            <v>575</v>
          </cell>
          <cell r="B579" t="str">
            <v xml:space="preserve">750221238383    </v>
          </cell>
          <cell r="C579" t="str">
            <v xml:space="preserve">(9780-M) LOCKER MAESTRO AMARILLO FILO AZUL       </v>
          </cell>
          <cell r="D579" t="str">
            <v>DIAKM</v>
          </cell>
          <cell r="E579">
            <v>2409</v>
          </cell>
          <cell r="F579">
            <v>2794.4399999999996</v>
          </cell>
        </row>
        <row r="580">
          <cell r="A580">
            <v>576</v>
          </cell>
          <cell r="B580" t="str">
            <v xml:space="preserve">750221238384    </v>
          </cell>
          <cell r="C580" t="str">
            <v xml:space="preserve">(9780-M) LOCKER MAESTRO AMARILLO FILO VERDE      </v>
          </cell>
          <cell r="D580" t="str">
            <v>DIAKM</v>
          </cell>
          <cell r="E580">
            <v>2409</v>
          </cell>
          <cell r="F580">
            <v>2794.4399999999996</v>
          </cell>
        </row>
        <row r="581">
          <cell r="A581">
            <v>577</v>
          </cell>
          <cell r="B581" t="str">
            <v xml:space="preserve">750221238385    </v>
          </cell>
          <cell r="C581" t="str">
            <v xml:space="preserve">(9780-M) LOCKER MAESTRO ROJO FILO AZUL           </v>
          </cell>
          <cell r="D581" t="str">
            <v>DIAKM</v>
          </cell>
          <cell r="E581">
            <v>2409</v>
          </cell>
          <cell r="F581">
            <v>2794.4399999999996</v>
          </cell>
        </row>
        <row r="582">
          <cell r="A582">
            <v>578</v>
          </cell>
          <cell r="B582" t="str">
            <v xml:space="preserve">750221238386    </v>
          </cell>
          <cell r="C582" t="str">
            <v xml:space="preserve">(9780-M) LOCKER MAESTRO AZUL FILO ROJO           </v>
          </cell>
          <cell r="D582" t="str">
            <v>DIAKM</v>
          </cell>
          <cell r="E582">
            <v>2409</v>
          </cell>
          <cell r="F582">
            <v>2794.4399999999996</v>
          </cell>
        </row>
        <row r="583">
          <cell r="A583">
            <v>579</v>
          </cell>
          <cell r="B583" t="str">
            <v xml:space="preserve">750221238387    </v>
          </cell>
          <cell r="C583" t="str">
            <v xml:space="preserve">(9780-M) LOCKER MAESTRO OYAMEL FILO AZUL         </v>
          </cell>
          <cell r="D583" t="str">
            <v>DIAKM</v>
          </cell>
          <cell r="E583">
            <v>2409</v>
          </cell>
          <cell r="F583">
            <v>2794.4399999999996</v>
          </cell>
        </row>
        <row r="584">
          <cell r="A584">
            <v>580</v>
          </cell>
          <cell r="B584" t="str">
            <v xml:space="preserve">750221238388    </v>
          </cell>
          <cell r="C584" t="str">
            <v xml:space="preserve">(9780-M) LOCKER MAESTRO OYAMEL FILO  ROJO        </v>
          </cell>
          <cell r="D584" t="str">
            <v>DIAKM</v>
          </cell>
          <cell r="E584">
            <v>2409</v>
          </cell>
          <cell r="F584">
            <v>2794.4399999999996</v>
          </cell>
        </row>
        <row r="585">
          <cell r="A585">
            <v>581</v>
          </cell>
          <cell r="B585" t="str">
            <v xml:space="preserve">750221238389    </v>
          </cell>
          <cell r="C585" t="str">
            <v xml:space="preserve">(9780-M) LOCKER MAESTRO BLANCO CON FILO BLANCO   </v>
          </cell>
          <cell r="D585" t="str">
            <v>DIAKM</v>
          </cell>
          <cell r="E585">
            <v>2409</v>
          </cell>
          <cell r="F585">
            <v>2794.4399999999996</v>
          </cell>
        </row>
        <row r="586">
          <cell r="A586">
            <v>582</v>
          </cell>
          <cell r="B586" t="str">
            <v xml:space="preserve">750221238390    </v>
          </cell>
          <cell r="C586" t="str">
            <v xml:space="preserve">(9780-M) LOCKER MAESTRO BLANCO FILO AZUL         </v>
          </cell>
          <cell r="D586" t="str">
            <v>DIAKM</v>
          </cell>
          <cell r="E586">
            <v>2409</v>
          </cell>
          <cell r="F586">
            <v>2794.4399999999996</v>
          </cell>
        </row>
        <row r="587">
          <cell r="A587">
            <v>583</v>
          </cell>
          <cell r="B587" t="str">
            <v xml:space="preserve">750221238391    </v>
          </cell>
          <cell r="C587" t="str">
            <v xml:space="preserve">(9780-M) LOCKER MAESTRO BLANCO FILO ROJO         </v>
          </cell>
          <cell r="D587" t="str">
            <v>DIAKM</v>
          </cell>
          <cell r="E587">
            <v>2409</v>
          </cell>
          <cell r="F587">
            <v>2794.4399999999996</v>
          </cell>
        </row>
        <row r="588">
          <cell r="A588">
            <v>584</v>
          </cell>
          <cell r="B588" t="str">
            <v xml:space="preserve">750221238392    </v>
          </cell>
          <cell r="C588" t="str">
            <v xml:space="preserve">(9780-M) LOCKER MAESTRO BLANCO FILO VERDE        </v>
          </cell>
          <cell r="D588" t="str">
            <v>DIAKM</v>
          </cell>
          <cell r="E588">
            <v>2409</v>
          </cell>
          <cell r="F588">
            <v>2794.4399999999996</v>
          </cell>
        </row>
        <row r="589">
          <cell r="A589">
            <v>585</v>
          </cell>
          <cell r="B589" t="str">
            <v xml:space="preserve">750221238393    </v>
          </cell>
          <cell r="C589" t="str">
            <v xml:space="preserve">(9780-M) LOCKER MAESTRO AMARILLO COMPLETO        </v>
          </cell>
          <cell r="D589" t="str">
            <v>DIAKM</v>
          </cell>
          <cell r="E589">
            <v>2409</v>
          </cell>
          <cell r="F589">
            <v>2794.4399999999996</v>
          </cell>
        </row>
        <row r="590">
          <cell r="A590">
            <v>586</v>
          </cell>
          <cell r="B590" t="str">
            <v xml:space="preserve">750221238394    </v>
          </cell>
          <cell r="C590" t="str">
            <v xml:space="preserve">(9780-M) LOCKER MAESTRO AZUL COMPLETO            </v>
          </cell>
          <cell r="D590" t="str">
            <v>DIAKM</v>
          </cell>
          <cell r="E590">
            <v>2409</v>
          </cell>
          <cell r="F590">
            <v>2794.4399999999996</v>
          </cell>
        </row>
        <row r="591">
          <cell r="A591">
            <v>587</v>
          </cell>
          <cell r="B591" t="str">
            <v xml:space="preserve">750221238395    </v>
          </cell>
          <cell r="C591" t="str">
            <v xml:space="preserve">(9780-M) LOCKER MAESTRO ROJO COMPLETO            </v>
          </cell>
          <cell r="D591" t="str">
            <v>DIAKM</v>
          </cell>
          <cell r="E591">
            <v>2409</v>
          </cell>
          <cell r="F591">
            <v>2794.4399999999996</v>
          </cell>
        </row>
        <row r="592">
          <cell r="A592">
            <v>588</v>
          </cell>
          <cell r="B592" t="str">
            <v xml:space="preserve">750221238396    </v>
          </cell>
          <cell r="C592" t="str">
            <v xml:space="preserve">(9780-M) LOCKER MAESTRO VERDE COMPLETO           </v>
          </cell>
          <cell r="D592" t="str">
            <v>DIAKM</v>
          </cell>
          <cell r="E592">
            <v>2409</v>
          </cell>
          <cell r="F592">
            <v>2794.4399999999996</v>
          </cell>
        </row>
        <row r="593">
          <cell r="A593">
            <v>589</v>
          </cell>
          <cell r="B593" t="str">
            <v xml:space="preserve">750221238397    </v>
          </cell>
          <cell r="C593" t="str">
            <v xml:space="preserve">(9780-M) LOCKER MAESTRO AZUL FILO AMARILLO       </v>
          </cell>
          <cell r="D593" t="str">
            <v>DIAKM</v>
          </cell>
          <cell r="E593">
            <v>2409</v>
          </cell>
          <cell r="F593">
            <v>2794.4399999999996</v>
          </cell>
        </row>
        <row r="594">
          <cell r="A594">
            <v>590</v>
          </cell>
          <cell r="B594" t="str">
            <v xml:space="preserve">750221238398    </v>
          </cell>
          <cell r="C594" t="str">
            <v xml:space="preserve">(9790-E) ESQUINERO BLANCO FILO AMARILLO          </v>
          </cell>
          <cell r="D594" t="str">
            <v>DIAKM</v>
          </cell>
          <cell r="E594">
            <v>816.74999999999989</v>
          </cell>
          <cell r="F594">
            <v>947.42999999999984</v>
          </cell>
        </row>
        <row r="595">
          <cell r="A595">
            <v>591</v>
          </cell>
          <cell r="B595" t="str">
            <v xml:space="preserve">750221238399    </v>
          </cell>
          <cell r="C595" t="str">
            <v xml:space="preserve">(9790-E) ESQUINERO BLANCO FILO AZUL              </v>
          </cell>
          <cell r="D595" t="str">
            <v>DIAKM</v>
          </cell>
          <cell r="E595">
            <v>816.74999999999989</v>
          </cell>
          <cell r="F595">
            <v>947.42999999999984</v>
          </cell>
        </row>
        <row r="596">
          <cell r="A596">
            <v>592</v>
          </cell>
          <cell r="B596" t="str">
            <v xml:space="preserve">750221238400    </v>
          </cell>
          <cell r="C596" t="str">
            <v xml:space="preserve">(9790-E) ESQUINERO BLANCO FILO ROJO              </v>
          </cell>
          <cell r="D596" t="str">
            <v>DIAKM</v>
          </cell>
          <cell r="E596">
            <v>816.74999999999989</v>
          </cell>
          <cell r="F596">
            <v>947.42999999999984</v>
          </cell>
        </row>
        <row r="597">
          <cell r="A597">
            <v>593</v>
          </cell>
          <cell r="B597" t="str">
            <v xml:space="preserve">750221238401    </v>
          </cell>
          <cell r="C597" t="str">
            <v xml:space="preserve">(9790-E) ESQUINERO BLANCO FILO VERDE             </v>
          </cell>
          <cell r="D597" t="str">
            <v>DIAKM</v>
          </cell>
          <cell r="E597">
            <v>816.74999999999989</v>
          </cell>
          <cell r="F597">
            <v>947.42999999999984</v>
          </cell>
        </row>
        <row r="598">
          <cell r="A598">
            <v>594</v>
          </cell>
          <cell r="B598" t="str">
            <v xml:space="preserve">750221238402    </v>
          </cell>
          <cell r="C598" t="str">
            <v xml:space="preserve">(9790-E) ESQUINERO AMARILLO COMPLETO             </v>
          </cell>
          <cell r="D598" t="str">
            <v>DIAKM</v>
          </cell>
          <cell r="E598">
            <v>816.74999999999989</v>
          </cell>
          <cell r="F598">
            <v>947.42999999999984</v>
          </cell>
        </row>
        <row r="599">
          <cell r="A599">
            <v>595</v>
          </cell>
          <cell r="B599" t="str">
            <v xml:space="preserve">750221238403    </v>
          </cell>
          <cell r="C599" t="str">
            <v xml:space="preserve">(9790-E) ESQUINERO AZUL COMPLETO                 </v>
          </cell>
          <cell r="D599" t="str">
            <v>DIAKM</v>
          </cell>
          <cell r="E599">
            <v>816.74999999999989</v>
          </cell>
          <cell r="F599">
            <v>947.42999999999984</v>
          </cell>
        </row>
        <row r="600">
          <cell r="A600">
            <v>596</v>
          </cell>
          <cell r="B600" t="str">
            <v xml:space="preserve">750221238404    </v>
          </cell>
          <cell r="C600" t="str">
            <v xml:space="preserve">(9790-E) ESQUINERO ROJO COMPLETO                 </v>
          </cell>
          <cell r="D600" t="str">
            <v>DIAKM</v>
          </cell>
          <cell r="E600">
            <v>816.74999999999989</v>
          </cell>
          <cell r="F600">
            <v>947.42999999999984</v>
          </cell>
        </row>
        <row r="601">
          <cell r="A601">
            <v>597</v>
          </cell>
          <cell r="B601" t="str">
            <v xml:space="preserve">750221238405    </v>
          </cell>
          <cell r="C601" t="str">
            <v xml:space="preserve">(9790-E) ESQUINERO VERDE COMPLETO                </v>
          </cell>
          <cell r="D601" t="str">
            <v>DIAKM</v>
          </cell>
          <cell r="E601">
            <v>816.74999999999989</v>
          </cell>
          <cell r="F601">
            <v>947.42999999999984</v>
          </cell>
        </row>
        <row r="602">
          <cell r="A602">
            <v>598</v>
          </cell>
          <cell r="B602" t="str">
            <v xml:space="preserve">750221238406    </v>
          </cell>
          <cell r="C602" t="str">
            <v xml:space="preserve">(9790-E) ESQUINERO ROJO FILO AZUL                </v>
          </cell>
          <cell r="D602" t="str">
            <v>DIAKM</v>
          </cell>
          <cell r="E602">
            <v>816.74999999999989</v>
          </cell>
          <cell r="F602">
            <v>947.42999999999984</v>
          </cell>
        </row>
        <row r="603">
          <cell r="A603">
            <v>599</v>
          </cell>
          <cell r="B603" t="str">
            <v xml:space="preserve">750221238409    </v>
          </cell>
          <cell r="C603" t="str">
            <v xml:space="preserve">(9121-B) BANCA MULTIUSOS BLANCA FILO AMARILLO    </v>
          </cell>
          <cell r="D603" t="str">
            <v>DIAKM</v>
          </cell>
          <cell r="E603">
            <v>651.75</v>
          </cell>
          <cell r="F603">
            <v>756.03</v>
          </cell>
        </row>
        <row r="604">
          <cell r="A604">
            <v>600</v>
          </cell>
          <cell r="B604" t="str">
            <v xml:space="preserve">750221238410    </v>
          </cell>
          <cell r="C604" t="str">
            <v xml:space="preserve">(9121-B) BANCA MULTIUSOS BLANCA FILO AZUL        </v>
          </cell>
          <cell r="D604" t="str">
            <v>DIAKM</v>
          </cell>
          <cell r="E604">
            <v>651.75</v>
          </cell>
          <cell r="F604">
            <v>756.03</v>
          </cell>
        </row>
        <row r="605">
          <cell r="A605">
            <v>601</v>
          </cell>
          <cell r="B605" t="str">
            <v xml:space="preserve">750221238411    </v>
          </cell>
          <cell r="C605" t="str">
            <v xml:space="preserve">(9121-B) BANCA MULTIUSOS BLANCA FILO ROJO        </v>
          </cell>
          <cell r="D605" t="str">
            <v>DIAKM</v>
          </cell>
          <cell r="E605">
            <v>651.75</v>
          </cell>
          <cell r="F605">
            <v>756.03</v>
          </cell>
        </row>
        <row r="606">
          <cell r="A606">
            <v>602</v>
          </cell>
          <cell r="B606" t="str">
            <v xml:space="preserve">750221238412    </v>
          </cell>
          <cell r="C606" t="str">
            <v xml:space="preserve">(9121-B) BANCA MULTIUSOS BLANCA FILO VERDE       </v>
          </cell>
          <cell r="D606" t="str">
            <v>DIAKM</v>
          </cell>
          <cell r="E606">
            <v>651.75</v>
          </cell>
          <cell r="F606">
            <v>756.03</v>
          </cell>
        </row>
        <row r="607">
          <cell r="A607">
            <v>603</v>
          </cell>
          <cell r="B607" t="str">
            <v xml:space="preserve">750221238413    </v>
          </cell>
          <cell r="C607" t="str">
            <v xml:space="preserve">(9320-B) MESA REDONDA OYAMEL FILO AZUL           </v>
          </cell>
          <cell r="D607" t="str">
            <v>DIAKM</v>
          </cell>
          <cell r="E607">
            <v>866.25</v>
          </cell>
          <cell r="F607">
            <v>1004.8499999999999</v>
          </cell>
        </row>
        <row r="608">
          <cell r="A608">
            <v>604</v>
          </cell>
          <cell r="B608" t="str">
            <v xml:space="preserve">750221238414    </v>
          </cell>
          <cell r="C608" t="str">
            <v xml:space="preserve">(9530-B) STAND PARA LIBROS OYAMEL FILO VERDE     </v>
          </cell>
          <cell r="D608" t="str">
            <v>DIAKM</v>
          </cell>
          <cell r="E608">
            <v>602.25</v>
          </cell>
          <cell r="F608">
            <v>698.6099999999999</v>
          </cell>
        </row>
        <row r="609">
          <cell r="A609">
            <v>605</v>
          </cell>
          <cell r="B609" t="str">
            <v xml:space="preserve">750221238415    </v>
          </cell>
          <cell r="C609" t="str">
            <v xml:space="preserve">(9122-H) BANQUITO MULTIUSOS OYAMEL FILO VERDE    </v>
          </cell>
          <cell r="D609" t="str">
            <v>DIAKM</v>
          </cell>
          <cell r="E609">
            <v>189.74999999999997</v>
          </cell>
          <cell r="F609">
            <v>220.10999999999996</v>
          </cell>
        </row>
        <row r="610">
          <cell r="A610">
            <v>606</v>
          </cell>
          <cell r="B610" t="str">
            <v xml:space="preserve">750221238416    </v>
          </cell>
          <cell r="C610" t="str">
            <v xml:space="preserve">(9790-E) ESQUINERO VERDE FILO AMARILLO           </v>
          </cell>
          <cell r="D610" t="str">
            <v>DIAKM</v>
          </cell>
          <cell r="E610">
            <v>816.74999999999989</v>
          </cell>
          <cell r="F610">
            <v>947.42999999999984</v>
          </cell>
        </row>
        <row r="611">
          <cell r="A611">
            <v>607</v>
          </cell>
          <cell r="B611" t="str">
            <v xml:space="preserve">7502212380015   </v>
          </cell>
          <cell r="C611" t="str">
            <v xml:space="preserve">(8704-A) BLOQUES DE CONSTRUCCION  75Pz           </v>
          </cell>
          <cell r="D611" t="str">
            <v>DIAKO</v>
          </cell>
          <cell r="E611">
            <v>207.9</v>
          </cell>
          <cell r="F611">
            <v>241.16399999999999</v>
          </cell>
        </row>
        <row r="612">
          <cell r="A612">
            <v>608</v>
          </cell>
          <cell r="B612" t="str">
            <v xml:space="preserve">7502212380022   </v>
          </cell>
          <cell r="C612" t="str">
            <v xml:space="preserve">(8804-C) BLOQUES DE CONSTRUCCION 45Pz            </v>
          </cell>
          <cell r="D612" t="str">
            <v>DIAKO</v>
          </cell>
          <cell r="E612">
            <v>125.4</v>
          </cell>
          <cell r="F612">
            <v>145.464</v>
          </cell>
        </row>
        <row r="613">
          <cell r="A613">
            <v>609</v>
          </cell>
          <cell r="B613" t="str">
            <v xml:space="preserve">7502212380060   </v>
          </cell>
          <cell r="C613" t="str">
            <v xml:space="preserve">(8406-B) CILINDROS DE ENCAJE (20x20)cm           </v>
          </cell>
          <cell r="D613" t="str">
            <v>DIAKO</v>
          </cell>
          <cell r="E613">
            <v>161.69999999999999</v>
          </cell>
          <cell r="F613">
            <v>187.57199999999997</v>
          </cell>
        </row>
        <row r="614">
          <cell r="A614">
            <v>610</v>
          </cell>
          <cell r="B614" t="str">
            <v xml:space="preserve">7502212380107   </v>
          </cell>
          <cell r="C614" t="str">
            <v xml:space="preserve">(4907-H) R.C. FIGURAS GEOMETRICAS 12Pz           </v>
          </cell>
          <cell r="D614" t="str">
            <v>DIAKO</v>
          </cell>
          <cell r="E614">
            <v>107.24999999999999</v>
          </cell>
          <cell r="F614">
            <v>124.40999999999998</v>
          </cell>
        </row>
        <row r="615">
          <cell r="A615">
            <v>611</v>
          </cell>
          <cell r="B615" t="str">
            <v xml:space="preserve">7502212380114   </v>
          </cell>
          <cell r="C615" t="str">
            <v xml:space="preserve">(5008-A) R.C. LAS VOCALES (20x30)cm              </v>
          </cell>
          <cell r="D615" t="str">
            <v>DIAKO</v>
          </cell>
          <cell r="E615">
            <v>107.24999999999999</v>
          </cell>
          <cell r="F615">
            <v>124.40999999999998</v>
          </cell>
        </row>
        <row r="616">
          <cell r="A616">
            <v>612</v>
          </cell>
          <cell r="B616" t="str">
            <v xml:space="preserve">7502212380121   </v>
          </cell>
          <cell r="C616" t="str">
            <v xml:space="preserve">(5208-C) R.C. MINUSCULAS (20x30)cm               </v>
          </cell>
          <cell r="D616" t="str">
            <v>DIAKO</v>
          </cell>
          <cell r="E616">
            <v>107.24999999999999</v>
          </cell>
          <cell r="F616">
            <v>124.40999999999998</v>
          </cell>
        </row>
        <row r="617">
          <cell r="A617">
            <v>613</v>
          </cell>
          <cell r="B617" t="str">
            <v xml:space="preserve">7502212380138   </v>
          </cell>
          <cell r="C617" t="str">
            <v xml:space="preserve">(5308-D) R.C. NUMEROS 1-10 (20x30)cm             </v>
          </cell>
          <cell r="D617" t="str">
            <v>DIAKO</v>
          </cell>
          <cell r="E617">
            <v>107.24999999999999</v>
          </cell>
          <cell r="F617">
            <v>124.40999999999998</v>
          </cell>
        </row>
        <row r="618">
          <cell r="A618">
            <v>614</v>
          </cell>
          <cell r="B618" t="str">
            <v xml:space="preserve">7502212380145   </v>
          </cell>
          <cell r="C618" t="str">
            <v xml:space="preserve">(5408-E) R.C. MAYUSCULAS (20x30)cm               </v>
          </cell>
          <cell r="D618" t="str">
            <v>DIAKO</v>
          </cell>
          <cell r="E618">
            <v>107.24999999999999</v>
          </cell>
          <cell r="F618">
            <v>124.40999999999998</v>
          </cell>
        </row>
        <row r="619">
          <cell r="A619">
            <v>615</v>
          </cell>
          <cell r="B619" t="str">
            <v xml:space="preserve">7502212380176   </v>
          </cell>
          <cell r="C619" t="str">
            <v xml:space="preserve">(5610-C) R.C. NIÑO (20x30)cm                     </v>
          </cell>
          <cell r="D619" t="str">
            <v>DIAKO</v>
          </cell>
          <cell r="E619">
            <v>107.24999999999999</v>
          </cell>
          <cell r="F619">
            <v>124.40999999999998</v>
          </cell>
        </row>
        <row r="620">
          <cell r="A620">
            <v>616</v>
          </cell>
          <cell r="B620" t="str">
            <v xml:space="preserve">7502212380183   </v>
          </cell>
          <cell r="C620" t="str">
            <v xml:space="preserve">(5710-F) R.C. NIÑOS (20x30)cm                    </v>
          </cell>
          <cell r="D620" t="str">
            <v>DIAKO</v>
          </cell>
          <cell r="E620">
            <v>107.24999999999999</v>
          </cell>
          <cell r="F620">
            <v>124.40999999999998</v>
          </cell>
        </row>
        <row r="621">
          <cell r="A621">
            <v>617</v>
          </cell>
          <cell r="B621" t="str">
            <v xml:space="preserve">7502212380190   </v>
          </cell>
          <cell r="C621" t="str">
            <v xml:space="preserve">(5810-J) R.C. GRANJA (20x30)cm                   </v>
          </cell>
          <cell r="D621" t="str">
            <v>DIAKO</v>
          </cell>
          <cell r="E621">
            <v>107.24999999999999</v>
          </cell>
          <cell r="F621">
            <v>124.40999999999998</v>
          </cell>
        </row>
        <row r="622">
          <cell r="A622">
            <v>618</v>
          </cell>
          <cell r="B622" t="str">
            <v xml:space="preserve">7502212380206   </v>
          </cell>
          <cell r="C622" t="str">
            <v xml:space="preserve">(5910-L) R.C. NIÑA (20x30)cm                     </v>
          </cell>
          <cell r="D622" t="str">
            <v>DIAKO</v>
          </cell>
          <cell r="E622">
            <v>107.24999999999999</v>
          </cell>
          <cell r="F622">
            <v>124.40999999999998</v>
          </cell>
        </row>
        <row r="623">
          <cell r="A623">
            <v>619</v>
          </cell>
          <cell r="B623" t="str">
            <v xml:space="preserve">7502212380213   </v>
          </cell>
          <cell r="C623" t="str">
            <v xml:space="preserve">(6011-A) R.C. MANOS (20x30)cm                    </v>
          </cell>
          <cell r="D623" t="str">
            <v>DIAKO</v>
          </cell>
          <cell r="E623">
            <v>107.24999999999999</v>
          </cell>
          <cell r="F623">
            <v>124.40999999999998</v>
          </cell>
        </row>
        <row r="624">
          <cell r="A624">
            <v>620</v>
          </cell>
          <cell r="B624" t="str">
            <v xml:space="preserve">7502212380268   </v>
          </cell>
          <cell r="C624" t="str">
            <v xml:space="preserve">(1313-B) ALAMBRE DINO CHICO (14x18)cm            </v>
          </cell>
          <cell r="D624" t="str">
            <v>DIAKO</v>
          </cell>
          <cell r="E624">
            <v>135.29999999999998</v>
          </cell>
          <cell r="F624">
            <v>156.94799999999998</v>
          </cell>
        </row>
        <row r="625">
          <cell r="A625">
            <v>621</v>
          </cell>
          <cell r="B625" t="str">
            <v xml:space="preserve">7502212380299   </v>
          </cell>
          <cell r="C625" t="str">
            <v xml:space="preserve">ALAMBRE CHICO (14x18)cm                 </v>
          </cell>
          <cell r="D625" t="str">
            <v>DIAKO</v>
          </cell>
          <cell r="E625">
            <v>135.29999999999998</v>
          </cell>
          <cell r="F625">
            <v>156.94799999999998</v>
          </cell>
        </row>
        <row r="626">
          <cell r="A626">
            <v>622</v>
          </cell>
          <cell r="B626" t="str">
            <v xml:space="preserve">7502212380305   </v>
          </cell>
          <cell r="C626" t="str">
            <v xml:space="preserve">(1513-I) ALAMBRE DOBLE (14x30)cm                 </v>
          </cell>
          <cell r="D626" t="str">
            <v>DIAKO</v>
          </cell>
          <cell r="E626">
            <v>151.80000000000001</v>
          </cell>
          <cell r="F626">
            <v>176.08799999999999</v>
          </cell>
        </row>
        <row r="627">
          <cell r="A627">
            <v>623</v>
          </cell>
          <cell r="B627" t="str">
            <v xml:space="preserve">7502212380350   </v>
          </cell>
          <cell r="C627" t="str">
            <v xml:space="preserve">(4015-A) R.C. FRUTAS (20x30)cm                   </v>
          </cell>
          <cell r="D627" t="str">
            <v>DIAKO</v>
          </cell>
          <cell r="E627">
            <v>107.24999999999999</v>
          </cell>
          <cell r="F627">
            <v>124.40999999999998</v>
          </cell>
        </row>
        <row r="628">
          <cell r="A628">
            <v>624</v>
          </cell>
          <cell r="B628" t="str">
            <v xml:space="preserve">7502212380374   </v>
          </cell>
          <cell r="C628" t="str">
            <v xml:space="preserve">(4115-D) R.C. TRANSPORTES (20x30)cm              </v>
          </cell>
          <cell r="D628" t="str">
            <v>DIAKO</v>
          </cell>
          <cell r="E628">
            <v>107.24999999999999</v>
          </cell>
          <cell r="F628">
            <v>124.40999999999998</v>
          </cell>
        </row>
        <row r="629">
          <cell r="A629">
            <v>625</v>
          </cell>
          <cell r="B629" t="str">
            <v xml:space="preserve">7502212380381   </v>
          </cell>
          <cell r="C629" t="str">
            <v xml:space="preserve">(4215-E) R.C. HERRAMIENTAS (20x30)cm             </v>
          </cell>
          <cell r="D629" t="str">
            <v>DIAKO</v>
          </cell>
          <cell r="E629">
            <v>107.24999999999999</v>
          </cell>
          <cell r="F629">
            <v>124.40999999999998</v>
          </cell>
        </row>
        <row r="630">
          <cell r="A630">
            <v>626</v>
          </cell>
          <cell r="B630" t="str">
            <v xml:space="preserve">7502212380404   </v>
          </cell>
          <cell r="C630" t="str">
            <v xml:space="preserve">(4515-I) R.C. GLOBOS DE COLORES (20x30)cm        </v>
          </cell>
          <cell r="D630" t="str">
            <v>DIAKO</v>
          </cell>
          <cell r="E630">
            <v>107.24999999999999</v>
          </cell>
          <cell r="F630">
            <v>124.40999999999998</v>
          </cell>
        </row>
        <row r="631">
          <cell r="A631">
            <v>627</v>
          </cell>
          <cell r="B631" t="str">
            <v xml:space="preserve">7502212380411   </v>
          </cell>
          <cell r="C631" t="str">
            <v xml:space="preserve">(4715-M) R.C. ANIMALES MARINOS (20x30)cm         </v>
          </cell>
          <cell r="D631" t="str">
            <v>DIAKO</v>
          </cell>
          <cell r="E631">
            <v>107.24999999999999</v>
          </cell>
          <cell r="F631">
            <v>124.40999999999998</v>
          </cell>
        </row>
        <row r="632">
          <cell r="A632">
            <v>628</v>
          </cell>
          <cell r="B632" t="str">
            <v xml:space="preserve">7502212380466   </v>
          </cell>
          <cell r="C632" t="str">
            <v xml:space="preserve">(6126-A) TABLAS DE MULTIPLICAR 2-5 (22x30)cm     </v>
          </cell>
          <cell r="D632" t="str">
            <v>DIAKO</v>
          </cell>
          <cell r="E632">
            <v>107.24999999999999</v>
          </cell>
          <cell r="F632">
            <v>124.40999999999998</v>
          </cell>
        </row>
        <row r="633">
          <cell r="A633">
            <v>629</v>
          </cell>
          <cell r="B633" t="str">
            <v xml:space="preserve">7502212380473   </v>
          </cell>
          <cell r="C633" t="str">
            <v xml:space="preserve">(6227-A) R.C. MAPA REP. MEXICANA(22x30)cm        </v>
          </cell>
          <cell r="D633" t="str">
            <v>DIAKO</v>
          </cell>
          <cell r="E633">
            <v>99</v>
          </cell>
          <cell r="F633">
            <v>114.83999999999999</v>
          </cell>
        </row>
        <row r="634">
          <cell r="A634">
            <v>630</v>
          </cell>
          <cell r="B634" t="str">
            <v xml:space="preserve">7502212380497   </v>
          </cell>
          <cell r="C634" t="str">
            <v xml:space="preserve">(8527-C) 100 CUBOS (2x2)cm CON 5 CINTAS          </v>
          </cell>
          <cell r="D634" t="str">
            <v>DIAKO</v>
          </cell>
          <cell r="E634">
            <v>161.86206896551724</v>
          </cell>
          <cell r="F634">
            <v>187.76</v>
          </cell>
        </row>
        <row r="635">
          <cell r="A635">
            <v>631</v>
          </cell>
          <cell r="B635" t="str">
            <v xml:space="preserve">7502212380527   </v>
          </cell>
          <cell r="C635" t="str">
            <v xml:space="preserve">(8228-D) ABAKO CHICO (22x28)cm                   </v>
          </cell>
          <cell r="D635" t="str">
            <v>DIAKO</v>
          </cell>
          <cell r="E635">
            <v>212.35344827586209</v>
          </cell>
          <cell r="F635">
            <v>246.33</v>
          </cell>
        </row>
        <row r="636">
          <cell r="A636">
            <v>632</v>
          </cell>
          <cell r="B636" t="str">
            <v xml:space="preserve">7502212380565   </v>
          </cell>
          <cell r="C636" t="str">
            <v xml:space="preserve">(2731-A) JUEGO DEL GATO (22x22)cm                </v>
          </cell>
          <cell r="D636" t="str">
            <v>DIAKO</v>
          </cell>
          <cell r="E636">
            <v>107.24999999999999</v>
          </cell>
          <cell r="F636">
            <v>124.40999999999998</v>
          </cell>
        </row>
        <row r="637">
          <cell r="A637">
            <v>633</v>
          </cell>
          <cell r="B637" t="str">
            <v xml:space="preserve">7502212380572   </v>
          </cell>
          <cell r="C637" t="str">
            <v xml:space="preserve">(8631-C) CARRETA DE BLOQUES 94Pz                 </v>
          </cell>
          <cell r="D637" t="str">
            <v>DIAKO</v>
          </cell>
          <cell r="E637">
            <v>305.25</v>
          </cell>
          <cell r="F637">
            <v>354.09</v>
          </cell>
        </row>
        <row r="638">
          <cell r="A638">
            <v>634</v>
          </cell>
          <cell r="B638" t="str">
            <v xml:space="preserve">7502212380589   </v>
          </cell>
          <cell r="C638" t="str">
            <v xml:space="preserve">(2531-E) BOLICHE 12Pz                            </v>
          </cell>
          <cell r="D638" t="str">
            <v>DIAKO</v>
          </cell>
          <cell r="E638">
            <v>280.66379310344831</v>
          </cell>
          <cell r="F638">
            <v>325.57</v>
          </cell>
        </row>
        <row r="639">
          <cell r="A639">
            <v>635</v>
          </cell>
          <cell r="B639" t="str">
            <v xml:space="preserve">7502212380602   </v>
          </cell>
          <cell r="C639" t="str">
            <v xml:space="preserve">(2434-B) CAJA DE FUTBOL (58x32x7)cm              </v>
          </cell>
          <cell r="D639" t="str">
            <v>DIAKO</v>
          </cell>
          <cell r="E639">
            <v>199.64999999999998</v>
          </cell>
          <cell r="F639">
            <v>231.59399999999997</v>
          </cell>
        </row>
        <row r="640">
          <cell r="A640">
            <v>636</v>
          </cell>
          <cell r="B640" t="str">
            <v xml:space="preserve">7502212380626   </v>
          </cell>
          <cell r="C640" t="str">
            <v xml:space="preserve">AL VOLANTE (28x22x25)cm                 </v>
          </cell>
          <cell r="D640" t="str">
            <v>DIAKO</v>
          </cell>
          <cell r="E640">
            <v>161.86206896551724</v>
          </cell>
          <cell r="F640">
            <v>187.76</v>
          </cell>
        </row>
        <row r="641">
          <cell r="A641">
            <v>637</v>
          </cell>
          <cell r="B641" t="str">
            <v xml:space="preserve">7502212380657   </v>
          </cell>
          <cell r="C641" t="str">
            <v xml:space="preserve">(3222-B) DOMINO DE MULTIPLICACION                </v>
          </cell>
          <cell r="D641" t="str">
            <v>DIAKO</v>
          </cell>
          <cell r="E641">
            <v>118.8</v>
          </cell>
          <cell r="F641">
            <v>137.80799999999999</v>
          </cell>
        </row>
        <row r="642">
          <cell r="A642">
            <v>638</v>
          </cell>
          <cell r="B642" t="str">
            <v xml:space="preserve">7502212380664   </v>
          </cell>
          <cell r="C642" t="str">
            <v xml:space="preserve">(3322-C) DOMINO DE FRUTAS                        </v>
          </cell>
          <cell r="D642" t="str">
            <v>DIAKO</v>
          </cell>
          <cell r="E642">
            <v>118.8</v>
          </cell>
          <cell r="F642">
            <v>137.80799999999999</v>
          </cell>
        </row>
        <row r="643">
          <cell r="A643">
            <v>639</v>
          </cell>
          <cell r="B643" t="str">
            <v xml:space="preserve">7502212380671   </v>
          </cell>
          <cell r="C643" t="str">
            <v xml:space="preserve">(3422-E) DOMINO DE COLORES Y FIGURAS             </v>
          </cell>
          <cell r="D643" t="str">
            <v>DIAKO</v>
          </cell>
          <cell r="E643">
            <v>118.8</v>
          </cell>
          <cell r="F643">
            <v>137.80799999999999</v>
          </cell>
        </row>
        <row r="644">
          <cell r="A644">
            <v>640</v>
          </cell>
          <cell r="B644" t="str">
            <v xml:space="preserve">7502212380695   </v>
          </cell>
          <cell r="C644" t="str">
            <v xml:space="preserve">(3522-F) DOMINO DE NUMEROS Y CONJUNTOS           </v>
          </cell>
          <cell r="D644" t="str">
            <v>DIAKO</v>
          </cell>
          <cell r="E644">
            <v>118.8</v>
          </cell>
          <cell r="F644">
            <v>137.80799999999999</v>
          </cell>
        </row>
        <row r="645">
          <cell r="A645">
            <v>641</v>
          </cell>
          <cell r="B645" t="str">
            <v xml:space="preserve">7502212380701   </v>
          </cell>
          <cell r="C645" t="str">
            <v xml:space="preserve">(5108-F) R.C. CONTAR HASTA 12                    </v>
          </cell>
          <cell r="D645" t="str">
            <v>DIAKO</v>
          </cell>
          <cell r="E645">
            <v>107.24999999999999</v>
          </cell>
          <cell r="F645">
            <v>124.40999999999998</v>
          </cell>
        </row>
        <row r="646">
          <cell r="A646">
            <v>642</v>
          </cell>
          <cell r="B646" t="str">
            <v xml:space="preserve">7502212380725   </v>
          </cell>
          <cell r="C646" t="str">
            <v xml:space="preserve">(2635-H) CROQUET                                 </v>
          </cell>
          <cell r="D646" t="str">
            <v>DIAKO</v>
          </cell>
          <cell r="E646">
            <v>404.25</v>
          </cell>
          <cell r="F646">
            <v>468.92999999999995</v>
          </cell>
        </row>
        <row r="647">
          <cell r="A647">
            <v>643</v>
          </cell>
          <cell r="B647" t="str">
            <v xml:space="preserve">7502212380756   </v>
          </cell>
          <cell r="C647" t="str">
            <v xml:space="preserve">(2634-E) SUPER POT (GOLFITO)                     </v>
          </cell>
          <cell r="D647" t="str">
            <v>DIAKO</v>
          </cell>
          <cell r="E647">
            <v>217.79999999999995</v>
          </cell>
          <cell r="F647">
            <v>252.64799999999994</v>
          </cell>
        </row>
        <row r="648">
          <cell r="A648">
            <v>644</v>
          </cell>
          <cell r="B648" t="str">
            <v xml:space="preserve">7502212380770   </v>
          </cell>
          <cell r="C648" t="str">
            <v xml:space="preserve">(2922-H) MEMORAMA (6x6)cm                        </v>
          </cell>
          <cell r="D648" t="str">
            <v>DIAKO</v>
          </cell>
          <cell r="E648">
            <v>125.4</v>
          </cell>
          <cell r="F648">
            <v>145.464</v>
          </cell>
        </row>
        <row r="649">
          <cell r="A649">
            <v>645</v>
          </cell>
          <cell r="B649" t="str">
            <v xml:space="preserve">7502212380787   </v>
          </cell>
          <cell r="C649" t="str">
            <v xml:space="preserve">R.C. ORCAS 60Pz                         </v>
          </cell>
          <cell r="D649" t="str">
            <v>DIAKO</v>
          </cell>
          <cell r="E649">
            <v>107.24999999999999</v>
          </cell>
          <cell r="F649">
            <v>124.40999999999998</v>
          </cell>
        </row>
        <row r="650">
          <cell r="A650">
            <v>646</v>
          </cell>
          <cell r="B650" t="str">
            <v xml:space="preserve">7502212380794   </v>
          </cell>
          <cell r="C650" t="str">
            <v xml:space="preserve">R.C. CABALLOS 60Pz                      </v>
          </cell>
          <cell r="D650" t="str">
            <v>DIAKO</v>
          </cell>
          <cell r="E650">
            <v>107.24999999999999</v>
          </cell>
          <cell r="F650">
            <v>124.40999999999998</v>
          </cell>
        </row>
        <row r="651">
          <cell r="A651">
            <v>647</v>
          </cell>
          <cell r="B651" t="str">
            <v xml:space="preserve">7502212380817   </v>
          </cell>
          <cell r="C651" t="str">
            <v xml:space="preserve">(4615-J) R.C. ANIMALES SALVAJES (20x30)cm        </v>
          </cell>
          <cell r="D651" t="str">
            <v>DIAKO</v>
          </cell>
          <cell r="E651">
            <v>107.24999999999999</v>
          </cell>
          <cell r="F651">
            <v>124.40999999999998</v>
          </cell>
        </row>
        <row r="652">
          <cell r="A652">
            <v>648</v>
          </cell>
          <cell r="B652" t="str">
            <v xml:space="preserve">7502212380824   </v>
          </cell>
          <cell r="C652" t="str">
            <v xml:space="preserve">(7222-K) R.C. ANIMALOCOS (20x30)cm               </v>
          </cell>
          <cell r="D652" t="str">
            <v>DIAKO</v>
          </cell>
          <cell r="E652">
            <v>107.24999999999999</v>
          </cell>
          <cell r="F652">
            <v>124.40999999999998</v>
          </cell>
        </row>
        <row r="653">
          <cell r="A653">
            <v>649</v>
          </cell>
          <cell r="B653" t="str">
            <v xml:space="preserve">7502212380831   </v>
          </cell>
          <cell r="C653" t="str">
            <v xml:space="preserve">(6527-I) R.C. SISTEMA SOLAR(20x30)cm 28Pz        </v>
          </cell>
          <cell r="D653" t="str">
            <v>DIAKO</v>
          </cell>
          <cell r="E653">
            <v>107.24999999999999</v>
          </cell>
          <cell r="F653">
            <v>124.40999999999998</v>
          </cell>
        </row>
        <row r="654">
          <cell r="A654">
            <v>650</v>
          </cell>
          <cell r="B654" t="str">
            <v xml:space="preserve">7502212380848   </v>
          </cell>
          <cell r="C654" t="str">
            <v xml:space="preserve">(3022-I) MEMORAMA DE NUMEROS Y VOCALES           </v>
          </cell>
          <cell r="D654" t="str">
            <v>DIAKO</v>
          </cell>
          <cell r="E654">
            <v>125.4</v>
          </cell>
          <cell r="F654">
            <v>145.464</v>
          </cell>
        </row>
        <row r="655">
          <cell r="A655">
            <v>651</v>
          </cell>
          <cell r="B655" t="str">
            <v xml:space="preserve">7502212380879   </v>
          </cell>
          <cell r="C655" t="str">
            <v xml:space="preserve">ALAMBRE ORBITAS (20x30)cm               </v>
          </cell>
          <cell r="D655" t="str">
            <v>DIAKO</v>
          </cell>
          <cell r="E655">
            <v>236.11206896551724</v>
          </cell>
          <cell r="F655">
            <v>273.89</v>
          </cell>
        </row>
        <row r="656">
          <cell r="A656">
            <v>652</v>
          </cell>
          <cell r="B656" t="str">
            <v xml:space="preserve">7502212380886   </v>
          </cell>
          <cell r="C656" t="str">
            <v xml:space="preserve">(2013-Q) ALAMBRE ESPACIAL (20x20)cm              </v>
          </cell>
          <cell r="D656" t="str">
            <v>DIAKO</v>
          </cell>
          <cell r="E656">
            <v>222.75</v>
          </cell>
          <cell r="F656">
            <v>258.39</v>
          </cell>
        </row>
        <row r="657">
          <cell r="A657">
            <v>653</v>
          </cell>
          <cell r="B657" t="str">
            <v xml:space="preserve">7502212380947   </v>
          </cell>
          <cell r="C657" t="str">
            <v xml:space="preserve">(7032-C) CAMINO DE FIG. GEO. Y GRANJA            </v>
          </cell>
          <cell r="D657" t="str">
            <v>DIAKO</v>
          </cell>
          <cell r="E657">
            <v>217.79999999999995</v>
          </cell>
          <cell r="F657">
            <v>252.64799999999994</v>
          </cell>
        </row>
        <row r="658">
          <cell r="A658">
            <v>654</v>
          </cell>
          <cell r="B658" t="str">
            <v xml:space="preserve">7502212380954   </v>
          </cell>
          <cell r="C658" t="str">
            <v xml:space="preserve">(7132-B) CAMINO DE NUMEROS Y VOCALES             </v>
          </cell>
          <cell r="D658" t="str">
            <v>DIAKO</v>
          </cell>
          <cell r="E658">
            <v>217.79999999999995</v>
          </cell>
          <cell r="F658">
            <v>252.64799999999994</v>
          </cell>
        </row>
        <row r="659">
          <cell r="A659">
            <v>655</v>
          </cell>
          <cell r="B659" t="str">
            <v xml:space="preserve">7502212380978   </v>
          </cell>
          <cell r="C659" t="str">
            <v xml:space="preserve">(2313-X) ALAMBRE SUPER 4 (24x24)cm               </v>
          </cell>
          <cell r="D659" t="str">
            <v>DIAKO</v>
          </cell>
          <cell r="E659">
            <v>283.8</v>
          </cell>
          <cell r="F659">
            <v>329.20799999999997</v>
          </cell>
        </row>
        <row r="660">
          <cell r="A660">
            <v>656</v>
          </cell>
          <cell r="B660" t="str">
            <v xml:space="preserve">7502212380985   </v>
          </cell>
          <cell r="C660" t="str">
            <v xml:space="preserve">(3122-O) MI PRIMER DOMINO GRANJA                 </v>
          </cell>
          <cell r="D660" t="str">
            <v>DIAKO</v>
          </cell>
          <cell r="E660">
            <v>173.25</v>
          </cell>
          <cell r="F660">
            <v>200.96999999999997</v>
          </cell>
        </row>
        <row r="661">
          <cell r="A661">
            <v>657</v>
          </cell>
          <cell r="B661" t="str">
            <v xml:space="preserve">7502212380992   </v>
          </cell>
          <cell r="C661" t="str">
            <v xml:space="preserve">(1613-K) MESA DE ALAMBRE GRANDE                  </v>
          </cell>
          <cell r="D661" t="str">
            <v>DIAKO</v>
          </cell>
          <cell r="E661">
            <v>1372.7999999999997</v>
          </cell>
          <cell r="F661">
            <v>1592.4479999999996</v>
          </cell>
        </row>
        <row r="662">
          <cell r="A662">
            <v>658</v>
          </cell>
          <cell r="B662" t="str">
            <v xml:space="preserve">7502212381005   </v>
          </cell>
          <cell r="C662" t="str">
            <v xml:space="preserve">(1713-M) MESA DE ALAMBRE CHICA                   </v>
          </cell>
          <cell r="D662" t="str">
            <v>DIAKO</v>
          </cell>
          <cell r="E662">
            <v>1022.9999999999999</v>
          </cell>
          <cell r="F662">
            <v>1186.6799999999998</v>
          </cell>
        </row>
        <row r="663">
          <cell r="A663">
            <v>659</v>
          </cell>
          <cell r="B663" t="str">
            <v xml:space="preserve">7502212381098   </v>
          </cell>
          <cell r="C663" t="str">
            <v xml:space="preserve">(9731-A) JUGUETERO CON ALAMBRES                  </v>
          </cell>
          <cell r="D663" t="str">
            <v>DIAKO</v>
          </cell>
          <cell r="E663">
            <v>981.75</v>
          </cell>
          <cell r="F663">
            <v>1138.83</v>
          </cell>
        </row>
        <row r="664">
          <cell r="A664">
            <v>660</v>
          </cell>
          <cell r="B664" t="str">
            <v xml:space="preserve">7502212381111   </v>
          </cell>
          <cell r="C664" t="str">
            <v xml:space="preserve">(2413-L) ALAMBRE FIGURAS GEOMETRICAS             </v>
          </cell>
          <cell r="D664" t="str">
            <v>DIAKO</v>
          </cell>
          <cell r="E664">
            <v>316.79999999999995</v>
          </cell>
          <cell r="F664">
            <v>367.48799999999994</v>
          </cell>
        </row>
        <row r="665">
          <cell r="A665">
            <v>661</v>
          </cell>
          <cell r="B665" t="str">
            <v xml:space="preserve">7502212381142   </v>
          </cell>
          <cell r="C665" t="str">
            <v xml:space="preserve">(5009-T) R.C. DEL TIEMPO (20x30)cm               </v>
          </cell>
          <cell r="D665" t="str">
            <v>DIAKO</v>
          </cell>
          <cell r="E665">
            <v>107.24999999999999</v>
          </cell>
          <cell r="F665">
            <v>124.40999999999998</v>
          </cell>
        </row>
        <row r="666">
          <cell r="A666">
            <v>662</v>
          </cell>
          <cell r="B666" t="str">
            <v xml:space="preserve">7502212381159   </v>
          </cell>
          <cell r="C666" t="str">
            <v xml:space="preserve">(2414-M) ALAMBRE DE GRANJA (24x24x30)            </v>
          </cell>
          <cell r="D666" t="str">
            <v>DIAKO</v>
          </cell>
          <cell r="E666">
            <v>316.79999999999995</v>
          </cell>
          <cell r="F666">
            <v>367.48799999999994</v>
          </cell>
        </row>
        <row r="667">
          <cell r="A667">
            <v>663</v>
          </cell>
          <cell r="B667" t="str">
            <v xml:space="preserve">7502212381166   </v>
          </cell>
          <cell r="C667" t="str">
            <v xml:space="preserve">ALAMBRE DE CARA (24x24x30)              </v>
          </cell>
          <cell r="D667" t="str">
            <v>DIAKO</v>
          </cell>
          <cell r="E667">
            <v>325.21551724137936</v>
          </cell>
          <cell r="F667">
            <v>377.25</v>
          </cell>
        </row>
        <row r="668">
          <cell r="A668">
            <v>664</v>
          </cell>
          <cell r="B668" t="str">
            <v xml:space="preserve">7502212381173   </v>
          </cell>
          <cell r="C668" t="str">
            <v xml:space="preserve">(2836-B) SUPER RATON (30x24x12)cm                </v>
          </cell>
          <cell r="D668" t="str">
            <v>DIAKO</v>
          </cell>
          <cell r="E668">
            <v>156.75</v>
          </cell>
          <cell r="F668">
            <v>181.82999999999998</v>
          </cell>
        </row>
        <row r="669">
          <cell r="A669">
            <v>665</v>
          </cell>
          <cell r="B669" t="str">
            <v xml:space="preserve">7502212381258   </v>
          </cell>
          <cell r="C669" t="str">
            <v xml:space="preserve">(1713-K) CENTRO CADI (40x50x90)cm                </v>
          </cell>
          <cell r="D669" t="str">
            <v>DIAKO</v>
          </cell>
          <cell r="E669">
            <v>1757.2499999999998</v>
          </cell>
          <cell r="F669">
            <v>2038.4099999999996</v>
          </cell>
        </row>
        <row r="670">
          <cell r="A670">
            <v>666</v>
          </cell>
          <cell r="B670" t="str">
            <v xml:space="preserve">7502212381388   </v>
          </cell>
          <cell r="C670" t="str">
            <v xml:space="preserve">(6126-B) TABLAS DE MULTIPLICAR 6-9 (22x30)cm     </v>
          </cell>
          <cell r="D670" t="str">
            <v>DIAKO</v>
          </cell>
          <cell r="E670">
            <v>107.24999999999999</v>
          </cell>
          <cell r="F670">
            <v>124.40999999999998</v>
          </cell>
        </row>
        <row r="671">
          <cell r="A671">
            <v>667</v>
          </cell>
          <cell r="B671" t="str">
            <v xml:space="preserve">7502212381395   </v>
          </cell>
          <cell r="C671" t="str">
            <v xml:space="preserve">(2416-H) ALAMBRE NUMEROS                         </v>
          </cell>
          <cell r="D671" t="str">
            <v>DIAKO</v>
          </cell>
          <cell r="E671">
            <v>316.79999999999995</v>
          </cell>
          <cell r="F671">
            <v>367.48799999999994</v>
          </cell>
        </row>
        <row r="672">
          <cell r="A672">
            <v>668</v>
          </cell>
          <cell r="B672" t="str">
            <v xml:space="preserve">7502212381401   </v>
          </cell>
          <cell r="C672" t="str">
            <v xml:space="preserve">(2417-J) ALAMBRE CABECITAS                       </v>
          </cell>
          <cell r="D672" t="str">
            <v>DIAKO</v>
          </cell>
          <cell r="E672">
            <v>316.79999999999995</v>
          </cell>
          <cell r="F672">
            <v>367.48799999999994</v>
          </cell>
        </row>
        <row r="673">
          <cell r="A673">
            <v>669</v>
          </cell>
          <cell r="B673" t="str">
            <v xml:space="preserve">7502212381418   </v>
          </cell>
          <cell r="C673" t="str">
            <v xml:space="preserve">(2418-L) ALAMBRE TREN                            </v>
          </cell>
          <cell r="D673" t="str">
            <v>DIAKO</v>
          </cell>
          <cell r="E673">
            <v>217.79999999999995</v>
          </cell>
          <cell r="F673">
            <v>252.64799999999994</v>
          </cell>
        </row>
        <row r="674">
          <cell r="A674">
            <v>670</v>
          </cell>
          <cell r="B674" t="str">
            <v xml:space="preserve">7502212381425   </v>
          </cell>
          <cell r="C674" t="str">
            <v xml:space="preserve">(2419-O) ALAMBRE RALLY                           </v>
          </cell>
          <cell r="D674" t="str">
            <v>DIAKO</v>
          </cell>
          <cell r="E674">
            <v>217.79999999999995</v>
          </cell>
          <cell r="F674">
            <v>252.64799999999994</v>
          </cell>
        </row>
        <row r="675">
          <cell r="A675">
            <v>671</v>
          </cell>
          <cell r="B675" t="str">
            <v xml:space="preserve">7502212381432   </v>
          </cell>
          <cell r="C675" t="str">
            <v xml:space="preserve">(2420-M) ALAMBRE ELEFANTE                        </v>
          </cell>
          <cell r="D675" t="str">
            <v>DIAKO</v>
          </cell>
          <cell r="E675">
            <v>217.79999999999995</v>
          </cell>
          <cell r="F675">
            <v>252.64799999999994</v>
          </cell>
        </row>
        <row r="676">
          <cell r="A676">
            <v>672</v>
          </cell>
          <cell r="B676" t="str">
            <v xml:space="preserve">7502212381449   </v>
          </cell>
          <cell r="C676" t="str">
            <v xml:space="preserve">(1414-A) ALAMBRE ROLLER                          </v>
          </cell>
          <cell r="D676" t="str">
            <v>DIAKO</v>
          </cell>
          <cell r="E676">
            <v>135.29999999999998</v>
          </cell>
          <cell r="F676">
            <v>156.94799999999998</v>
          </cell>
        </row>
        <row r="677">
          <cell r="A677">
            <v>673</v>
          </cell>
          <cell r="B677" t="str">
            <v xml:space="preserve">7502212381456   </v>
          </cell>
          <cell r="C677" t="str">
            <v xml:space="preserve">(7224-T) R.C. 4x4 TRANSPORTES                    </v>
          </cell>
          <cell r="D677" t="str">
            <v>DIAKO</v>
          </cell>
          <cell r="E677">
            <v>123.75</v>
          </cell>
          <cell r="F677">
            <v>143.54999999999998</v>
          </cell>
        </row>
        <row r="678">
          <cell r="A678">
            <v>674</v>
          </cell>
          <cell r="B678" t="str">
            <v xml:space="preserve">7502212381470   </v>
          </cell>
          <cell r="C678" t="str">
            <v xml:space="preserve">(7226-G) R.C. 4x4 GRANJA                         </v>
          </cell>
          <cell r="D678" t="str">
            <v>DIAKO</v>
          </cell>
          <cell r="E678">
            <v>123.75</v>
          </cell>
          <cell r="F678">
            <v>143.54999999999998</v>
          </cell>
        </row>
        <row r="679">
          <cell r="A679">
            <v>675</v>
          </cell>
          <cell r="B679" t="str">
            <v xml:space="preserve">7502212381487   </v>
          </cell>
          <cell r="C679" t="str">
            <v xml:space="preserve">(6490-A) PIRAMIDES                                </v>
          </cell>
          <cell r="D679" t="str">
            <v>DIAKO</v>
          </cell>
          <cell r="E679">
            <v>158.39999999999998</v>
          </cell>
          <cell r="F679">
            <v>183.74399999999997</v>
          </cell>
        </row>
        <row r="680">
          <cell r="A680">
            <v>676</v>
          </cell>
          <cell r="B680" t="str">
            <v xml:space="preserve">7502212381494   </v>
          </cell>
          <cell r="C680" t="str">
            <v xml:space="preserve">(2923-K) MEMORAMA Y LOTERIA ABC                  </v>
          </cell>
          <cell r="D680" t="str">
            <v>DIAKO</v>
          </cell>
          <cell r="E680">
            <v>217.79999999999995</v>
          </cell>
          <cell r="F680">
            <v>252.64799999999994</v>
          </cell>
        </row>
        <row r="681">
          <cell r="A681">
            <v>677</v>
          </cell>
          <cell r="B681" t="str">
            <v xml:space="preserve">7502212381500   </v>
          </cell>
          <cell r="C681" t="str">
            <v xml:space="preserve">(2924-I) MEMORAMA PARTES DEL CUERPO              </v>
          </cell>
          <cell r="D681" t="str">
            <v>DIAKO</v>
          </cell>
          <cell r="E681">
            <v>125.4</v>
          </cell>
          <cell r="F681">
            <v>145.464</v>
          </cell>
        </row>
        <row r="682">
          <cell r="A682">
            <v>678</v>
          </cell>
          <cell r="B682" t="str">
            <v xml:space="preserve">7502212381517   </v>
          </cell>
          <cell r="C682" t="str">
            <v xml:space="preserve">(7223-D) LA FAMILIA                              </v>
          </cell>
          <cell r="D682" t="str">
            <v>DIAKO</v>
          </cell>
          <cell r="E682">
            <v>107.24999999999999</v>
          </cell>
          <cell r="F682">
            <v>124.40999999999998</v>
          </cell>
        </row>
        <row r="683">
          <cell r="A683">
            <v>679</v>
          </cell>
          <cell r="B683" t="str">
            <v xml:space="preserve">7502212381524   </v>
          </cell>
          <cell r="C683" t="str">
            <v xml:space="preserve">(7225-F) R.C. 4x4 FRUTAS                         </v>
          </cell>
          <cell r="D683" t="str">
            <v>DIAKO</v>
          </cell>
          <cell r="E683">
            <v>123.75</v>
          </cell>
          <cell r="F683">
            <v>143.54999999999998</v>
          </cell>
        </row>
        <row r="684">
          <cell r="A684">
            <v>680</v>
          </cell>
          <cell r="B684" t="str">
            <v xml:space="preserve">7502212381548   </v>
          </cell>
          <cell r="C684" t="str">
            <v xml:space="preserve">(7223-A) R.C. ANIMALOCOS No 2 ( 20x30)cm         </v>
          </cell>
          <cell r="D684" t="str">
            <v>DIAKO</v>
          </cell>
          <cell r="E684">
            <v>107.24999999999999</v>
          </cell>
          <cell r="F684">
            <v>124.40999999999998</v>
          </cell>
        </row>
        <row r="685">
          <cell r="A685">
            <v>681</v>
          </cell>
          <cell r="B685" t="str">
            <v xml:space="preserve">7502212381555   </v>
          </cell>
          <cell r="C685" t="str">
            <v xml:space="preserve">(3122-M) MEMORAMA DE ANIMALES                    </v>
          </cell>
          <cell r="D685" t="str">
            <v>DIAKO</v>
          </cell>
          <cell r="E685">
            <v>125.4</v>
          </cell>
          <cell r="F685">
            <v>145.464</v>
          </cell>
        </row>
        <row r="686">
          <cell r="A686">
            <v>682</v>
          </cell>
          <cell r="B686" t="str">
            <v xml:space="preserve">7502212381562   </v>
          </cell>
          <cell r="C686" t="str">
            <v xml:space="preserve">(3221-D) DOMINO TRADICIONAL                      </v>
          </cell>
          <cell r="D686" t="str">
            <v>DIAKO</v>
          </cell>
          <cell r="E686">
            <v>118.8</v>
          </cell>
          <cell r="F686">
            <v>137.80799999999999</v>
          </cell>
        </row>
        <row r="687">
          <cell r="A687">
            <v>683</v>
          </cell>
          <cell r="B687" t="str">
            <v xml:space="preserve">7502212381586   </v>
          </cell>
          <cell r="C687" t="str">
            <v xml:space="preserve">(2842-S) SUPER TORRE (DIAKO)                     </v>
          </cell>
          <cell r="D687" t="str">
            <v>DIAKO</v>
          </cell>
          <cell r="E687">
            <v>142.67241379310346</v>
          </cell>
          <cell r="F687">
            <v>165.5</v>
          </cell>
        </row>
        <row r="688">
          <cell r="A688">
            <v>684</v>
          </cell>
          <cell r="B688" t="str">
            <v xml:space="preserve">7502212381593   </v>
          </cell>
          <cell r="C688" t="str">
            <v xml:space="preserve">(7227-A) CUENTA Y ARMA LOS NUMEROS               </v>
          </cell>
          <cell r="D688" t="str">
            <v>DIAKO</v>
          </cell>
          <cell r="E688">
            <v>135.29999999999998</v>
          </cell>
          <cell r="F688">
            <v>156.94799999999998</v>
          </cell>
        </row>
        <row r="689">
          <cell r="A689">
            <v>685</v>
          </cell>
          <cell r="B689" t="str">
            <v xml:space="preserve">7502212381609   </v>
          </cell>
          <cell r="C689" t="str">
            <v xml:space="preserve">R.C. EL RELOJ                           </v>
          </cell>
          <cell r="D689" t="str">
            <v>DIAKO</v>
          </cell>
          <cell r="E689">
            <v>0</v>
          </cell>
          <cell r="F689">
            <v>0</v>
          </cell>
        </row>
        <row r="690">
          <cell r="A690">
            <v>686</v>
          </cell>
          <cell r="B690" t="str">
            <v xml:space="preserve">7502212381616   </v>
          </cell>
          <cell r="C690" t="str">
            <v xml:space="preserve">(1513-B) ALAMBRE BRINCOLIN                       </v>
          </cell>
          <cell r="D690" t="str">
            <v>DIAKO</v>
          </cell>
          <cell r="E690">
            <v>194.5344827586207</v>
          </cell>
          <cell r="F690">
            <v>225.66</v>
          </cell>
        </row>
        <row r="691">
          <cell r="A691">
            <v>687</v>
          </cell>
          <cell r="B691" t="str">
            <v xml:space="preserve">7502212381623   </v>
          </cell>
          <cell r="C691" t="str">
            <v xml:space="preserve">(3124-D) MI PRIMER DOMINO DINOSAURIO                </v>
          </cell>
          <cell r="D691" t="str">
            <v>DIAKO</v>
          </cell>
          <cell r="E691">
            <v>173.25</v>
          </cell>
          <cell r="F691">
            <v>200.96999999999997</v>
          </cell>
        </row>
        <row r="692">
          <cell r="A692">
            <v>688</v>
          </cell>
          <cell r="B692" t="str">
            <v xml:space="preserve">7502212381708   </v>
          </cell>
          <cell r="C692" t="str">
            <v xml:space="preserve">(4810-D) R.C. DINOSAURIOS                        </v>
          </cell>
          <cell r="D692" t="str">
            <v>DIAKO</v>
          </cell>
          <cell r="E692">
            <v>107.24999999999999</v>
          </cell>
          <cell r="F692">
            <v>124.40999999999998</v>
          </cell>
        </row>
        <row r="693">
          <cell r="A693">
            <v>689</v>
          </cell>
          <cell r="B693" t="str">
            <v xml:space="preserve">7502212381715   </v>
          </cell>
          <cell r="C693" t="str">
            <v xml:space="preserve">(7226-H) R.C. 4x4 DINOSAURIOS                    </v>
          </cell>
          <cell r="D693" t="str">
            <v>DIAKO</v>
          </cell>
          <cell r="E693">
            <v>123.75</v>
          </cell>
          <cell r="F693">
            <v>143.54999999999998</v>
          </cell>
        </row>
        <row r="694">
          <cell r="A694">
            <v>690</v>
          </cell>
          <cell r="B694" t="str">
            <v xml:space="preserve">7502212381739   </v>
          </cell>
          <cell r="C694" t="str">
            <v xml:space="preserve">1514-R) ALAMBRE RESORTIN                        </v>
          </cell>
          <cell r="D694" t="str">
            <v>DIAKO</v>
          </cell>
          <cell r="E694">
            <v>230.17241379310346</v>
          </cell>
          <cell r="F694">
            <v>267</v>
          </cell>
        </row>
        <row r="695">
          <cell r="A695">
            <v>691</v>
          </cell>
          <cell r="B695" t="str">
            <v xml:space="preserve">7502212381753   </v>
          </cell>
          <cell r="C695" t="str">
            <v xml:space="preserve">(3035-A) OPUESTOS                                </v>
          </cell>
          <cell r="D695" t="str">
            <v>DIAKO</v>
          </cell>
          <cell r="E695">
            <v>135.29999999999998</v>
          </cell>
          <cell r="F695">
            <v>156.94799999999998</v>
          </cell>
        </row>
        <row r="696">
          <cell r="A696">
            <v>692</v>
          </cell>
          <cell r="B696" t="str">
            <v xml:space="preserve">7502212381760   </v>
          </cell>
          <cell r="C696" t="str">
            <v xml:space="preserve">(3036-B) ASOCIACION                              </v>
          </cell>
          <cell r="D696" t="str">
            <v>DIAKO</v>
          </cell>
          <cell r="E696">
            <v>135.29999999999998</v>
          </cell>
          <cell r="F696">
            <v>156.94799999999998</v>
          </cell>
        </row>
        <row r="697">
          <cell r="A697">
            <v>693</v>
          </cell>
          <cell r="B697" t="str">
            <v xml:space="preserve">7502212381777   </v>
          </cell>
          <cell r="C697" t="str">
            <v xml:space="preserve">(2740-A) EL CIRCO                                </v>
          </cell>
          <cell r="D697" t="str">
            <v>DIAKO</v>
          </cell>
          <cell r="E697">
            <v>107.24999999999999</v>
          </cell>
          <cell r="F697">
            <v>124.40999999999998</v>
          </cell>
        </row>
        <row r="698">
          <cell r="A698">
            <v>694</v>
          </cell>
          <cell r="B698" t="str">
            <v xml:space="preserve">7502212381784   </v>
          </cell>
          <cell r="C698" t="str">
            <v xml:space="preserve">(7285-C) TANGRAM CON PLANTILLAS                  </v>
          </cell>
          <cell r="D698" t="str">
            <v>DIAKO</v>
          </cell>
          <cell r="E698">
            <v>151.80000000000001</v>
          </cell>
          <cell r="F698">
            <v>176.08799999999999</v>
          </cell>
        </row>
        <row r="699">
          <cell r="A699">
            <v>695</v>
          </cell>
          <cell r="B699" t="str">
            <v xml:space="preserve">7502212381791   </v>
          </cell>
          <cell r="C699" t="str">
            <v xml:space="preserve">(7255-A) EL JUEGO DEL 5                          </v>
          </cell>
          <cell r="D699" t="str">
            <v>DIAKO</v>
          </cell>
          <cell r="E699">
            <v>161.69999999999999</v>
          </cell>
          <cell r="F699">
            <v>187.57199999999997</v>
          </cell>
        </row>
        <row r="700">
          <cell r="A700">
            <v>696</v>
          </cell>
          <cell r="B700" t="str">
            <v xml:space="preserve">7502212381807   </v>
          </cell>
          <cell r="C700" t="str">
            <v xml:space="preserve">(7323-A) MI GRANJITA FELIZ                       </v>
          </cell>
          <cell r="D700" t="str">
            <v>DIAKO</v>
          </cell>
          <cell r="E700">
            <v>158.39999999999998</v>
          </cell>
          <cell r="F700">
            <v>183.74399999999997</v>
          </cell>
        </row>
        <row r="701">
          <cell r="A701">
            <v>697</v>
          </cell>
          <cell r="B701" t="str">
            <v xml:space="preserve">750221238183    </v>
          </cell>
          <cell r="C701" t="str">
            <v xml:space="preserve">(2732-B) JUEGO DE GATO GRANJA                    </v>
          </cell>
          <cell r="D701" t="str">
            <v>DIAKO</v>
          </cell>
          <cell r="E701">
            <v>107.24999999999999</v>
          </cell>
          <cell r="F701">
            <v>124.40999999999998</v>
          </cell>
        </row>
        <row r="702">
          <cell r="A702">
            <v>698</v>
          </cell>
          <cell r="B702" t="str">
            <v xml:space="preserve">750221238184    </v>
          </cell>
          <cell r="C702" t="str">
            <v xml:space="preserve">JUEGO DE GATO MARCIANOS                 </v>
          </cell>
          <cell r="D702" t="str">
            <v>DIAKO</v>
          </cell>
          <cell r="E702">
            <v>107.24999999999999</v>
          </cell>
          <cell r="F702">
            <v>124.40999999999998</v>
          </cell>
        </row>
        <row r="703">
          <cell r="A703">
            <v>699</v>
          </cell>
          <cell r="B703" t="str">
            <v xml:space="preserve">750221238185    </v>
          </cell>
          <cell r="C703" t="str">
            <v xml:space="preserve">JUEGO DE GATO MASCOTAS                  </v>
          </cell>
          <cell r="D703" t="str">
            <v>DIAKO</v>
          </cell>
          <cell r="E703">
            <v>107.24999999999999</v>
          </cell>
          <cell r="F703">
            <v>124.40999999999998</v>
          </cell>
        </row>
        <row r="704">
          <cell r="A704">
            <v>700</v>
          </cell>
          <cell r="B704" t="str">
            <v xml:space="preserve">750221238186    </v>
          </cell>
          <cell r="C704" t="str">
            <v xml:space="preserve">JUEGO DE GATO POLLOS                    </v>
          </cell>
          <cell r="D704" t="str">
            <v>DIAKO</v>
          </cell>
          <cell r="E704">
            <v>107.24999999999999</v>
          </cell>
          <cell r="F704">
            <v>124.40999999999998</v>
          </cell>
        </row>
        <row r="705">
          <cell r="A705">
            <v>701</v>
          </cell>
          <cell r="B705" t="str">
            <v xml:space="preserve">7502212381876   </v>
          </cell>
          <cell r="C705" t="str">
            <v xml:space="preserve">(8420-A) AMARRA Y CORRE                          </v>
          </cell>
          <cell r="D705" t="str">
            <v>DIAKO</v>
          </cell>
          <cell r="E705">
            <v>141.9</v>
          </cell>
          <cell r="F705">
            <v>164.60399999999998</v>
          </cell>
        </row>
        <row r="706">
          <cell r="A706">
            <v>702</v>
          </cell>
          <cell r="B706" t="str">
            <v xml:space="preserve">7502212384075   </v>
          </cell>
          <cell r="C706" t="str">
            <v xml:space="preserve">(8407-C) CUBO ABC                                </v>
          </cell>
          <cell r="D706" t="str">
            <v>DIAKO</v>
          </cell>
          <cell r="E706">
            <v>151.80000000000001</v>
          </cell>
          <cell r="F706">
            <v>176.08799999999999</v>
          </cell>
        </row>
        <row r="707">
          <cell r="A707">
            <v>703</v>
          </cell>
          <cell r="B707" t="str">
            <v xml:space="preserve">7502212384259   </v>
          </cell>
          <cell r="C707" t="str">
            <v xml:space="preserve">(8901-A) MI PRIMER PICK UP             </v>
          </cell>
          <cell r="D707" t="str">
            <v>DIAKO</v>
          </cell>
          <cell r="E707">
            <v>1179.75</v>
          </cell>
          <cell r="F707">
            <v>1368.51</v>
          </cell>
        </row>
        <row r="708">
          <cell r="A708">
            <v>704</v>
          </cell>
          <cell r="B708" t="str">
            <v xml:space="preserve">8410446410011   </v>
          </cell>
          <cell r="C708" t="str">
            <v xml:space="preserve">R.C. MACROPUZZLE 24Pz. (41001)          </v>
          </cell>
          <cell r="D708" t="str">
            <v>DISET</v>
          </cell>
          <cell r="E708">
            <v>184.79999999999998</v>
          </cell>
          <cell r="F708">
            <v>214.36799999999997</v>
          </cell>
        </row>
        <row r="709">
          <cell r="A709">
            <v>705</v>
          </cell>
          <cell r="B709" t="str">
            <v xml:space="preserve">8410446410028   </v>
          </cell>
          <cell r="C709" t="str">
            <v xml:space="preserve">R.C. MACROPUZZLE 24Pz. (41002)          </v>
          </cell>
          <cell r="D709" t="str">
            <v>DISET</v>
          </cell>
          <cell r="E709">
            <v>184.79999999999998</v>
          </cell>
          <cell r="F709">
            <v>214.36799999999997</v>
          </cell>
        </row>
        <row r="710">
          <cell r="A710">
            <v>706</v>
          </cell>
          <cell r="B710" t="str">
            <v xml:space="preserve">8410446410110   </v>
          </cell>
          <cell r="C710" t="str">
            <v xml:space="preserve">MACRO PUZZLE TREN  (41011)              </v>
          </cell>
          <cell r="D710" t="str">
            <v>DISET</v>
          </cell>
          <cell r="E710">
            <v>184.79999999999998</v>
          </cell>
          <cell r="F710">
            <v>214.36799999999997</v>
          </cell>
        </row>
        <row r="711">
          <cell r="A711">
            <v>707</v>
          </cell>
          <cell r="B711" t="str">
            <v xml:space="preserve">8410446410127   </v>
          </cell>
          <cell r="C711" t="str">
            <v xml:space="preserve">MACRO PUZZLE GRANJA (41012)             </v>
          </cell>
          <cell r="D711" t="str">
            <v>DISET</v>
          </cell>
          <cell r="E711">
            <v>184.79999999999998</v>
          </cell>
          <cell r="F711">
            <v>214.36799999999997</v>
          </cell>
        </row>
        <row r="712">
          <cell r="A712">
            <v>708</v>
          </cell>
          <cell r="B712" t="str">
            <v xml:space="preserve">8410446453018   </v>
          </cell>
          <cell r="C712" t="str">
            <v xml:space="preserve">LA RUEDA DE LOS ALIMENTOS (45301)       </v>
          </cell>
          <cell r="D712" t="str">
            <v>DISET</v>
          </cell>
          <cell r="E712">
            <v>202.94999999999996</v>
          </cell>
          <cell r="F712">
            <v>235.42199999999994</v>
          </cell>
        </row>
        <row r="713">
          <cell r="A713">
            <v>709</v>
          </cell>
          <cell r="B713" t="str">
            <v xml:space="preserve">8410446453025   </v>
          </cell>
          <cell r="C713" t="str">
            <v xml:space="preserve">MEMO DE LOS ALIMENTOS (45302)           </v>
          </cell>
          <cell r="D713" t="str">
            <v>DISET</v>
          </cell>
          <cell r="E713">
            <v>202.94999999999996</v>
          </cell>
          <cell r="F713">
            <v>235.42199999999994</v>
          </cell>
        </row>
        <row r="714">
          <cell r="A714">
            <v>710</v>
          </cell>
          <cell r="B714" t="str">
            <v xml:space="preserve">8410446453032   </v>
          </cell>
          <cell r="C714" t="str">
            <v xml:space="preserve">PLATOS SALUDABLES (45303)               </v>
          </cell>
          <cell r="D714" t="str">
            <v>DISET</v>
          </cell>
          <cell r="E714">
            <v>202.94999999999996</v>
          </cell>
          <cell r="F714">
            <v>235.42199999999994</v>
          </cell>
        </row>
        <row r="715">
          <cell r="A715">
            <v>711</v>
          </cell>
          <cell r="B715" t="str">
            <v xml:space="preserve">8410446453049   </v>
          </cell>
          <cell r="C715" t="str">
            <v xml:space="preserve">LOTTO MERCADO (45304)                   </v>
          </cell>
          <cell r="D715" t="str">
            <v>DISET</v>
          </cell>
          <cell r="E715">
            <v>202.94999999999996</v>
          </cell>
          <cell r="F715">
            <v>235.42199999999994</v>
          </cell>
        </row>
        <row r="716">
          <cell r="A716">
            <v>712</v>
          </cell>
          <cell r="B716" t="str">
            <v xml:space="preserve">8410446633014   </v>
          </cell>
          <cell r="C716" t="str">
            <v xml:space="preserve">CONTAR HASTA 10 (63301)                 </v>
          </cell>
          <cell r="D716" t="str">
            <v>DISET</v>
          </cell>
          <cell r="E716">
            <v>141.9</v>
          </cell>
          <cell r="F716">
            <v>164.60399999999998</v>
          </cell>
        </row>
        <row r="717">
          <cell r="A717">
            <v>713</v>
          </cell>
          <cell r="B717" t="str">
            <v xml:space="preserve">8410446633076   </v>
          </cell>
          <cell r="C717" t="str">
            <v xml:space="preserve">GIRO FORM (63307)                       </v>
          </cell>
          <cell r="D717" t="str">
            <v>DISET</v>
          </cell>
          <cell r="E717">
            <v>168.29999999999998</v>
          </cell>
          <cell r="F717">
            <v>195.22799999999998</v>
          </cell>
        </row>
        <row r="718">
          <cell r="A718">
            <v>714</v>
          </cell>
          <cell r="B718" t="str">
            <v xml:space="preserve">8410446633083   </v>
          </cell>
          <cell r="C718" t="str">
            <v xml:space="preserve">GIRO COLOR (63308)                      </v>
          </cell>
          <cell r="D718" t="str">
            <v>DISET</v>
          </cell>
          <cell r="E718">
            <v>169.95</v>
          </cell>
          <cell r="F718">
            <v>197.14199999999997</v>
          </cell>
        </row>
        <row r="719">
          <cell r="A719">
            <v>715</v>
          </cell>
          <cell r="B719" t="str">
            <v xml:space="preserve">8410446634912   </v>
          </cell>
          <cell r="C719" t="str">
            <v xml:space="preserve">DOMINO ANIMALES Y PUNTOS (63491)        </v>
          </cell>
          <cell r="D719" t="str">
            <v>DISET</v>
          </cell>
          <cell r="E719">
            <v>193.05</v>
          </cell>
          <cell r="F719">
            <v>223.93799999999999</v>
          </cell>
        </row>
        <row r="720">
          <cell r="A720">
            <v>716</v>
          </cell>
          <cell r="B720" t="str">
            <v xml:space="preserve">8410446636329   </v>
          </cell>
          <cell r="C720" t="str">
            <v xml:space="preserve">PINTA CON EL DEDO (63632)               </v>
          </cell>
          <cell r="D720" t="str">
            <v>DISET</v>
          </cell>
          <cell r="E720">
            <v>168.29999999999998</v>
          </cell>
          <cell r="F720">
            <v>195.22799999999998</v>
          </cell>
        </row>
        <row r="721">
          <cell r="A721">
            <v>717</v>
          </cell>
          <cell r="B721" t="str">
            <v xml:space="preserve">8410446636343   </v>
          </cell>
          <cell r="C721" t="str">
            <v xml:space="preserve">COLOREA BOLITAS (63634)                 </v>
          </cell>
          <cell r="D721" t="str">
            <v>DISET</v>
          </cell>
          <cell r="E721">
            <v>168.29999999999998</v>
          </cell>
          <cell r="F721">
            <v>195.22799999999998</v>
          </cell>
        </row>
        <row r="722">
          <cell r="A722">
            <v>718</v>
          </cell>
          <cell r="B722" t="str">
            <v xml:space="preserve">8410446636831   </v>
          </cell>
          <cell r="C722" t="str">
            <v xml:space="preserve">LAS SILABAS (63683)                     </v>
          </cell>
          <cell r="D722" t="str">
            <v>DISET</v>
          </cell>
          <cell r="E722">
            <v>169.95</v>
          </cell>
          <cell r="F722">
            <v>197.14199999999997</v>
          </cell>
        </row>
        <row r="723">
          <cell r="A723">
            <v>719</v>
          </cell>
          <cell r="B723" t="str">
            <v xml:space="preserve">8410446636879   </v>
          </cell>
          <cell r="C723" t="str">
            <v xml:space="preserve">LOTTO PHOTO (63687)                     </v>
          </cell>
          <cell r="D723" t="str">
            <v>DISET</v>
          </cell>
          <cell r="E723">
            <v>206.25</v>
          </cell>
          <cell r="F723">
            <v>239.25</v>
          </cell>
        </row>
        <row r="724">
          <cell r="A724">
            <v>720</v>
          </cell>
          <cell r="B724" t="str">
            <v xml:space="preserve">8410446636886   </v>
          </cell>
          <cell r="C724" t="str">
            <v xml:space="preserve">MEMO PHOTO (63688)                      </v>
          </cell>
          <cell r="D724" t="str">
            <v>DISET</v>
          </cell>
          <cell r="E724">
            <v>206.25</v>
          </cell>
          <cell r="F724">
            <v>239.25</v>
          </cell>
        </row>
        <row r="725">
          <cell r="A725">
            <v>721</v>
          </cell>
          <cell r="B725" t="str">
            <v xml:space="preserve">8410446636893   </v>
          </cell>
          <cell r="C725" t="str">
            <v xml:space="preserve">MI CUERPO (63689)                       </v>
          </cell>
          <cell r="D725" t="str">
            <v>DISET</v>
          </cell>
          <cell r="E725">
            <v>168.29999999999998</v>
          </cell>
          <cell r="F725">
            <v>195.22799999999998</v>
          </cell>
        </row>
        <row r="726">
          <cell r="A726">
            <v>722</v>
          </cell>
          <cell r="B726" t="str">
            <v xml:space="preserve">8410446637111   </v>
          </cell>
          <cell r="C726" t="str">
            <v xml:space="preserve">YO APRENDO LAS LETRAS (63711)           </v>
          </cell>
          <cell r="D726" t="str">
            <v>DISET</v>
          </cell>
          <cell r="E726">
            <v>193.05</v>
          </cell>
          <cell r="F726">
            <v>223.93799999999999</v>
          </cell>
        </row>
        <row r="727">
          <cell r="A727">
            <v>723</v>
          </cell>
          <cell r="B727" t="str">
            <v xml:space="preserve">8410446637128   </v>
          </cell>
          <cell r="C727" t="str">
            <v xml:space="preserve">YO APRENDO NUMEROS (63712)              </v>
          </cell>
          <cell r="D727" t="str">
            <v>DISET</v>
          </cell>
          <cell r="E727">
            <v>193.05</v>
          </cell>
          <cell r="F727">
            <v>223.93799999999999</v>
          </cell>
        </row>
        <row r="728">
          <cell r="A728">
            <v>724</v>
          </cell>
          <cell r="B728" t="str">
            <v xml:space="preserve">8410446637135   </v>
          </cell>
          <cell r="C728" t="str">
            <v xml:space="preserve">YO APRENDO COLORES Y FORMAS (63713)     </v>
          </cell>
          <cell r="D728" t="str">
            <v>DISET</v>
          </cell>
          <cell r="E728">
            <v>193.05</v>
          </cell>
          <cell r="F728">
            <v>223.93799999999999</v>
          </cell>
        </row>
        <row r="729">
          <cell r="A729">
            <v>725</v>
          </cell>
          <cell r="B729" t="str">
            <v xml:space="preserve">8410446637302   </v>
          </cell>
          <cell r="C729" t="str">
            <v xml:space="preserve">TABLAS DE MULTIPLICAR (63730)           </v>
          </cell>
          <cell r="D729" t="str">
            <v>DISET</v>
          </cell>
          <cell r="E729">
            <v>239.25</v>
          </cell>
          <cell r="F729">
            <v>277.52999999999997</v>
          </cell>
        </row>
        <row r="730">
          <cell r="A730">
            <v>726</v>
          </cell>
          <cell r="B730" t="str">
            <v xml:space="preserve">8410446637319   </v>
          </cell>
          <cell r="C730" t="str">
            <v xml:space="preserve">SUMAR Y RESTAR (63731)                  </v>
          </cell>
          <cell r="D730" t="str">
            <v>DISET</v>
          </cell>
          <cell r="E730">
            <v>239.25</v>
          </cell>
          <cell r="F730">
            <v>277.52999999999997</v>
          </cell>
        </row>
        <row r="731">
          <cell r="A731">
            <v>727</v>
          </cell>
          <cell r="B731" t="str">
            <v xml:space="preserve">8410446637326   </v>
          </cell>
          <cell r="C731" t="str">
            <v xml:space="preserve">ABECEDARIO (63732)                      </v>
          </cell>
          <cell r="D731" t="str">
            <v>DISET</v>
          </cell>
          <cell r="E731">
            <v>212.85</v>
          </cell>
          <cell r="F731">
            <v>246.90599999999998</v>
          </cell>
        </row>
        <row r="732">
          <cell r="A732">
            <v>728</v>
          </cell>
          <cell r="B732" t="str">
            <v xml:space="preserve">8410446637340   </v>
          </cell>
          <cell r="C732" t="str">
            <v xml:space="preserve">FORMA PALABRAS (63734)                  </v>
          </cell>
          <cell r="D732" t="str">
            <v>DISET</v>
          </cell>
          <cell r="E732">
            <v>239.25</v>
          </cell>
          <cell r="F732">
            <v>277.52999999999997</v>
          </cell>
        </row>
        <row r="733">
          <cell r="A733">
            <v>729</v>
          </cell>
          <cell r="B733" t="str">
            <v xml:space="preserve">8410446637357   </v>
          </cell>
          <cell r="C733" t="str">
            <v xml:space="preserve">INGLES BASICO (63735)                   </v>
          </cell>
          <cell r="D733" t="str">
            <v>DISET</v>
          </cell>
          <cell r="E733">
            <v>254.1</v>
          </cell>
          <cell r="F733">
            <v>294.75599999999997</v>
          </cell>
        </row>
        <row r="734">
          <cell r="A734">
            <v>730</v>
          </cell>
          <cell r="B734" t="str">
            <v xml:space="preserve">8410446638149   </v>
          </cell>
          <cell r="C734" t="str">
            <v xml:space="preserve">LECTRON TRAFFIC (63814)                 </v>
          </cell>
          <cell r="D734" t="str">
            <v>DISET</v>
          </cell>
          <cell r="E734">
            <v>254.1</v>
          </cell>
          <cell r="F734">
            <v>294.75599999999997</v>
          </cell>
        </row>
        <row r="735">
          <cell r="A735">
            <v>731</v>
          </cell>
          <cell r="B735" t="str">
            <v xml:space="preserve">8410446638156   </v>
          </cell>
          <cell r="C735" t="str">
            <v xml:space="preserve">LECTRON ENCICLOPEDIA (63815)            </v>
          </cell>
          <cell r="D735" t="str">
            <v>DISET</v>
          </cell>
          <cell r="E735">
            <v>254.1</v>
          </cell>
          <cell r="F735">
            <v>294.75599999999997</v>
          </cell>
        </row>
        <row r="736">
          <cell r="A736">
            <v>732</v>
          </cell>
          <cell r="B736" t="str">
            <v xml:space="preserve">8410446638163   </v>
          </cell>
          <cell r="C736" t="str">
            <v xml:space="preserve">LECTRON CONOCE TU CUERPO (63816)        </v>
          </cell>
          <cell r="D736" t="str">
            <v>DISET</v>
          </cell>
          <cell r="E736">
            <v>254.1</v>
          </cell>
          <cell r="F736">
            <v>294.75599999999997</v>
          </cell>
        </row>
        <row r="737">
          <cell r="A737">
            <v>733</v>
          </cell>
          <cell r="B737" t="str">
            <v xml:space="preserve">8410446638170   </v>
          </cell>
          <cell r="C737" t="str">
            <v xml:space="preserve">LECTRON  APRENDO INGLES (63817)         </v>
          </cell>
          <cell r="D737" t="str">
            <v>DISET</v>
          </cell>
          <cell r="E737">
            <v>254.1</v>
          </cell>
          <cell r="F737">
            <v>294.75599999999997</v>
          </cell>
        </row>
        <row r="738">
          <cell r="A738">
            <v>734</v>
          </cell>
          <cell r="B738" t="str">
            <v xml:space="preserve">8410446638187   </v>
          </cell>
          <cell r="C738" t="str">
            <v xml:space="preserve">LECTRON CONOCE TU ENTORNO  (63818)      </v>
          </cell>
          <cell r="D738" t="str">
            <v>DISET</v>
          </cell>
          <cell r="E738">
            <v>254.1</v>
          </cell>
          <cell r="F738">
            <v>294.75599999999997</v>
          </cell>
        </row>
        <row r="739">
          <cell r="A739">
            <v>735</v>
          </cell>
          <cell r="B739" t="str">
            <v xml:space="preserve">8410446638194   </v>
          </cell>
          <cell r="C739" t="str">
            <v xml:space="preserve">LECTRON TEMAS EDUCATIVOS (63819)        </v>
          </cell>
          <cell r="D739" t="str">
            <v>DISET</v>
          </cell>
          <cell r="E739">
            <v>254.1</v>
          </cell>
          <cell r="F739">
            <v>294.75599999999997</v>
          </cell>
        </row>
        <row r="740">
          <cell r="A740">
            <v>736</v>
          </cell>
          <cell r="B740" t="str">
            <v xml:space="preserve">8410446638385   </v>
          </cell>
          <cell r="C740" t="str">
            <v xml:space="preserve">MINI LECTRON INGLES (63838)             </v>
          </cell>
          <cell r="D740" t="str">
            <v>DISET</v>
          </cell>
          <cell r="E740">
            <v>147.67499999999998</v>
          </cell>
          <cell r="F740">
            <v>171.30299999999997</v>
          </cell>
        </row>
        <row r="741">
          <cell r="A741">
            <v>737</v>
          </cell>
          <cell r="B741" t="str">
            <v xml:space="preserve">8410446638729   </v>
          </cell>
          <cell r="C741" t="str">
            <v xml:space="preserve">LECTRON POCKET PLAYA (63872}            </v>
          </cell>
          <cell r="D741" t="str">
            <v>DISET</v>
          </cell>
          <cell r="E741">
            <v>135.29999999999998</v>
          </cell>
          <cell r="F741">
            <v>156.94799999999998</v>
          </cell>
        </row>
        <row r="742">
          <cell r="A742">
            <v>738</v>
          </cell>
          <cell r="B742" t="str">
            <v xml:space="preserve">8410446638736   </v>
          </cell>
          <cell r="C742" t="str">
            <v xml:space="preserve">LECTRON POCKET ANIMALES (63873)         </v>
          </cell>
          <cell r="D742" t="str">
            <v>DISET</v>
          </cell>
          <cell r="E742">
            <v>135.29999999999998</v>
          </cell>
          <cell r="F742">
            <v>156.94799999999998</v>
          </cell>
        </row>
        <row r="743">
          <cell r="A743">
            <v>739</v>
          </cell>
          <cell r="B743" t="str">
            <v xml:space="preserve">8410446638828   </v>
          </cell>
          <cell r="C743" t="str">
            <v xml:space="preserve">LECTRON TEMAS DE LOGICA (63882)         </v>
          </cell>
          <cell r="D743" t="str">
            <v>DISET</v>
          </cell>
          <cell r="E743">
            <v>254.1</v>
          </cell>
          <cell r="F743">
            <v>294.75599999999997</v>
          </cell>
        </row>
        <row r="744">
          <cell r="A744">
            <v>740</v>
          </cell>
          <cell r="B744" t="str">
            <v xml:space="preserve">8410446638835   </v>
          </cell>
          <cell r="C744" t="str">
            <v xml:space="preserve">LECTRON LAPIZ LOS ANIMALES (63883)      </v>
          </cell>
          <cell r="D744" t="str">
            <v>DISET</v>
          </cell>
          <cell r="E744">
            <v>254.1</v>
          </cell>
          <cell r="F744">
            <v>294.75599999999997</v>
          </cell>
        </row>
        <row r="745">
          <cell r="A745">
            <v>741</v>
          </cell>
          <cell r="B745" t="str">
            <v xml:space="preserve">8410446639016   </v>
          </cell>
          <cell r="C745" t="str">
            <v xml:space="preserve">SUMAR Y RESTAR (63901)                  </v>
          </cell>
          <cell r="D745" t="str">
            <v>DISET</v>
          </cell>
          <cell r="E745">
            <v>339.9</v>
          </cell>
          <cell r="F745">
            <v>394.28399999999993</v>
          </cell>
        </row>
        <row r="746">
          <cell r="A746">
            <v>742</v>
          </cell>
          <cell r="B746" t="str">
            <v xml:space="preserve">8410446689110   </v>
          </cell>
          <cell r="C746" t="str">
            <v xml:space="preserve">R.C. DISCOVER MAGIC 100Pz.(68911)       </v>
          </cell>
          <cell r="D746" t="str">
            <v>DISET</v>
          </cell>
          <cell r="E746">
            <v>254.1</v>
          </cell>
          <cell r="F746">
            <v>294.75599999999997</v>
          </cell>
        </row>
        <row r="747">
          <cell r="A747">
            <v>743</v>
          </cell>
          <cell r="B747" t="str">
            <v xml:space="preserve">8410446689127   </v>
          </cell>
          <cell r="C747" t="str">
            <v xml:space="preserve">R.C. DISCOVER MAGIC PRINCESAS 100Pz     </v>
          </cell>
          <cell r="D747" t="str">
            <v>DISET</v>
          </cell>
          <cell r="E747">
            <v>254.1</v>
          </cell>
          <cell r="F747">
            <v>294.75599999999997</v>
          </cell>
        </row>
        <row r="748">
          <cell r="A748">
            <v>744</v>
          </cell>
          <cell r="B748" t="str">
            <v xml:space="preserve">8410446689219   </v>
          </cell>
          <cell r="C748" t="str">
            <v xml:space="preserve">BOBBY DISCOVER GAFAS 70Pz (68921)       </v>
          </cell>
          <cell r="D748" t="str">
            <v>DISET</v>
          </cell>
          <cell r="E748">
            <v>214.49999999999997</v>
          </cell>
          <cell r="F748">
            <v>248.81999999999996</v>
          </cell>
        </row>
        <row r="749">
          <cell r="A749">
            <v>745</v>
          </cell>
          <cell r="B749" t="str">
            <v xml:space="preserve">8410446689226   </v>
          </cell>
          <cell r="C749" t="str">
            <v xml:space="preserve">RC KITTY DISCOVER GAFAS 70Pz (68922)    </v>
          </cell>
          <cell r="D749" t="str">
            <v>DISET</v>
          </cell>
          <cell r="E749">
            <v>214.49999999999997</v>
          </cell>
          <cell r="F749">
            <v>248.81999999999996</v>
          </cell>
        </row>
        <row r="750">
          <cell r="A750">
            <v>746</v>
          </cell>
          <cell r="B750" t="str">
            <v xml:space="preserve">8410446691663   </v>
          </cell>
          <cell r="C750" t="str">
            <v xml:space="preserve">RC MACRO PUZZLE (69166)                 </v>
          </cell>
          <cell r="D750" t="str">
            <v>DISET</v>
          </cell>
          <cell r="E750">
            <v>184.79999999999998</v>
          </cell>
          <cell r="F750">
            <v>214.36799999999997</v>
          </cell>
        </row>
        <row r="751">
          <cell r="A751">
            <v>747</v>
          </cell>
          <cell r="B751" t="str">
            <v xml:space="preserve">8410446691670   </v>
          </cell>
          <cell r="C751" t="str">
            <v xml:space="preserve">RC MACRO PUZZLE (69167)                 </v>
          </cell>
          <cell r="D751" t="str">
            <v>DISET</v>
          </cell>
          <cell r="E751">
            <v>184.79999999999998</v>
          </cell>
          <cell r="F751">
            <v>214.36799999999997</v>
          </cell>
        </row>
        <row r="752">
          <cell r="A752">
            <v>748</v>
          </cell>
          <cell r="B752" t="str">
            <v xml:space="preserve">8410446691830   </v>
          </cell>
          <cell r="C752" t="str">
            <v xml:space="preserve">RC CUBIC PUZZLE (69183)                 </v>
          </cell>
          <cell r="D752" t="str">
            <v>DISET</v>
          </cell>
          <cell r="E752">
            <v>168.29999999999998</v>
          </cell>
          <cell r="F752">
            <v>195.22799999999998</v>
          </cell>
        </row>
        <row r="753">
          <cell r="A753">
            <v>749</v>
          </cell>
          <cell r="B753" t="str">
            <v xml:space="preserve">8410446691847   </v>
          </cell>
          <cell r="C753" t="str">
            <v xml:space="preserve">RC CUBIC PUZZLE FANTASY (69184)         </v>
          </cell>
          <cell r="D753" t="str">
            <v>DISET</v>
          </cell>
          <cell r="E753">
            <v>168.29999999999998</v>
          </cell>
          <cell r="F753">
            <v>195.22799999999998</v>
          </cell>
        </row>
        <row r="754">
          <cell r="A754">
            <v>750</v>
          </cell>
          <cell r="B754" t="str">
            <v xml:space="preserve">8410446692066   </v>
          </cell>
          <cell r="C754" t="str">
            <v xml:space="preserve">R.C. (4X5)Pz FORM ANIMALS (69206)       </v>
          </cell>
          <cell r="D754" t="str">
            <v>DISET</v>
          </cell>
          <cell r="E754">
            <v>127.05</v>
          </cell>
          <cell r="F754">
            <v>147.37799999999999</v>
          </cell>
        </row>
        <row r="755">
          <cell r="A755">
            <v>751</v>
          </cell>
          <cell r="B755" t="str">
            <v xml:space="preserve">8410446692073   </v>
          </cell>
          <cell r="C755" t="str">
            <v xml:space="preserve">R.C. (4X5)Pz FORM FARM (69207)          </v>
          </cell>
          <cell r="D755" t="str">
            <v>DISET</v>
          </cell>
          <cell r="E755">
            <v>127.05</v>
          </cell>
          <cell r="F755">
            <v>147.37799999999999</v>
          </cell>
        </row>
        <row r="756">
          <cell r="A756">
            <v>752</v>
          </cell>
          <cell r="B756" t="str">
            <v xml:space="preserve">8410446692080   </v>
          </cell>
          <cell r="C756" t="str">
            <v xml:space="preserve">R.C. (4X5)Pz FORM HABITATS (69208)      </v>
          </cell>
          <cell r="D756" t="str">
            <v>DISET</v>
          </cell>
          <cell r="E756">
            <v>127.05</v>
          </cell>
          <cell r="F756">
            <v>147.37799999999999</v>
          </cell>
        </row>
        <row r="757">
          <cell r="A757">
            <v>753</v>
          </cell>
          <cell r="B757" t="str">
            <v xml:space="preserve">8410446692097   </v>
          </cell>
          <cell r="C757" t="str">
            <v xml:space="preserve">R.C. (4X5)Pz FORM TRAFFIC (69209)       </v>
          </cell>
          <cell r="D757" t="str">
            <v>DISET</v>
          </cell>
          <cell r="E757">
            <v>127.05</v>
          </cell>
          <cell r="F757">
            <v>147.37799999999999</v>
          </cell>
        </row>
        <row r="758">
          <cell r="A758">
            <v>754</v>
          </cell>
          <cell r="B758" t="str">
            <v xml:space="preserve">8410446692158   </v>
          </cell>
          <cell r="C758" t="str">
            <v>R.C. 18X18 NATURIN1 ANIMALES DE LA SELVA</v>
          </cell>
          <cell r="D758" t="str">
            <v>DISET</v>
          </cell>
          <cell r="E758">
            <v>127.05</v>
          </cell>
          <cell r="F758">
            <v>147.37799999999999</v>
          </cell>
        </row>
        <row r="759">
          <cell r="A759">
            <v>755</v>
          </cell>
          <cell r="B759" t="str">
            <v xml:space="preserve">8410446692165   </v>
          </cell>
          <cell r="C759" t="str">
            <v xml:space="preserve">R.C. 18X18 NATURIN2 ANIMALES DEL BOSQUE </v>
          </cell>
          <cell r="D759" t="str">
            <v>DISET</v>
          </cell>
          <cell r="E759">
            <v>127.05</v>
          </cell>
          <cell r="F759">
            <v>147.37799999999999</v>
          </cell>
        </row>
        <row r="760">
          <cell r="A760">
            <v>756</v>
          </cell>
          <cell r="B760" t="str">
            <v xml:space="preserve">8410446692172   </v>
          </cell>
          <cell r="C760" t="str">
            <v xml:space="preserve">R.C. 18X18 NATURIN3 ANIMALES DOMESTICOS </v>
          </cell>
          <cell r="D760" t="str">
            <v>DISET</v>
          </cell>
          <cell r="E760">
            <v>127.05</v>
          </cell>
          <cell r="F760">
            <v>147.37799999999999</v>
          </cell>
        </row>
        <row r="761">
          <cell r="A761">
            <v>757</v>
          </cell>
          <cell r="B761" t="str">
            <v xml:space="preserve">8410446692189   </v>
          </cell>
          <cell r="C761" t="str">
            <v xml:space="preserve">R.C. 18X18 NATURIN 4 ANIMALES ARTICOS   </v>
          </cell>
          <cell r="D761" t="str">
            <v>DISET</v>
          </cell>
          <cell r="E761">
            <v>127.05</v>
          </cell>
          <cell r="F761">
            <v>147.37799999999999</v>
          </cell>
        </row>
        <row r="762">
          <cell r="A762">
            <v>758</v>
          </cell>
          <cell r="B762" t="str">
            <v xml:space="preserve">8410446692219   </v>
          </cell>
          <cell r="C762" t="str">
            <v xml:space="preserve">NATURIN PHOTO 1 (69221)                 </v>
          </cell>
          <cell r="D762" t="str">
            <v>DISET</v>
          </cell>
          <cell r="E762">
            <v>127.05</v>
          </cell>
          <cell r="F762">
            <v>147.37799999999999</v>
          </cell>
        </row>
        <row r="763">
          <cell r="A763">
            <v>759</v>
          </cell>
          <cell r="B763" t="str">
            <v xml:space="preserve">8410446692226   </v>
          </cell>
          <cell r="C763" t="str">
            <v xml:space="preserve">NATURIN PHOTO 2 (69222)                 </v>
          </cell>
          <cell r="D763" t="str">
            <v>DISET</v>
          </cell>
          <cell r="E763">
            <v>127.05</v>
          </cell>
          <cell r="F763">
            <v>147.37799999999999</v>
          </cell>
        </row>
        <row r="764">
          <cell r="A764">
            <v>760</v>
          </cell>
          <cell r="B764" t="str">
            <v xml:space="preserve">8410446693018   </v>
          </cell>
          <cell r="C764" t="str">
            <v xml:space="preserve">R.C. ARCA DE NOE 24Pz  (69301)          </v>
          </cell>
          <cell r="D764" t="str">
            <v>DISET</v>
          </cell>
          <cell r="E764">
            <v>184.79999999999998</v>
          </cell>
          <cell r="F764">
            <v>214.36799999999997</v>
          </cell>
        </row>
        <row r="765">
          <cell r="A765">
            <v>761</v>
          </cell>
          <cell r="B765" t="str">
            <v xml:space="preserve">8410446693025   </v>
          </cell>
          <cell r="C765" t="str">
            <v xml:space="preserve">R.C. ZOO 24Pz (69302)                   </v>
          </cell>
          <cell r="D765" t="str">
            <v>DISET</v>
          </cell>
          <cell r="E765">
            <v>184.79999999999998</v>
          </cell>
          <cell r="F765">
            <v>214.36799999999997</v>
          </cell>
        </row>
        <row r="766">
          <cell r="A766">
            <v>762</v>
          </cell>
          <cell r="B766" t="str">
            <v xml:space="preserve">8410446693032   </v>
          </cell>
          <cell r="C766" t="str">
            <v xml:space="preserve">R.C. 24Pz NATURA (69303)                </v>
          </cell>
          <cell r="D766" t="str">
            <v>DISET</v>
          </cell>
          <cell r="E766">
            <v>184.79999999999998</v>
          </cell>
          <cell r="F766">
            <v>214.36799999999997</v>
          </cell>
        </row>
        <row r="767">
          <cell r="A767">
            <v>763</v>
          </cell>
          <cell r="B767" t="str">
            <v xml:space="preserve">8410446695760   </v>
          </cell>
          <cell r="C767" t="str">
            <v>R.C. (2X20) PETER PAN CAPERUSITA (69576)</v>
          </cell>
          <cell r="D767" t="str">
            <v>DISET</v>
          </cell>
          <cell r="E767">
            <v>118.8</v>
          </cell>
          <cell r="F767">
            <v>137.80799999999999</v>
          </cell>
        </row>
        <row r="768">
          <cell r="A768">
            <v>764</v>
          </cell>
          <cell r="B768" t="str">
            <v xml:space="preserve">8410446695777   </v>
          </cell>
          <cell r="C768" t="str">
            <v>R.C. (2X20)Pz PATITO FEO/3 CERDITOS(6957</v>
          </cell>
          <cell r="D768" t="str">
            <v>DISET</v>
          </cell>
          <cell r="E768">
            <v>118.8</v>
          </cell>
          <cell r="F768">
            <v>137.80799999999999</v>
          </cell>
        </row>
        <row r="769">
          <cell r="A769">
            <v>765</v>
          </cell>
          <cell r="B769" t="str">
            <v xml:space="preserve">8410446695791   </v>
          </cell>
          <cell r="C769" t="str">
            <v xml:space="preserve">R.C. (2X20)Pz LA GRANJA (69579)         </v>
          </cell>
          <cell r="D769" t="str">
            <v>DISET</v>
          </cell>
          <cell r="E769">
            <v>118.8</v>
          </cell>
          <cell r="F769">
            <v>137.80799999999999</v>
          </cell>
        </row>
        <row r="770">
          <cell r="A770">
            <v>766</v>
          </cell>
          <cell r="B770" t="str">
            <v xml:space="preserve">8410446695814   </v>
          </cell>
          <cell r="C770" t="str">
            <v xml:space="preserve">R.C. 35 PZAS DISCOVER GRANJA (69581)    </v>
          </cell>
          <cell r="D770" t="str">
            <v>DISET</v>
          </cell>
          <cell r="E770">
            <v>197.17500000000001</v>
          </cell>
          <cell r="F770">
            <v>228.72299999999998</v>
          </cell>
        </row>
        <row r="771">
          <cell r="A771">
            <v>767</v>
          </cell>
          <cell r="B771" t="str">
            <v xml:space="preserve">8410446695821   </v>
          </cell>
          <cell r="C771" t="str">
            <v xml:space="preserve">R.C. 35Pz DISCOVER PUERTO (69582)       </v>
          </cell>
          <cell r="D771" t="str">
            <v>DISET</v>
          </cell>
          <cell r="E771">
            <v>197.17500000000001</v>
          </cell>
          <cell r="F771">
            <v>228.72299999999998</v>
          </cell>
        </row>
        <row r="772">
          <cell r="A772">
            <v>768</v>
          </cell>
          <cell r="B772" t="str">
            <v xml:space="preserve">8410446695869   </v>
          </cell>
          <cell r="C772" t="str">
            <v xml:space="preserve">R.C. (2X48) PINOCHO/VIAJES (69586)      </v>
          </cell>
          <cell r="D772" t="str">
            <v>DISET</v>
          </cell>
          <cell r="E772">
            <v>118.8</v>
          </cell>
          <cell r="F772">
            <v>137.80799999999999</v>
          </cell>
        </row>
        <row r="773">
          <cell r="A773">
            <v>769</v>
          </cell>
          <cell r="B773" t="str">
            <v xml:space="preserve">8410446695876   </v>
          </cell>
          <cell r="C773" t="str">
            <v xml:space="preserve">R.C. (2X48) PETER / FLAUTISTA (69587)   </v>
          </cell>
          <cell r="D773" t="str">
            <v>DISET</v>
          </cell>
          <cell r="E773">
            <v>118.8</v>
          </cell>
          <cell r="F773">
            <v>137.80799999999999</v>
          </cell>
        </row>
        <row r="774">
          <cell r="A774">
            <v>770</v>
          </cell>
          <cell r="B774" t="str">
            <v xml:space="preserve">8410446695890   </v>
          </cell>
          <cell r="C774" t="str">
            <v xml:space="preserve">R.C  (2X48) LA SELVA (69589)            </v>
          </cell>
          <cell r="D774" t="str">
            <v>DISET</v>
          </cell>
          <cell r="E774">
            <v>118.8</v>
          </cell>
          <cell r="F774">
            <v>137.80799999999999</v>
          </cell>
        </row>
        <row r="775">
          <cell r="A775">
            <v>771</v>
          </cell>
          <cell r="B775" t="str">
            <v xml:space="preserve">8410446695913   </v>
          </cell>
          <cell r="C775" t="str">
            <v>DISCOVERI ACTIVIDADES AIRE LIBRE (69591)</v>
          </cell>
          <cell r="D775" t="str">
            <v>DISET</v>
          </cell>
          <cell r="E775">
            <v>197.17500000000001</v>
          </cell>
          <cell r="F775">
            <v>228.72299999999998</v>
          </cell>
        </row>
        <row r="776">
          <cell r="A776">
            <v>772</v>
          </cell>
          <cell r="B776" t="str">
            <v xml:space="preserve">8410446695920   </v>
          </cell>
          <cell r="C776" t="str">
            <v xml:space="preserve">DISCOVERI SAFARI (69592)                </v>
          </cell>
          <cell r="D776" t="str">
            <v>DISET</v>
          </cell>
          <cell r="E776">
            <v>197.17500000000001</v>
          </cell>
          <cell r="F776">
            <v>228.72299999999998</v>
          </cell>
        </row>
        <row r="777">
          <cell r="A777">
            <v>773</v>
          </cell>
          <cell r="B777" t="str">
            <v xml:space="preserve">8410446696019   </v>
          </cell>
          <cell r="C777" t="str">
            <v xml:space="preserve">CAPERUCITA Y OTROS CUENTOS (69601)      </v>
          </cell>
          <cell r="D777" t="str">
            <v>DISET</v>
          </cell>
          <cell r="E777">
            <v>168.29999999999998</v>
          </cell>
          <cell r="F777">
            <v>195.22799999999998</v>
          </cell>
        </row>
        <row r="778">
          <cell r="A778">
            <v>774</v>
          </cell>
          <cell r="B778" t="str">
            <v xml:space="preserve">8410446696026   </v>
          </cell>
          <cell r="C778" t="str">
            <v xml:space="preserve">PINOCHO Y OTROS CUENTOS (69602)         </v>
          </cell>
          <cell r="D778" t="str">
            <v>DISET</v>
          </cell>
          <cell r="E778">
            <v>168.29999999999998</v>
          </cell>
          <cell r="F778">
            <v>195.22799999999998</v>
          </cell>
        </row>
        <row r="779">
          <cell r="A779">
            <v>775</v>
          </cell>
          <cell r="B779" t="str">
            <v xml:space="preserve">8410446696118   </v>
          </cell>
          <cell r="C779" t="str">
            <v xml:space="preserve">CONTUR BABY ANIMALES GRANJA (69611)     </v>
          </cell>
          <cell r="D779" t="str">
            <v>DISET</v>
          </cell>
          <cell r="E779">
            <v>168.29999999999998</v>
          </cell>
          <cell r="F779">
            <v>195.22799999999998</v>
          </cell>
        </row>
        <row r="780">
          <cell r="A780">
            <v>776</v>
          </cell>
          <cell r="B780" t="str">
            <v xml:space="preserve">8410446696125   </v>
          </cell>
          <cell r="C780" t="str">
            <v xml:space="preserve">CONTUR BABY ANIMALES SELVA (69612)      </v>
          </cell>
          <cell r="D780" t="str">
            <v>DISET</v>
          </cell>
          <cell r="E780">
            <v>168.29999999999998</v>
          </cell>
          <cell r="F780">
            <v>195.22799999999998</v>
          </cell>
        </row>
        <row r="781">
          <cell r="A781">
            <v>777</v>
          </cell>
          <cell r="B781" t="str">
            <v xml:space="preserve">8410446696217   </v>
          </cell>
          <cell r="C781" t="str">
            <v xml:space="preserve">CONTUR PHOTO OBEJITA (69621)            </v>
          </cell>
          <cell r="D781" t="str">
            <v>DISET</v>
          </cell>
          <cell r="E781">
            <v>127.05</v>
          </cell>
          <cell r="F781">
            <v>147.37799999999999</v>
          </cell>
        </row>
        <row r="782">
          <cell r="A782">
            <v>778</v>
          </cell>
          <cell r="B782" t="str">
            <v xml:space="preserve">8410446696224   </v>
          </cell>
          <cell r="C782" t="str">
            <v xml:space="preserve">CONTUR PHOTO CONEJITO (69622)           </v>
          </cell>
          <cell r="D782" t="str">
            <v>DISET</v>
          </cell>
          <cell r="E782">
            <v>127.05</v>
          </cell>
          <cell r="F782">
            <v>147.37799999999999</v>
          </cell>
        </row>
        <row r="783">
          <cell r="A783">
            <v>779</v>
          </cell>
          <cell r="B783" t="str">
            <v xml:space="preserve">8410446696514   </v>
          </cell>
          <cell r="C783" t="str">
            <v xml:space="preserve">RC STORY PUZZLE PLANTA UN ARBOL (69651  </v>
          </cell>
          <cell r="D783" t="str">
            <v>DISET</v>
          </cell>
          <cell r="E783">
            <v>168.29999999999998</v>
          </cell>
          <cell r="F783">
            <v>195.22799999999998</v>
          </cell>
        </row>
        <row r="784">
          <cell r="A784">
            <v>780</v>
          </cell>
          <cell r="B784" t="str">
            <v xml:space="preserve">8410446696521   </v>
          </cell>
          <cell r="C784" t="str">
            <v>R.C STORY PUZZLE CASITA DEL PERRO (69652</v>
          </cell>
          <cell r="D784" t="str">
            <v>DISET</v>
          </cell>
          <cell r="E784">
            <v>168.29999999999998</v>
          </cell>
          <cell r="F784">
            <v>195.22799999999998</v>
          </cell>
        </row>
        <row r="785">
          <cell r="A785">
            <v>781</v>
          </cell>
          <cell r="B785" t="str">
            <v xml:space="preserve">8410446704646   </v>
          </cell>
          <cell r="C785" t="str">
            <v>R.C. 1000Pz TOWER BRIDGE LONDRES (70464)</v>
          </cell>
          <cell r="D785" t="str">
            <v>DISET</v>
          </cell>
          <cell r="E785">
            <v>155.1</v>
          </cell>
          <cell r="F785">
            <v>179.91599999999997</v>
          </cell>
        </row>
        <row r="786">
          <cell r="A786">
            <v>782</v>
          </cell>
          <cell r="B786" t="str">
            <v xml:space="preserve">8410446704950   </v>
          </cell>
          <cell r="C786" t="str">
            <v xml:space="preserve">R.C. 1000Pz SAGRADA FAMILIA (70495)     </v>
          </cell>
          <cell r="D786" t="str">
            <v>DISET</v>
          </cell>
          <cell r="E786">
            <v>155.1</v>
          </cell>
          <cell r="F786">
            <v>179.91599999999997</v>
          </cell>
        </row>
        <row r="787">
          <cell r="A787">
            <v>783</v>
          </cell>
          <cell r="B787" t="str">
            <v xml:space="preserve">8410446750018   </v>
          </cell>
          <cell r="C787" t="str">
            <v xml:space="preserve">JUEGO DE MESA QUIEN SOY (75001)         </v>
          </cell>
          <cell r="D787" t="str">
            <v>DISET</v>
          </cell>
          <cell r="E787">
            <v>257.39999999999998</v>
          </cell>
          <cell r="F787">
            <v>298.58399999999995</v>
          </cell>
        </row>
        <row r="788">
          <cell r="A788">
            <v>784</v>
          </cell>
          <cell r="B788" t="str">
            <v xml:space="preserve">8410446750025   </v>
          </cell>
          <cell r="C788" t="str">
            <v xml:space="preserve">QUIEN ESTA AHI?                         </v>
          </cell>
          <cell r="D788" t="str">
            <v>DISET</v>
          </cell>
          <cell r="E788">
            <v>283.8</v>
          </cell>
          <cell r="F788">
            <v>329.20799999999997</v>
          </cell>
        </row>
        <row r="789">
          <cell r="A789">
            <v>785</v>
          </cell>
          <cell r="B789" t="str">
            <v xml:space="preserve">8410446751039   </v>
          </cell>
          <cell r="C789" t="str">
            <v xml:space="preserve">EL DENTISTA LOCO                        </v>
          </cell>
          <cell r="D789" t="str">
            <v>DISET</v>
          </cell>
          <cell r="E789">
            <v>356.4</v>
          </cell>
          <cell r="F789">
            <v>413.42399999999992</v>
          </cell>
        </row>
        <row r="790">
          <cell r="A790">
            <v>786</v>
          </cell>
          <cell r="B790" t="str">
            <v xml:space="preserve">8410446751046   </v>
          </cell>
          <cell r="C790" t="str">
            <v xml:space="preserve">MONOS SALTARINES                        </v>
          </cell>
          <cell r="D790" t="str">
            <v>DISET</v>
          </cell>
          <cell r="E790">
            <v>283.8</v>
          </cell>
          <cell r="F790">
            <v>329.20799999999997</v>
          </cell>
        </row>
        <row r="791">
          <cell r="A791">
            <v>787</v>
          </cell>
          <cell r="B791" t="str">
            <v xml:space="preserve">8410446751053   </v>
          </cell>
          <cell r="C791" t="str">
            <v xml:space="preserve">QUE SE CAE !                            </v>
          </cell>
          <cell r="D791" t="str">
            <v>DISET</v>
          </cell>
          <cell r="E791">
            <v>283.8</v>
          </cell>
          <cell r="F791">
            <v>329.20799999999997</v>
          </cell>
        </row>
        <row r="792">
          <cell r="A792">
            <v>788</v>
          </cell>
          <cell r="B792" t="str">
            <v xml:space="preserve">8410446765111   </v>
          </cell>
          <cell r="C792" t="str">
            <v xml:space="preserve">TANGRAM (76511)                         </v>
          </cell>
          <cell r="D792" t="str">
            <v>DISET</v>
          </cell>
          <cell r="E792">
            <v>125.4</v>
          </cell>
          <cell r="F792">
            <v>145.464</v>
          </cell>
        </row>
        <row r="793">
          <cell r="A793">
            <v>789</v>
          </cell>
          <cell r="B793" t="str">
            <v xml:space="preserve">7501991801001   </v>
          </cell>
          <cell r="C793" t="str">
            <v xml:space="preserve">DML107 REGLETAS DE MADERA               </v>
          </cell>
          <cell r="D793" t="str">
            <v xml:space="preserve">DML  </v>
          </cell>
          <cell r="E793">
            <v>186.44999999999996</v>
          </cell>
          <cell r="F793">
            <v>216.28199999999995</v>
          </cell>
        </row>
        <row r="794">
          <cell r="A794">
            <v>790</v>
          </cell>
          <cell r="B794" t="str">
            <v xml:space="preserve">7501991801018   </v>
          </cell>
          <cell r="C794" t="str">
            <v xml:space="preserve">TABLA DE FRACCIONES DE COLOR            </v>
          </cell>
          <cell r="D794" t="str">
            <v xml:space="preserve">DML  </v>
          </cell>
          <cell r="E794">
            <v>105.6</v>
          </cell>
          <cell r="F794">
            <v>122.49599999999998</v>
          </cell>
        </row>
        <row r="795">
          <cell r="A795">
            <v>791</v>
          </cell>
          <cell r="B795" t="str">
            <v xml:space="preserve">7501991801025   </v>
          </cell>
          <cell r="C795" t="str">
            <v xml:space="preserve">TABLA PARA TEJER ANIMALES               </v>
          </cell>
          <cell r="D795" t="str">
            <v xml:space="preserve">DML  </v>
          </cell>
          <cell r="E795">
            <v>120.44999999999999</v>
          </cell>
          <cell r="F795">
            <v>139.72199999999998</v>
          </cell>
        </row>
        <row r="796">
          <cell r="A796">
            <v>792</v>
          </cell>
          <cell r="B796" t="str">
            <v xml:space="preserve">7501991801032   </v>
          </cell>
          <cell r="C796" t="str">
            <v xml:space="preserve">TABLA PARA TEJER TRANSPORTES            </v>
          </cell>
          <cell r="D796" t="str">
            <v xml:space="preserve">DML  </v>
          </cell>
          <cell r="E796">
            <v>120.44999999999999</v>
          </cell>
          <cell r="F796">
            <v>139.72199999999998</v>
          </cell>
        </row>
        <row r="797">
          <cell r="A797">
            <v>793</v>
          </cell>
          <cell r="B797" t="str">
            <v xml:space="preserve">7501991801049   </v>
          </cell>
          <cell r="C797" t="str">
            <v xml:space="preserve">TABLA PARA TEJER HERRAMIENTAS           </v>
          </cell>
          <cell r="D797" t="str">
            <v xml:space="preserve">DML  </v>
          </cell>
          <cell r="E797">
            <v>120.44999999999999</v>
          </cell>
          <cell r="F797">
            <v>139.72199999999998</v>
          </cell>
        </row>
        <row r="798">
          <cell r="A798">
            <v>794</v>
          </cell>
          <cell r="B798" t="str">
            <v xml:space="preserve">7501991801056   </v>
          </cell>
          <cell r="C798" t="str">
            <v xml:space="preserve">TABLA PARA TEJER DINOSAURIOS            </v>
          </cell>
          <cell r="D798" t="str">
            <v xml:space="preserve">DML  </v>
          </cell>
          <cell r="E798">
            <v>120.44999999999999</v>
          </cell>
          <cell r="F798">
            <v>139.72199999999998</v>
          </cell>
        </row>
        <row r="799">
          <cell r="A799">
            <v>795</v>
          </cell>
          <cell r="B799" t="str">
            <v xml:space="preserve">7501991801063   </v>
          </cell>
          <cell r="C799" t="str">
            <v xml:space="preserve">TABLA PARA TEJER GEOMETRICAS            </v>
          </cell>
          <cell r="D799" t="str">
            <v xml:space="preserve">DML  </v>
          </cell>
          <cell r="E799">
            <v>120.44999999999999</v>
          </cell>
          <cell r="F799">
            <v>139.72199999999998</v>
          </cell>
        </row>
        <row r="800">
          <cell r="A800">
            <v>796</v>
          </cell>
          <cell r="B800" t="str">
            <v xml:space="preserve">7501991801070   </v>
          </cell>
          <cell r="C800" t="str">
            <v xml:space="preserve">TABLA PITAGORICA DML                    </v>
          </cell>
          <cell r="D800" t="str">
            <v xml:space="preserve">DML  </v>
          </cell>
          <cell r="E800">
            <v>196.35</v>
          </cell>
          <cell r="F800">
            <v>227.76599999999996</v>
          </cell>
        </row>
        <row r="801">
          <cell r="A801">
            <v>797</v>
          </cell>
          <cell r="B801" t="str">
            <v xml:space="preserve">7501991810768   </v>
          </cell>
          <cell r="C801" t="str">
            <v xml:space="preserve">BLOQUES LOGICOS DE MADERA 48Pz          </v>
          </cell>
          <cell r="D801" t="str">
            <v xml:space="preserve">DML  </v>
          </cell>
          <cell r="E801">
            <v>99</v>
          </cell>
          <cell r="F801">
            <v>114.83999999999999</v>
          </cell>
        </row>
        <row r="802">
          <cell r="A802">
            <v>798</v>
          </cell>
          <cell r="B802" t="str">
            <v xml:space="preserve">7501991813141   </v>
          </cell>
          <cell r="C802" t="str">
            <v xml:space="preserve">K08 CAJA DE CUBOS DE COLORES 1in 96Pz   </v>
          </cell>
          <cell r="D802" t="str">
            <v xml:space="preserve">DML  </v>
          </cell>
          <cell r="E802">
            <v>354.74999999999994</v>
          </cell>
          <cell r="F802">
            <v>411.50999999999993</v>
          </cell>
        </row>
        <row r="803">
          <cell r="A803">
            <v>799</v>
          </cell>
          <cell r="B803" t="str">
            <v xml:space="preserve">7501991813745   </v>
          </cell>
          <cell r="C803" t="str">
            <v xml:space="preserve">JUEGO COMESOLO 1Pz                      </v>
          </cell>
          <cell r="D803" t="str">
            <v xml:space="preserve">DML  </v>
          </cell>
          <cell r="E803">
            <v>69.3</v>
          </cell>
          <cell r="F803">
            <v>80.387999999999991</v>
          </cell>
        </row>
        <row r="804">
          <cell r="A804">
            <v>800</v>
          </cell>
          <cell r="B804" t="str">
            <v xml:space="preserve">7501991813769   </v>
          </cell>
          <cell r="C804" t="str">
            <v xml:space="preserve">DAMAS CHINAS PARA 2 JUGADORES           </v>
          </cell>
          <cell r="D804" t="str">
            <v xml:space="preserve">DML  </v>
          </cell>
          <cell r="E804">
            <v>117.97500000000001</v>
          </cell>
          <cell r="F804">
            <v>136.851</v>
          </cell>
        </row>
        <row r="805">
          <cell r="A805">
            <v>801</v>
          </cell>
          <cell r="B805" t="str">
            <v xml:space="preserve">7501991813783   </v>
          </cell>
          <cell r="C805" t="str">
            <v xml:space="preserve">JUEGO DEL GATO 1Pz                      </v>
          </cell>
          <cell r="D805" t="str">
            <v xml:space="preserve">DML  </v>
          </cell>
          <cell r="E805">
            <v>67.649999999999991</v>
          </cell>
          <cell r="F805">
            <v>78.47399999999999</v>
          </cell>
        </row>
        <row r="806">
          <cell r="A806">
            <v>802</v>
          </cell>
          <cell r="B806" t="str">
            <v xml:space="preserve">7501991822167   </v>
          </cell>
          <cell r="C806" t="str">
            <v xml:space="preserve">CUBO (5.5x5.5)cm 40Pz (DA-0060)         </v>
          </cell>
          <cell r="D806" t="str">
            <v>EDFOR</v>
          </cell>
          <cell r="E806">
            <v>234.3</v>
          </cell>
          <cell r="F806">
            <v>271.78800000000001</v>
          </cell>
        </row>
        <row r="807">
          <cell r="A807">
            <v>803</v>
          </cell>
          <cell r="B807" t="str">
            <v xml:space="preserve">7501991822228   </v>
          </cell>
          <cell r="C807" t="str">
            <v xml:space="preserve">CUERPOS GEOMETRICOS 32Pz (DA-0081)      </v>
          </cell>
          <cell r="D807" t="str">
            <v>EDFOR</v>
          </cell>
          <cell r="E807">
            <v>306.89999999999998</v>
          </cell>
          <cell r="F807">
            <v>356.00399999999996</v>
          </cell>
        </row>
        <row r="808">
          <cell r="A808">
            <v>804</v>
          </cell>
          <cell r="B808" t="str">
            <v xml:space="preserve">7501991822440   </v>
          </cell>
          <cell r="C808" t="str">
            <v xml:space="preserve">JUEGO DE PESCA 40Pz (DA-0240)           </v>
          </cell>
          <cell r="D808" t="str">
            <v>EDFOR</v>
          </cell>
          <cell r="E808">
            <v>330</v>
          </cell>
          <cell r="F808">
            <v>382.79999999999995</v>
          </cell>
        </row>
        <row r="809">
          <cell r="A809">
            <v>805</v>
          </cell>
          <cell r="B809" t="str">
            <v xml:space="preserve">7501991822549   </v>
          </cell>
          <cell r="C809" t="str">
            <v xml:space="preserve">TABIQUE GRANDE 50Pz (DA-0610)           </v>
          </cell>
          <cell r="D809" t="str">
            <v>EDFOR</v>
          </cell>
          <cell r="E809">
            <v>235.95000000000002</v>
          </cell>
          <cell r="F809">
            <v>273.702</v>
          </cell>
        </row>
        <row r="810">
          <cell r="A810">
            <v>806</v>
          </cell>
          <cell r="B810" t="str">
            <v xml:space="preserve">7501991822617   </v>
          </cell>
          <cell r="C810" t="str">
            <v xml:space="preserve">POLIFORMAS 72Pz (DA-0370)               </v>
          </cell>
          <cell r="D810" t="str">
            <v>EDFOR</v>
          </cell>
          <cell r="E810">
            <v>371.25</v>
          </cell>
          <cell r="F810">
            <v>430.65</v>
          </cell>
        </row>
        <row r="811">
          <cell r="A811">
            <v>807</v>
          </cell>
          <cell r="B811" t="str">
            <v xml:space="preserve">7501991822808   </v>
          </cell>
          <cell r="C811" t="str">
            <v xml:space="preserve">BOTON PIRAMIDE 80Pz (DA-0452)           </v>
          </cell>
          <cell r="D811" t="str">
            <v>EDFOR</v>
          </cell>
          <cell r="E811">
            <v>315.14999999999998</v>
          </cell>
          <cell r="F811">
            <v>365.57399999999996</v>
          </cell>
        </row>
        <row r="812">
          <cell r="A812">
            <v>808</v>
          </cell>
          <cell r="B812" t="str">
            <v xml:space="preserve">7501991843001   </v>
          </cell>
          <cell r="C812" t="str">
            <v xml:space="preserve">PACO PACO LAMINA (EDI01)                </v>
          </cell>
          <cell r="D812" t="str">
            <v>EDISA</v>
          </cell>
          <cell r="E812">
            <v>212.85</v>
          </cell>
          <cell r="F812">
            <v>246.90599999999998</v>
          </cell>
        </row>
        <row r="813">
          <cell r="A813">
            <v>809</v>
          </cell>
          <cell r="B813" t="str">
            <v xml:space="preserve">7501991843018   </v>
          </cell>
          <cell r="C813" t="str">
            <v xml:space="preserve">ANA ANA LAMINA (EDI02)                  </v>
          </cell>
          <cell r="D813" t="str">
            <v>EDISA</v>
          </cell>
          <cell r="E813">
            <v>212.85</v>
          </cell>
          <cell r="F813">
            <v>246.90599999999998</v>
          </cell>
        </row>
        <row r="814">
          <cell r="A814">
            <v>810</v>
          </cell>
          <cell r="B814" t="str">
            <v xml:space="preserve">7501991843117   </v>
          </cell>
          <cell r="C814" t="str">
            <v>TARJETAS DE NUMEROS (1al20) 20Pz (EDI15)</v>
          </cell>
          <cell r="D814" t="str">
            <v>EDISA</v>
          </cell>
          <cell r="E814">
            <v>141.9</v>
          </cell>
          <cell r="F814">
            <v>164.60399999999998</v>
          </cell>
        </row>
        <row r="815">
          <cell r="A815">
            <v>811</v>
          </cell>
          <cell r="B815" t="str">
            <v xml:space="preserve">7501991843124   </v>
          </cell>
          <cell r="C815" t="str">
            <v xml:space="preserve">TARJETAS DE ABECEDARIO 29Pz (EDI16)     </v>
          </cell>
          <cell r="D815" t="str">
            <v>EDISA</v>
          </cell>
          <cell r="E815">
            <v>141.9</v>
          </cell>
          <cell r="F815">
            <v>164.60399999999998</v>
          </cell>
        </row>
        <row r="816">
          <cell r="A816">
            <v>812</v>
          </cell>
          <cell r="B816" t="str">
            <v xml:space="preserve">7501991843179   </v>
          </cell>
          <cell r="C816" t="str">
            <v xml:space="preserve">PAQUITO PAQUITO (EDI21)                 </v>
          </cell>
          <cell r="D816" t="str">
            <v>EDISA</v>
          </cell>
          <cell r="E816">
            <v>141.9</v>
          </cell>
          <cell r="F816">
            <v>164.60399999999998</v>
          </cell>
        </row>
        <row r="817">
          <cell r="A817">
            <v>813</v>
          </cell>
          <cell r="B817" t="str">
            <v xml:space="preserve">7501991843186   </v>
          </cell>
          <cell r="C817" t="str">
            <v xml:space="preserve">ANITA ANITA (EDI22)                     </v>
          </cell>
          <cell r="D817" t="str">
            <v>EDISA</v>
          </cell>
          <cell r="E817">
            <v>141.9</v>
          </cell>
          <cell r="F817">
            <v>164.60399999999998</v>
          </cell>
        </row>
        <row r="818">
          <cell r="A818">
            <v>814</v>
          </cell>
          <cell r="B818" t="str">
            <v xml:space="preserve">7501991800011   </v>
          </cell>
          <cell r="C818" t="str">
            <v xml:space="preserve">PRE-LECTURA 2                           </v>
          </cell>
          <cell r="D818" t="str">
            <v>EDUKE</v>
          </cell>
          <cell r="E818">
            <v>49.5</v>
          </cell>
          <cell r="F818">
            <v>57.419999999999995</v>
          </cell>
        </row>
        <row r="819">
          <cell r="A819">
            <v>815</v>
          </cell>
          <cell r="B819" t="str">
            <v xml:space="preserve">7501991800028   </v>
          </cell>
          <cell r="C819" t="str">
            <v xml:space="preserve">LIBRO VOCABULARIO 1                     </v>
          </cell>
          <cell r="D819" t="str">
            <v>EDUKE</v>
          </cell>
          <cell r="E819">
            <v>46.199999999999996</v>
          </cell>
          <cell r="F819">
            <v>53.591999999999992</v>
          </cell>
        </row>
        <row r="820">
          <cell r="A820">
            <v>816</v>
          </cell>
          <cell r="B820" t="str">
            <v xml:space="preserve">7501991800035   </v>
          </cell>
          <cell r="C820" t="str">
            <v xml:space="preserve">LIBRO VOCABULARIO 2                     </v>
          </cell>
          <cell r="D820" t="str">
            <v>EDUKE</v>
          </cell>
          <cell r="E820">
            <v>46.199999999999996</v>
          </cell>
          <cell r="F820">
            <v>53.591999999999992</v>
          </cell>
        </row>
        <row r="821">
          <cell r="A821">
            <v>817</v>
          </cell>
          <cell r="B821" t="str">
            <v xml:space="preserve">7501991800042   </v>
          </cell>
          <cell r="C821" t="str">
            <v xml:space="preserve">MULTIPLICAR Y DIVIDIR                   </v>
          </cell>
          <cell r="D821" t="str">
            <v>EDUKE</v>
          </cell>
          <cell r="E821">
            <v>49.5</v>
          </cell>
          <cell r="F821">
            <v>57.419999999999995</v>
          </cell>
        </row>
        <row r="822">
          <cell r="A822">
            <v>818</v>
          </cell>
          <cell r="B822" t="str">
            <v xml:space="preserve">7501991800059   </v>
          </cell>
          <cell r="C822" t="str">
            <v xml:space="preserve">CALCULO DE FRACCIONES                   </v>
          </cell>
          <cell r="D822" t="str">
            <v>EDUKE</v>
          </cell>
          <cell r="E822">
            <v>46.199999999999996</v>
          </cell>
          <cell r="F822">
            <v>53.591999999999992</v>
          </cell>
        </row>
        <row r="823">
          <cell r="A823">
            <v>819</v>
          </cell>
          <cell r="B823" t="str">
            <v xml:space="preserve">7501991800073   </v>
          </cell>
          <cell r="C823" t="str">
            <v xml:space="preserve">EJERCICIOS DE ARITMETICA 2              </v>
          </cell>
          <cell r="D823" t="str">
            <v>EDUKE</v>
          </cell>
          <cell r="E823">
            <v>49.5</v>
          </cell>
          <cell r="F823">
            <v>57.419999999999995</v>
          </cell>
        </row>
        <row r="824">
          <cell r="A824">
            <v>820</v>
          </cell>
          <cell r="B824" t="str">
            <v xml:space="preserve">7501991800080   </v>
          </cell>
          <cell r="C824" t="str">
            <v xml:space="preserve">ESTUCHE DE CONTROL MINI EDU-KE          </v>
          </cell>
          <cell r="D824" t="str">
            <v>EDUKE</v>
          </cell>
          <cell r="E824">
            <v>184.79999999999998</v>
          </cell>
          <cell r="F824">
            <v>214.36799999999997</v>
          </cell>
        </row>
        <row r="825">
          <cell r="A825">
            <v>821</v>
          </cell>
          <cell r="B825" t="str">
            <v xml:space="preserve">7501991800103   </v>
          </cell>
          <cell r="C825" t="str">
            <v xml:space="preserve">GEOMETRIA Y ARITMETICA                  </v>
          </cell>
          <cell r="D825" t="str">
            <v>EDUKE</v>
          </cell>
          <cell r="E825">
            <v>46.199999999999996</v>
          </cell>
          <cell r="F825">
            <v>53.591999999999992</v>
          </cell>
        </row>
        <row r="826">
          <cell r="A826">
            <v>822</v>
          </cell>
          <cell r="B826" t="str">
            <v xml:space="preserve">7501991800110   </v>
          </cell>
          <cell r="C826" t="str">
            <v xml:space="preserve">EJERCICIOS DE LECTURA 1                 </v>
          </cell>
          <cell r="D826" t="str">
            <v>EDUKE</v>
          </cell>
          <cell r="E826">
            <v>49.5</v>
          </cell>
          <cell r="F826">
            <v>57.419999999999995</v>
          </cell>
        </row>
        <row r="827">
          <cell r="A827">
            <v>823</v>
          </cell>
          <cell r="B827" t="str">
            <v xml:space="preserve">7501991828015   </v>
          </cell>
          <cell r="C827" t="str">
            <v xml:space="preserve">AGUJAS DE CANEVA 100Pz (P001)           </v>
          </cell>
          <cell r="D827" t="str">
            <v>ELEFA</v>
          </cell>
          <cell r="E827">
            <v>75.900000000000006</v>
          </cell>
          <cell r="F827">
            <v>88.043999999999997</v>
          </cell>
        </row>
        <row r="828">
          <cell r="A828">
            <v>824</v>
          </cell>
          <cell r="B828" t="str">
            <v xml:space="preserve">7501991828152   </v>
          </cell>
          <cell r="C828" t="str">
            <v xml:space="preserve">CEPILLO SURTIDO 100Pz (P018)            </v>
          </cell>
          <cell r="D828" t="str">
            <v>ELEFA</v>
          </cell>
          <cell r="E828">
            <v>295.34999999999997</v>
          </cell>
          <cell r="F828">
            <v>342.60599999999994</v>
          </cell>
        </row>
        <row r="829">
          <cell r="A829">
            <v>825</v>
          </cell>
          <cell r="B829" t="str">
            <v xml:space="preserve">7501991828329   </v>
          </cell>
          <cell r="C829" t="str">
            <v xml:space="preserve">KINDERELLO 200Pz (P040)                 </v>
          </cell>
          <cell r="D829" t="str">
            <v>ELEFA</v>
          </cell>
          <cell r="E829">
            <v>235.95000000000002</v>
          </cell>
          <cell r="F829">
            <v>273.702</v>
          </cell>
        </row>
        <row r="830">
          <cell r="A830">
            <v>826</v>
          </cell>
          <cell r="B830" t="str">
            <v xml:space="preserve">7501991828336   </v>
          </cell>
          <cell r="C830" t="str">
            <v xml:space="preserve">KUBIKINGO PAQUETE 60PZ (P041)           </v>
          </cell>
          <cell r="D830" t="str">
            <v>ELEFA</v>
          </cell>
          <cell r="E830">
            <v>496.65</v>
          </cell>
          <cell r="F830">
            <v>576.11399999999992</v>
          </cell>
        </row>
        <row r="831">
          <cell r="A831">
            <v>827</v>
          </cell>
          <cell r="B831" t="str">
            <v xml:space="preserve">7501991828510   </v>
          </cell>
          <cell r="C831" t="str">
            <v xml:space="preserve">SUPERFICIE LISA CHICA 102Pz (P070)      </v>
          </cell>
          <cell r="D831" t="str">
            <v>ELEFA</v>
          </cell>
          <cell r="E831">
            <v>136.94999999999999</v>
          </cell>
          <cell r="F831">
            <v>158.86199999999997</v>
          </cell>
        </row>
        <row r="832">
          <cell r="A832">
            <v>828</v>
          </cell>
          <cell r="B832" t="str">
            <v xml:space="preserve">7501991828527   </v>
          </cell>
          <cell r="C832" t="str">
            <v xml:space="preserve">SUPERFICIE DOBLE 100Pz (P071)           </v>
          </cell>
          <cell r="D832" t="str">
            <v>ELEFA</v>
          </cell>
          <cell r="E832">
            <v>199.64999999999998</v>
          </cell>
          <cell r="F832">
            <v>231.59399999999997</v>
          </cell>
        </row>
        <row r="833">
          <cell r="A833">
            <v>829</v>
          </cell>
          <cell r="B833" t="str">
            <v xml:space="preserve">7501991828534   </v>
          </cell>
          <cell r="C833" t="str">
            <v xml:space="preserve">SUPERFICIE LISA GRANDE 102Pz (P072)     </v>
          </cell>
          <cell r="D833" t="str">
            <v>ELEFA</v>
          </cell>
          <cell r="E833">
            <v>230.99999999999994</v>
          </cell>
          <cell r="F833">
            <v>267.95999999999992</v>
          </cell>
        </row>
        <row r="834">
          <cell r="A834">
            <v>830</v>
          </cell>
          <cell r="B834" t="str">
            <v xml:space="preserve">7501991828565   </v>
          </cell>
          <cell r="C834" t="str">
            <v xml:space="preserve">TABLA GEOMETRICA 6Pz (P075)             </v>
          </cell>
          <cell r="D834" t="str">
            <v>ELEFA</v>
          </cell>
          <cell r="E834">
            <v>294.52499999999998</v>
          </cell>
          <cell r="F834">
            <v>341.64899999999994</v>
          </cell>
        </row>
        <row r="835">
          <cell r="A835">
            <v>831</v>
          </cell>
          <cell r="B835" t="str">
            <v xml:space="preserve">7501991828572   </v>
          </cell>
          <cell r="C835" t="str">
            <v xml:space="preserve">TABLA PERFOCEL 30Pz (P076)              </v>
          </cell>
          <cell r="D835" t="str">
            <v>ELEFA</v>
          </cell>
          <cell r="E835">
            <v>141.9</v>
          </cell>
          <cell r="F835">
            <v>164.60399999999998</v>
          </cell>
        </row>
        <row r="836">
          <cell r="A836">
            <v>832</v>
          </cell>
          <cell r="B836" t="str">
            <v xml:space="preserve">7501991828695   </v>
          </cell>
          <cell r="C836" t="str">
            <v xml:space="preserve">CUBO DECRECIENTE (10 en 1)(PAQ.6)(PA24) </v>
          </cell>
          <cell r="D836" t="str">
            <v>ELEFA</v>
          </cell>
          <cell r="E836">
            <v>447.14999999999992</v>
          </cell>
          <cell r="F836">
            <v>518.69399999999985</v>
          </cell>
        </row>
        <row r="837">
          <cell r="A837">
            <v>833</v>
          </cell>
          <cell r="B837" t="str">
            <v xml:space="preserve">7501991828749   </v>
          </cell>
          <cell r="C837" t="str">
            <v>VASO DECRECIENTE (10 EN 1)(PAQ.6) (PA81)</v>
          </cell>
          <cell r="D837" t="str">
            <v>ELEFA</v>
          </cell>
          <cell r="E837">
            <v>447.14999999999992</v>
          </cell>
          <cell r="F837">
            <v>518.69399999999985</v>
          </cell>
        </row>
        <row r="838">
          <cell r="A838">
            <v>834</v>
          </cell>
          <cell r="B838" t="str">
            <v xml:space="preserve">6934830492312   </v>
          </cell>
          <cell r="C838" t="str">
            <v xml:space="preserve">TAPETE FOAMY NUMEROS (30X30) 9Pz.       </v>
          </cell>
          <cell r="D838" t="str">
            <v xml:space="preserve">EVA  </v>
          </cell>
          <cell r="E838">
            <v>57.749999999999986</v>
          </cell>
          <cell r="F838">
            <v>66.989999999999981</v>
          </cell>
        </row>
        <row r="839">
          <cell r="A839">
            <v>835</v>
          </cell>
          <cell r="B839" t="str">
            <v xml:space="preserve">7501991800530   </v>
          </cell>
          <cell r="C839" t="str">
            <v xml:space="preserve">TEPETE NUMEROS (33X33)10Pz              </v>
          </cell>
          <cell r="D839" t="str">
            <v xml:space="preserve">EVA  </v>
          </cell>
          <cell r="E839">
            <v>188.1</v>
          </cell>
          <cell r="F839">
            <v>218.19599999999997</v>
          </cell>
        </row>
        <row r="840">
          <cell r="A840">
            <v>836</v>
          </cell>
          <cell r="B840" t="str">
            <v xml:space="preserve">7501991800684   </v>
          </cell>
          <cell r="C840" t="str">
            <v xml:space="preserve">TANGRAM EN FOAMY DE (45x45)cm           </v>
          </cell>
          <cell r="D840" t="str">
            <v xml:space="preserve">EVA  </v>
          </cell>
          <cell r="E840">
            <v>69.3</v>
          </cell>
          <cell r="F840">
            <v>80.387999999999991</v>
          </cell>
        </row>
        <row r="841">
          <cell r="A841">
            <v>837</v>
          </cell>
          <cell r="B841" t="str">
            <v xml:space="preserve">781968002182    </v>
          </cell>
          <cell r="C841" t="str">
            <v>CRECE CRISTALES COLOSALES (SE-COLOSALES)</v>
          </cell>
          <cell r="D841" t="str">
            <v>EXPLO</v>
          </cell>
          <cell r="E841">
            <v>267.3</v>
          </cell>
          <cell r="F841">
            <v>310.06799999999998</v>
          </cell>
        </row>
        <row r="842">
          <cell r="A842">
            <v>838</v>
          </cell>
          <cell r="B842" t="str">
            <v xml:space="preserve">781968002243    </v>
          </cell>
          <cell r="C842" t="str">
            <v xml:space="preserve">BABA DE CIENCIA FICCION                 </v>
          </cell>
          <cell r="D842" t="str">
            <v>EXPLO</v>
          </cell>
          <cell r="E842">
            <v>267.3</v>
          </cell>
          <cell r="F842">
            <v>310.06799999999998</v>
          </cell>
        </row>
        <row r="843">
          <cell r="A843">
            <v>839</v>
          </cell>
          <cell r="B843" t="str">
            <v xml:space="preserve">781968005060    </v>
          </cell>
          <cell r="C843" t="str">
            <v xml:space="preserve">CIENCIA DEL HELADO (SE-HELADO)          </v>
          </cell>
          <cell r="D843" t="str">
            <v>EXPLO</v>
          </cell>
          <cell r="E843">
            <v>267.3</v>
          </cell>
          <cell r="F843">
            <v>310.06799999999998</v>
          </cell>
        </row>
        <row r="844">
          <cell r="A844">
            <v>840</v>
          </cell>
          <cell r="B844" t="str">
            <v xml:space="preserve">9781891808289   </v>
          </cell>
          <cell r="C844" t="str">
            <v xml:space="preserve">FRENCH SPA &amp; BODY LOTION                </v>
          </cell>
          <cell r="D844" t="str">
            <v>EXPLO</v>
          </cell>
          <cell r="E844">
            <v>267.3</v>
          </cell>
          <cell r="F844">
            <v>310.06799999999998</v>
          </cell>
        </row>
        <row r="845">
          <cell r="A845">
            <v>841</v>
          </cell>
          <cell r="B845" t="str">
            <v xml:space="preserve">9781891808555   </v>
          </cell>
          <cell r="C845" t="str">
            <v xml:space="preserve">BABA DE CIENCIA FICCION (SE-BABA)       </v>
          </cell>
          <cell r="D845" t="str">
            <v>EXPLO</v>
          </cell>
          <cell r="E845">
            <v>267.3</v>
          </cell>
          <cell r="F845">
            <v>310.06799999999998</v>
          </cell>
        </row>
        <row r="846">
          <cell r="A846">
            <v>842</v>
          </cell>
          <cell r="B846" t="str">
            <v xml:space="preserve">9781891808708   </v>
          </cell>
          <cell r="C846" t="str">
            <v xml:space="preserve">GEMAS VIBRANTES Y CREACIONES (SE-GEMAS) </v>
          </cell>
          <cell r="D846" t="str">
            <v>EXPLO</v>
          </cell>
          <cell r="E846">
            <v>267.3</v>
          </cell>
          <cell r="F846">
            <v>310.06799999999998</v>
          </cell>
        </row>
        <row r="847">
          <cell r="A847">
            <v>843</v>
          </cell>
          <cell r="B847" t="str">
            <v xml:space="preserve">9781891808845   </v>
          </cell>
          <cell r="C847" t="str">
            <v xml:space="preserve">GEODOS GIGANTES BRILLAN (SE-GEODOS)     </v>
          </cell>
          <cell r="D847" t="str">
            <v>EXPLO</v>
          </cell>
          <cell r="E847">
            <v>267.3</v>
          </cell>
          <cell r="F847">
            <v>310.06799999999998</v>
          </cell>
        </row>
        <row r="848">
          <cell r="A848">
            <v>844</v>
          </cell>
          <cell r="B848">
            <v>800002877</v>
          </cell>
          <cell r="C848" t="str">
            <v xml:space="preserve">LOVELY HOUSE CON SONIDOS                </v>
          </cell>
          <cell r="D848" t="str">
            <v>FEBER</v>
          </cell>
          <cell r="E848">
            <v>5940</v>
          </cell>
          <cell r="F848">
            <v>6890.4</v>
          </cell>
        </row>
        <row r="849">
          <cell r="A849">
            <v>845</v>
          </cell>
          <cell r="B849" t="str">
            <v xml:space="preserve">800002881       </v>
          </cell>
          <cell r="C849" t="str">
            <v xml:space="preserve">HAPPY BEARS HOUSE CON SONIDOS           </v>
          </cell>
          <cell r="D849" t="str">
            <v>FEBER</v>
          </cell>
          <cell r="E849">
            <v>6600</v>
          </cell>
          <cell r="F849">
            <v>7656</v>
          </cell>
        </row>
        <row r="850">
          <cell r="A850">
            <v>846</v>
          </cell>
          <cell r="B850" t="str">
            <v xml:space="preserve">800002884       </v>
          </cell>
          <cell r="C850" t="str">
            <v xml:space="preserve">WOOLAND COTTAGE CON SONIDOS             </v>
          </cell>
          <cell r="D850" t="str">
            <v>FEBER</v>
          </cell>
          <cell r="E850">
            <v>16335</v>
          </cell>
          <cell r="F850">
            <v>18948.599999999999</v>
          </cell>
        </row>
        <row r="851">
          <cell r="A851">
            <v>847</v>
          </cell>
          <cell r="B851" t="str">
            <v xml:space="preserve">800002886       </v>
          </cell>
          <cell r="C851" t="str">
            <v xml:space="preserve">FEBER 2 FLOOR HOUSE CON SONIDOS         </v>
          </cell>
          <cell r="D851" t="str">
            <v>FEBER</v>
          </cell>
          <cell r="E851">
            <v>25245</v>
          </cell>
          <cell r="F851">
            <v>29284.199999999997</v>
          </cell>
        </row>
        <row r="852">
          <cell r="A852">
            <v>848</v>
          </cell>
          <cell r="B852" t="str">
            <v xml:space="preserve">800002888       </v>
          </cell>
          <cell r="C852" t="str">
            <v xml:space="preserve">PARQUE DE JUEGOS                        </v>
          </cell>
          <cell r="D852" t="str">
            <v>FEBER</v>
          </cell>
          <cell r="E852">
            <v>5280</v>
          </cell>
          <cell r="F852">
            <v>6124.7999999999993</v>
          </cell>
        </row>
        <row r="853">
          <cell r="A853">
            <v>849</v>
          </cell>
          <cell r="B853" t="str">
            <v xml:space="preserve">800002890       </v>
          </cell>
          <cell r="C853" t="str">
            <v xml:space="preserve">FEBER ACTIVITY CLOWN                    </v>
          </cell>
          <cell r="D853" t="str">
            <v>FEBER</v>
          </cell>
          <cell r="E853">
            <v>11880</v>
          </cell>
          <cell r="F853">
            <v>13780.8</v>
          </cell>
        </row>
        <row r="854">
          <cell r="A854">
            <v>850</v>
          </cell>
          <cell r="B854" t="str">
            <v xml:space="preserve">800002892       </v>
          </cell>
          <cell r="C854" t="str">
            <v xml:space="preserve">MODULOS 4 FEBERGUS                      </v>
          </cell>
          <cell r="D854" t="str">
            <v>FEBER</v>
          </cell>
          <cell r="E854">
            <v>4784.9999999999991</v>
          </cell>
          <cell r="F854">
            <v>5550.5999999999985</v>
          </cell>
        </row>
        <row r="855">
          <cell r="A855">
            <v>851</v>
          </cell>
          <cell r="B855" t="str">
            <v xml:space="preserve">800002895       </v>
          </cell>
          <cell r="C855" t="str">
            <v xml:space="preserve">MESA PICNIC FANTASMAS                   </v>
          </cell>
          <cell r="D855" t="str">
            <v>FEBER</v>
          </cell>
          <cell r="E855">
            <v>2804.9999999999995</v>
          </cell>
          <cell r="F855">
            <v>3253.7999999999993</v>
          </cell>
        </row>
        <row r="856">
          <cell r="A856">
            <v>852</v>
          </cell>
          <cell r="B856" t="str">
            <v xml:space="preserve">800002897       </v>
          </cell>
          <cell r="C856" t="str">
            <v xml:space="preserve">GIANT SLIDE                             </v>
          </cell>
          <cell r="D856" t="str">
            <v>FEBER</v>
          </cell>
          <cell r="E856">
            <v>4735.5</v>
          </cell>
          <cell r="F856">
            <v>5493.1799999999994</v>
          </cell>
        </row>
        <row r="857">
          <cell r="A857">
            <v>853</v>
          </cell>
          <cell r="B857" t="str">
            <v xml:space="preserve">800003050       </v>
          </cell>
          <cell r="C857" t="str">
            <v xml:space="preserve">MEGA TOBOGAN PLEGABLE                   </v>
          </cell>
          <cell r="D857" t="str">
            <v>FEBER</v>
          </cell>
          <cell r="E857">
            <v>3959.835</v>
          </cell>
          <cell r="F857">
            <v>4593.4085999999998</v>
          </cell>
        </row>
        <row r="858">
          <cell r="A858">
            <v>854</v>
          </cell>
          <cell r="B858" t="str">
            <v xml:space="preserve">800003052       </v>
          </cell>
          <cell r="C858" t="str">
            <v xml:space="preserve">COUNTRY HOUSE                           </v>
          </cell>
          <cell r="D858" t="str">
            <v>FEBER</v>
          </cell>
          <cell r="E858">
            <v>6105</v>
          </cell>
          <cell r="F858">
            <v>7081.7999999999993</v>
          </cell>
        </row>
        <row r="859">
          <cell r="A859">
            <v>855</v>
          </cell>
          <cell r="B859" t="str">
            <v xml:space="preserve">800003054       </v>
          </cell>
          <cell r="C859" t="str">
            <v xml:space="preserve">THE MEADOW HOUSE                        </v>
          </cell>
          <cell r="D859" t="str">
            <v>FEBER</v>
          </cell>
          <cell r="E859">
            <v>9677.25</v>
          </cell>
          <cell r="F859">
            <v>11225.609999999999</v>
          </cell>
        </row>
        <row r="860">
          <cell r="A860">
            <v>856</v>
          </cell>
          <cell r="B860" t="str">
            <v xml:space="preserve">800003055       </v>
          </cell>
          <cell r="C860" t="str">
            <v xml:space="preserve">FEBER GREEN HOUSE                       </v>
          </cell>
          <cell r="D860" t="str">
            <v>FEBER</v>
          </cell>
          <cell r="E860">
            <v>11550</v>
          </cell>
          <cell r="F860">
            <v>13397.999999999998</v>
          </cell>
        </row>
        <row r="861">
          <cell r="A861">
            <v>857</v>
          </cell>
          <cell r="B861" t="str">
            <v xml:space="preserve">800003137       </v>
          </cell>
          <cell r="C861" t="str">
            <v xml:space="preserve">SUPER MEGA FOLDABLE SLIDE XXL           </v>
          </cell>
          <cell r="D861" t="str">
            <v>FEBER</v>
          </cell>
          <cell r="E861">
            <v>6105</v>
          </cell>
          <cell r="F861">
            <v>7081.7999999999993</v>
          </cell>
        </row>
        <row r="862">
          <cell r="A862">
            <v>858</v>
          </cell>
          <cell r="B862" t="str">
            <v xml:space="preserve">800003139       </v>
          </cell>
          <cell r="C862" t="str">
            <v xml:space="preserve">BUNGALOW                                </v>
          </cell>
          <cell r="D862" t="str">
            <v>FEBER</v>
          </cell>
          <cell r="E862">
            <v>12850.2</v>
          </cell>
          <cell r="F862">
            <v>14906.232</v>
          </cell>
        </row>
        <row r="863">
          <cell r="A863">
            <v>859</v>
          </cell>
          <cell r="B863" t="str">
            <v xml:space="preserve">800003152       </v>
          </cell>
          <cell r="C863" t="str">
            <v xml:space="preserve">SPRING HOUSE CON SONIDOS                </v>
          </cell>
          <cell r="D863" t="str">
            <v>FEBER</v>
          </cell>
          <cell r="E863">
            <v>6930</v>
          </cell>
          <cell r="F863">
            <v>8038.7999999999993</v>
          </cell>
        </row>
        <row r="864">
          <cell r="A864">
            <v>860</v>
          </cell>
          <cell r="B864" t="str">
            <v xml:space="preserve">800003154       </v>
          </cell>
          <cell r="C864" t="str">
            <v xml:space="preserve">FEBER MANSION CON SONIDOS               </v>
          </cell>
          <cell r="D864" t="str">
            <v>FEBER</v>
          </cell>
          <cell r="E864">
            <v>11219.999999999998</v>
          </cell>
          <cell r="F864">
            <v>13015.199999999997</v>
          </cell>
        </row>
        <row r="865">
          <cell r="A865">
            <v>861</v>
          </cell>
          <cell r="B865" t="str">
            <v xml:space="preserve">800003155       </v>
          </cell>
          <cell r="C865" t="str">
            <v xml:space="preserve">FEBER CHALET                            </v>
          </cell>
          <cell r="D865" t="str">
            <v>FEBER</v>
          </cell>
          <cell r="E865">
            <v>14520.000000000002</v>
          </cell>
          <cell r="F865">
            <v>16843.2</v>
          </cell>
        </row>
        <row r="866">
          <cell r="A866">
            <v>862</v>
          </cell>
          <cell r="B866" t="str">
            <v xml:space="preserve">800003162       </v>
          </cell>
          <cell r="C866" t="str">
            <v xml:space="preserve">SUPER 4 EN LINEA                        </v>
          </cell>
          <cell r="D866" t="str">
            <v>FEBER</v>
          </cell>
          <cell r="E866">
            <v>3514.4999999999995</v>
          </cell>
          <cell r="F866">
            <v>4076.8199999999993</v>
          </cell>
        </row>
        <row r="867">
          <cell r="A867">
            <v>863</v>
          </cell>
          <cell r="B867" t="str">
            <v xml:space="preserve">800003163       </v>
          </cell>
          <cell r="C867" t="str">
            <v xml:space="preserve">MESA 4 EN RAYA                          </v>
          </cell>
          <cell r="D867" t="str">
            <v>FEBER</v>
          </cell>
          <cell r="E867">
            <v>5114.9999999999991</v>
          </cell>
          <cell r="F867">
            <v>5933.3999999999987</v>
          </cell>
        </row>
        <row r="868">
          <cell r="A868">
            <v>864</v>
          </cell>
          <cell r="B868" t="str">
            <v xml:space="preserve">800003254       </v>
          </cell>
          <cell r="C868" t="str">
            <v xml:space="preserve">SUPER PALACIO FEBER                     </v>
          </cell>
          <cell r="D868" t="str">
            <v>FEBER</v>
          </cell>
          <cell r="E868">
            <v>19139.999999999996</v>
          </cell>
          <cell r="F868">
            <v>22202.399999999994</v>
          </cell>
        </row>
        <row r="869">
          <cell r="A869">
            <v>865</v>
          </cell>
          <cell r="B869" t="str">
            <v xml:space="preserve">800003255       </v>
          </cell>
          <cell r="C869" t="str">
            <v xml:space="preserve">3 APPLE TREE                            </v>
          </cell>
          <cell r="D869" t="str">
            <v>FEBER</v>
          </cell>
          <cell r="E869">
            <v>2640</v>
          </cell>
          <cell r="F869">
            <v>3062.3999999999996</v>
          </cell>
        </row>
        <row r="870">
          <cell r="A870">
            <v>866</v>
          </cell>
          <cell r="B870" t="str">
            <v xml:space="preserve">800003256       </v>
          </cell>
          <cell r="C870" t="str">
            <v xml:space="preserve">SEA ATTACK                              </v>
          </cell>
          <cell r="D870" t="str">
            <v>FEBER</v>
          </cell>
          <cell r="E870">
            <v>3514.4999999999995</v>
          </cell>
          <cell r="F870">
            <v>4076.8199999999993</v>
          </cell>
        </row>
        <row r="871">
          <cell r="A871">
            <v>867</v>
          </cell>
          <cell r="B871" t="str">
            <v xml:space="preserve">800004036       </v>
          </cell>
          <cell r="C871" t="str">
            <v xml:space="preserve">CASTILLO PRINCESAS FEBER                </v>
          </cell>
          <cell r="D871" t="str">
            <v>FEBER</v>
          </cell>
          <cell r="E871">
            <v>5940</v>
          </cell>
          <cell r="F871">
            <v>6890.4</v>
          </cell>
        </row>
        <row r="872">
          <cell r="A872">
            <v>868</v>
          </cell>
          <cell r="B872" t="str">
            <v xml:space="preserve">800004842       </v>
          </cell>
          <cell r="C872" t="str">
            <v xml:space="preserve">MOTOFEBER MICKEY BOMBEROS               </v>
          </cell>
          <cell r="D872" t="str">
            <v>FEBER</v>
          </cell>
          <cell r="E872">
            <v>1270.4999999999998</v>
          </cell>
          <cell r="F872">
            <v>1473.7799999999997</v>
          </cell>
        </row>
        <row r="873">
          <cell r="A873">
            <v>869</v>
          </cell>
          <cell r="B873" t="str">
            <v xml:space="preserve">800004846       </v>
          </cell>
          <cell r="C873" t="str">
            <v xml:space="preserve">TRICICLO PLUS                           </v>
          </cell>
          <cell r="D873" t="str">
            <v>FEBER</v>
          </cell>
          <cell r="E873">
            <v>1650</v>
          </cell>
          <cell r="F873">
            <v>1914</v>
          </cell>
        </row>
        <row r="874">
          <cell r="A874">
            <v>870</v>
          </cell>
          <cell r="B874" t="str">
            <v xml:space="preserve">800004865       </v>
          </cell>
          <cell r="C874" t="str">
            <v xml:space="preserve">TOBOGAN JUNIOR 2 POSICIONES             </v>
          </cell>
          <cell r="D874" t="str">
            <v>FEBER</v>
          </cell>
          <cell r="E874">
            <v>825</v>
          </cell>
          <cell r="F874">
            <v>957</v>
          </cell>
        </row>
        <row r="875">
          <cell r="A875">
            <v>871</v>
          </cell>
          <cell r="B875" t="str">
            <v xml:space="preserve">800004868       </v>
          </cell>
          <cell r="C875" t="str">
            <v xml:space="preserve">COUNTRY HOUSE                           </v>
          </cell>
          <cell r="D875" t="str">
            <v>FEBER</v>
          </cell>
          <cell r="E875">
            <v>6105</v>
          </cell>
          <cell r="F875">
            <v>7081.7999999999993</v>
          </cell>
        </row>
        <row r="876">
          <cell r="A876">
            <v>872</v>
          </cell>
          <cell r="B876" t="str">
            <v xml:space="preserve">800004893       </v>
          </cell>
          <cell r="C876" t="str">
            <v xml:space="preserve">HOSPITAL NENUCO                         </v>
          </cell>
          <cell r="D876" t="str">
            <v>FEBER</v>
          </cell>
          <cell r="E876">
            <v>3530.835</v>
          </cell>
          <cell r="F876">
            <v>4095.7685999999999</v>
          </cell>
        </row>
        <row r="877">
          <cell r="A877">
            <v>873</v>
          </cell>
          <cell r="B877" t="str">
            <v xml:space="preserve">800005015       </v>
          </cell>
          <cell r="C877" t="str">
            <v xml:space="preserve">FEBER HOUSE                             </v>
          </cell>
          <cell r="D877" t="str">
            <v>FEBER</v>
          </cell>
          <cell r="E877">
            <v>7425.0000000000009</v>
          </cell>
          <cell r="F877">
            <v>8613</v>
          </cell>
        </row>
        <row r="878">
          <cell r="A878">
            <v>874</v>
          </cell>
          <cell r="B878" t="str">
            <v xml:space="preserve">800005139       </v>
          </cell>
          <cell r="C878" t="str">
            <v xml:space="preserve">PARQUE ACTIVITY JUNIOR                  </v>
          </cell>
          <cell r="D878" t="str">
            <v>FEBER</v>
          </cell>
          <cell r="E878">
            <v>3052.5</v>
          </cell>
          <cell r="F878">
            <v>3540.8999999999996</v>
          </cell>
        </row>
        <row r="879">
          <cell r="A879">
            <v>875</v>
          </cell>
          <cell r="B879" t="str">
            <v xml:space="preserve">800005140       </v>
          </cell>
          <cell r="C879" t="str">
            <v xml:space="preserve">TOB ACT II                              </v>
          </cell>
          <cell r="D879" t="str">
            <v>FEBER</v>
          </cell>
          <cell r="E879">
            <v>6435</v>
          </cell>
          <cell r="F879">
            <v>7464.5999999999995</v>
          </cell>
        </row>
        <row r="880">
          <cell r="A880">
            <v>876</v>
          </cell>
          <cell r="B880" t="str">
            <v xml:space="preserve">800005141       </v>
          </cell>
          <cell r="C880" t="str">
            <v xml:space="preserve">FEBERGUS                                </v>
          </cell>
          <cell r="D880" t="str">
            <v>FEBER</v>
          </cell>
          <cell r="E880">
            <v>6022.5</v>
          </cell>
          <cell r="F880">
            <v>6986.0999999999995</v>
          </cell>
        </row>
        <row r="881">
          <cell r="A881">
            <v>877</v>
          </cell>
          <cell r="B881" t="str">
            <v xml:space="preserve">800005142       </v>
          </cell>
          <cell r="C881" t="str">
            <v xml:space="preserve">SUBE Y BAJA EXTENSIBLE                  </v>
          </cell>
          <cell r="D881" t="str">
            <v>FEBER</v>
          </cell>
          <cell r="E881">
            <v>4124.835</v>
          </cell>
          <cell r="F881">
            <v>4784.8085999999994</v>
          </cell>
        </row>
        <row r="882">
          <cell r="A882">
            <v>878</v>
          </cell>
          <cell r="B882" t="str">
            <v xml:space="preserve">800005144       </v>
          </cell>
          <cell r="C882" t="str">
            <v xml:space="preserve">MESA Y 4 TABURETES / TABLE AND 4 CHAIRS </v>
          </cell>
          <cell r="D882" t="str">
            <v>FEBER</v>
          </cell>
          <cell r="E882">
            <v>3134.835</v>
          </cell>
          <cell r="F882">
            <v>3636.4085999999998</v>
          </cell>
        </row>
        <row r="883">
          <cell r="A883">
            <v>879</v>
          </cell>
          <cell r="B883" t="str">
            <v xml:space="preserve">800005812       </v>
          </cell>
          <cell r="C883" t="str">
            <v xml:space="preserve">WOOD HOUSE 5812                         </v>
          </cell>
          <cell r="D883" t="str">
            <v>FEBER</v>
          </cell>
          <cell r="E883">
            <v>9157.5</v>
          </cell>
          <cell r="F883">
            <v>10622.699999999999</v>
          </cell>
        </row>
        <row r="884">
          <cell r="A884">
            <v>880</v>
          </cell>
          <cell r="B884" t="str">
            <v xml:space="preserve">800006135       </v>
          </cell>
          <cell r="C884" t="str">
            <v xml:space="preserve">ACTIVITY PARK                           </v>
          </cell>
          <cell r="D884" t="str">
            <v>FEBER</v>
          </cell>
          <cell r="E884">
            <v>5280</v>
          </cell>
          <cell r="F884">
            <v>6124.7999999999993</v>
          </cell>
        </row>
        <row r="885">
          <cell r="A885">
            <v>881</v>
          </cell>
          <cell r="B885" t="str">
            <v xml:space="preserve">7503005564018   </v>
          </cell>
          <cell r="C885" t="str">
            <v xml:space="preserve">CD FER QUIERE SABER (CUERPO HUMANO)     </v>
          </cell>
          <cell r="D885" t="str">
            <v xml:space="preserve">FER  </v>
          </cell>
          <cell r="E885">
            <v>259.04999999999995</v>
          </cell>
          <cell r="F885">
            <v>300.49799999999993</v>
          </cell>
        </row>
        <row r="886">
          <cell r="A886">
            <v>882</v>
          </cell>
          <cell r="B886" t="str">
            <v xml:space="preserve">7503005564025   </v>
          </cell>
          <cell r="C886" t="str">
            <v xml:space="preserve">CD FER QUIERE SABER (QUE ES ECOLOGIA)   </v>
          </cell>
          <cell r="D886" t="str">
            <v xml:space="preserve">FER  </v>
          </cell>
          <cell r="E886">
            <v>259.04999999999995</v>
          </cell>
          <cell r="F886">
            <v>300.49799999999993</v>
          </cell>
        </row>
        <row r="887">
          <cell r="A887">
            <v>883</v>
          </cell>
          <cell r="B887" t="str">
            <v xml:space="preserve">7503005564032   </v>
          </cell>
          <cell r="C887" t="str">
            <v>CD FER QUIERE SABER (PARA QUE SIRVE COME</v>
          </cell>
          <cell r="D887" t="str">
            <v xml:space="preserve">FER  </v>
          </cell>
          <cell r="E887">
            <v>259.04999999999995</v>
          </cell>
          <cell r="F887">
            <v>300.49799999999993</v>
          </cell>
        </row>
        <row r="888">
          <cell r="A888">
            <v>884</v>
          </cell>
          <cell r="B888" t="str">
            <v xml:space="preserve">027084138306    </v>
          </cell>
          <cell r="C888" t="str">
            <v xml:space="preserve">1, 2, 3 BEBE TIGGER Y YO (GIMNASIO)     </v>
          </cell>
          <cell r="D888" t="str">
            <v>FISHE</v>
          </cell>
          <cell r="E888">
            <v>1219.3499999999999</v>
          </cell>
          <cell r="F888">
            <v>1414.4459999999997</v>
          </cell>
        </row>
        <row r="889">
          <cell r="A889">
            <v>885</v>
          </cell>
          <cell r="B889" t="str">
            <v xml:space="preserve">7501991838373   </v>
          </cell>
          <cell r="C889" t="str">
            <v xml:space="preserve">MOVIL CUNA FOAMY                        </v>
          </cell>
          <cell r="D889" t="str">
            <v xml:space="preserve">GAME </v>
          </cell>
          <cell r="E889">
            <v>107.24999999999999</v>
          </cell>
          <cell r="F889">
            <v>124.40999999999998</v>
          </cell>
        </row>
        <row r="890">
          <cell r="A890">
            <v>886</v>
          </cell>
          <cell r="B890" t="str">
            <v xml:space="preserve">5772525302680   </v>
          </cell>
          <cell r="C890" t="str">
            <v xml:space="preserve">GLOBO TERRAQUEO 30 CM (CAJA VDE/NGRO)   </v>
          </cell>
          <cell r="D890" t="str">
            <v>GLOBO</v>
          </cell>
          <cell r="E890">
            <v>501.6</v>
          </cell>
          <cell r="F890">
            <v>581.85599999999999</v>
          </cell>
        </row>
        <row r="891">
          <cell r="A891">
            <v>887</v>
          </cell>
          <cell r="B891" t="str">
            <v xml:space="preserve">5772525305650   </v>
          </cell>
          <cell r="C891" t="str">
            <v xml:space="preserve">GLOBO TERRAQUEO DE 30cm AZUL            </v>
          </cell>
          <cell r="D891" t="str">
            <v>GLOBO</v>
          </cell>
          <cell r="E891">
            <v>660</v>
          </cell>
          <cell r="F891">
            <v>765.59999999999991</v>
          </cell>
        </row>
        <row r="892">
          <cell r="A892">
            <v>888</v>
          </cell>
          <cell r="B892" t="str">
            <v xml:space="preserve">5772525840311   </v>
          </cell>
          <cell r="C892" t="str">
            <v xml:space="preserve">GLOBO TERRAQUEO KID AZUL                </v>
          </cell>
          <cell r="D892" t="str">
            <v>GLOBO</v>
          </cell>
          <cell r="E892">
            <v>1146.75</v>
          </cell>
          <cell r="F892">
            <v>1330.2299999999998</v>
          </cell>
        </row>
        <row r="893">
          <cell r="A893">
            <v>889</v>
          </cell>
          <cell r="B893" t="str">
            <v xml:space="preserve">GL 01           </v>
          </cell>
          <cell r="C893" t="str">
            <v xml:space="preserve">VARILLAS Y ECONOMICOS FLOR              </v>
          </cell>
          <cell r="D893" t="str">
            <v>GUIÑO</v>
          </cell>
          <cell r="E893">
            <v>79.199999999999989</v>
          </cell>
          <cell r="F893">
            <v>91.871999999999986</v>
          </cell>
        </row>
        <row r="894">
          <cell r="A894">
            <v>890</v>
          </cell>
          <cell r="B894" t="str">
            <v xml:space="preserve">GL 02           </v>
          </cell>
          <cell r="C894" t="str">
            <v xml:space="preserve">VARILLAS Y ECONOMICOS MANZANA           </v>
          </cell>
          <cell r="D894" t="str">
            <v>GUIÑO</v>
          </cell>
          <cell r="E894">
            <v>111.375</v>
          </cell>
          <cell r="F894">
            <v>129.19499999999999</v>
          </cell>
        </row>
        <row r="895">
          <cell r="A895">
            <v>891</v>
          </cell>
          <cell r="B895" t="str">
            <v xml:space="preserve">GL 03           </v>
          </cell>
          <cell r="C895" t="str">
            <v xml:space="preserve">VARILLAS Y ECONOMICOS HUEVO             </v>
          </cell>
          <cell r="D895" t="str">
            <v>GUIÑO</v>
          </cell>
          <cell r="E895">
            <v>111.375</v>
          </cell>
          <cell r="F895">
            <v>129.19499999999999</v>
          </cell>
        </row>
        <row r="896">
          <cell r="A896">
            <v>892</v>
          </cell>
          <cell r="B896" t="str">
            <v xml:space="preserve">GL 04           </v>
          </cell>
          <cell r="C896" t="str">
            <v xml:space="preserve">VARILLAS Y ECONOMICOS ERMITAÑO          </v>
          </cell>
          <cell r="D896" t="str">
            <v>GUIÑO</v>
          </cell>
          <cell r="E896">
            <v>141.9</v>
          </cell>
          <cell r="F896">
            <v>164.60399999999998</v>
          </cell>
        </row>
        <row r="897">
          <cell r="A897">
            <v>893</v>
          </cell>
          <cell r="B897" t="str">
            <v xml:space="preserve">GL 05           </v>
          </cell>
          <cell r="C897" t="str">
            <v xml:space="preserve">VARILLAS Y ECONOMICOS KULI              </v>
          </cell>
          <cell r="D897" t="str">
            <v>GUIÑO</v>
          </cell>
          <cell r="E897">
            <v>235.12499999999997</v>
          </cell>
          <cell r="F897">
            <v>272.74499999999995</v>
          </cell>
        </row>
        <row r="898">
          <cell r="A898">
            <v>894</v>
          </cell>
          <cell r="B898" t="str">
            <v xml:space="preserve">GL 06           </v>
          </cell>
          <cell r="C898" t="str">
            <v xml:space="preserve">VARILLAS Y ECONOMICOS ZOPILOTE          </v>
          </cell>
          <cell r="D898" t="str">
            <v>GUIÑO</v>
          </cell>
          <cell r="E898">
            <v>204.6</v>
          </cell>
          <cell r="F898">
            <v>237.33599999999998</v>
          </cell>
        </row>
        <row r="899">
          <cell r="A899">
            <v>895</v>
          </cell>
          <cell r="B899" t="str">
            <v xml:space="preserve">GL 100          </v>
          </cell>
          <cell r="C899" t="str">
            <v xml:space="preserve">PECES  BALLENA                          </v>
          </cell>
          <cell r="D899" t="str">
            <v>GUIÑO</v>
          </cell>
          <cell r="E899">
            <v>235.12499999999997</v>
          </cell>
          <cell r="F899">
            <v>272.74499999999995</v>
          </cell>
        </row>
        <row r="900">
          <cell r="A900">
            <v>896</v>
          </cell>
          <cell r="B900" t="str">
            <v xml:space="preserve">GL 101          </v>
          </cell>
          <cell r="C900" t="str">
            <v xml:space="preserve">PECES GORDO                             </v>
          </cell>
          <cell r="D900" t="str">
            <v>GUIÑO</v>
          </cell>
          <cell r="E900">
            <v>160.05000000000001</v>
          </cell>
          <cell r="F900">
            <v>185.65799999999999</v>
          </cell>
        </row>
        <row r="901">
          <cell r="A901">
            <v>897</v>
          </cell>
          <cell r="B901" t="str">
            <v xml:space="preserve">GL 102          </v>
          </cell>
          <cell r="C901" t="str">
            <v xml:space="preserve">PECES CARASSIUS                         </v>
          </cell>
          <cell r="D901" t="str">
            <v>GUIÑO</v>
          </cell>
          <cell r="E901">
            <v>189.74999999999997</v>
          </cell>
          <cell r="F901">
            <v>220.10999999999996</v>
          </cell>
        </row>
        <row r="902">
          <cell r="A902">
            <v>898</v>
          </cell>
          <cell r="B902" t="str">
            <v xml:space="preserve">GL 103          </v>
          </cell>
          <cell r="C902" t="str">
            <v xml:space="preserve">PECES PAYASO                            </v>
          </cell>
          <cell r="D902" t="str">
            <v>GUIÑO</v>
          </cell>
          <cell r="E902">
            <v>204.6</v>
          </cell>
          <cell r="F902">
            <v>237.33599999999998</v>
          </cell>
        </row>
        <row r="903">
          <cell r="A903">
            <v>899</v>
          </cell>
          <cell r="B903" t="str">
            <v xml:space="preserve">GL 104          </v>
          </cell>
          <cell r="C903" t="str">
            <v xml:space="preserve">PECES PEZ ERIZO                         </v>
          </cell>
          <cell r="D903" t="str">
            <v>GUIÑO</v>
          </cell>
          <cell r="E903">
            <v>204.6</v>
          </cell>
          <cell r="F903">
            <v>237.33599999999998</v>
          </cell>
        </row>
        <row r="904">
          <cell r="A904">
            <v>900</v>
          </cell>
          <cell r="B904" t="str">
            <v xml:space="preserve">GL 105          </v>
          </cell>
          <cell r="C904" t="str">
            <v xml:space="preserve">PECES SAN PEDRO                         </v>
          </cell>
          <cell r="D904" t="str">
            <v>GUIÑO</v>
          </cell>
          <cell r="E904">
            <v>189.74999999999997</v>
          </cell>
          <cell r="F904">
            <v>220.10999999999996</v>
          </cell>
        </row>
        <row r="905">
          <cell r="A905">
            <v>901</v>
          </cell>
          <cell r="B905" t="str">
            <v xml:space="preserve">GL 106          </v>
          </cell>
          <cell r="C905" t="str">
            <v xml:space="preserve">PECES MERO                              </v>
          </cell>
          <cell r="D905" t="str">
            <v>GUIÑO</v>
          </cell>
          <cell r="E905">
            <v>235.12499999999997</v>
          </cell>
          <cell r="F905">
            <v>272.74499999999995</v>
          </cell>
        </row>
        <row r="906">
          <cell r="A906">
            <v>902</v>
          </cell>
          <cell r="B906" t="str">
            <v xml:space="preserve">GL 107          </v>
          </cell>
          <cell r="C906" t="str">
            <v xml:space="preserve">PECES TIBURON                           </v>
          </cell>
          <cell r="D906" t="str">
            <v>GUIÑO</v>
          </cell>
          <cell r="E906">
            <v>235.12499999999997</v>
          </cell>
          <cell r="F906">
            <v>272.74499999999995</v>
          </cell>
        </row>
        <row r="907">
          <cell r="A907">
            <v>903</v>
          </cell>
          <cell r="B907" t="str">
            <v xml:space="preserve">GL 120          </v>
          </cell>
          <cell r="C907" t="str">
            <v xml:space="preserve">MOVIL PULPOS                            </v>
          </cell>
          <cell r="D907" t="str">
            <v>GUIÑO</v>
          </cell>
          <cell r="E907">
            <v>255.74999999999997</v>
          </cell>
          <cell r="F907">
            <v>296.66999999999996</v>
          </cell>
        </row>
        <row r="908">
          <cell r="A908">
            <v>904</v>
          </cell>
          <cell r="B908" t="str">
            <v xml:space="preserve">GL 121          </v>
          </cell>
          <cell r="C908" t="str">
            <v xml:space="preserve">MOVIL ESTRELLAS                         </v>
          </cell>
          <cell r="D908" t="str">
            <v>GUIÑO</v>
          </cell>
          <cell r="E908">
            <v>280.49999999999994</v>
          </cell>
          <cell r="F908">
            <v>325.37999999999994</v>
          </cell>
        </row>
        <row r="909">
          <cell r="A909">
            <v>905</v>
          </cell>
          <cell r="B909" t="str">
            <v xml:space="preserve">GL 122          </v>
          </cell>
          <cell r="C909" t="str">
            <v xml:space="preserve">MOVIL HOJAS                             </v>
          </cell>
          <cell r="D909" t="str">
            <v>GUIÑO</v>
          </cell>
          <cell r="E909">
            <v>255.74999999999997</v>
          </cell>
          <cell r="F909">
            <v>296.66999999999996</v>
          </cell>
        </row>
        <row r="910">
          <cell r="A910">
            <v>906</v>
          </cell>
          <cell r="B910" t="str">
            <v xml:space="preserve">GL 123          </v>
          </cell>
          <cell r="C910" t="str">
            <v xml:space="preserve">MOVIL FLORES                            </v>
          </cell>
          <cell r="D910" t="str">
            <v>GUIÑO</v>
          </cell>
          <cell r="E910">
            <v>255.74999999999997</v>
          </cell>
          <cell r="F910">
            <v>296.66999999999996</v>
          </cell>
        </row>
        <row r="911">
          <cell r="A911">
            <v>907</v>
          </cell>
          <cell r="B911" t="str">
            <v xml:space="preserve">GL 124          </v>
          </cell>
          <cell r="C911" t="str">
            <v xml:space="preserve">MOVIL NUBES                             </v>
          </cell>
          <cell r="D911" t="str">
            <v>GUIÑO</v>
          </cell>
          <cell r="E911">
            <v>255.74999999999997</v>
          </cell>
          <cell r="F911">
            <v>296.66999999999996</v>
          </cell>
        </row>
        <row r="912">
          <cell r="A912">
            <v>908</v>
          </cell>
          <cell r="B912" t="str">
            <v xml:space="preserve">GL 126          </v>
          </cell>
          <cell r="C912" t="str">
            <v xml:space="preserve">MOVIL PAJARO GRANDE                     </v>
          </cell>
          <cell r="D912" t="str">
            <v>GUIÑO</v>
          </cell>
          <cell r="E912">
            <v>226.87500000000003</v>
          </cell>
          <cell r="F912">
            <v>263.17500000000001</v>
          </cell>
        </row>
        <row r="913">
          <cell r="A913">
            <v>909</v>
          </cell>
          <cell r="B913" t="str">
            <v xml:space="preserve">GL 20           </v>
          </cell>
          <cell r="C913" t="str">
            <v xml:space="preserve">GUANTES NIDO                            </v>
          </cell>
          <cell r="D913" t="str">
            <v>GUIÑO</v>
          </cell>
          <cell r="E913">
            <v>204.6</v>
          </cell>
          <cell r="F913">
            <v>237.33599999999998</v>
          </cell>
        </row>
        <row r="914">
          <cell r="A914">
            <v>910</v>
          </cell>
          <cell r="B914" t="str">
            <v xml:space="preserve">GL 21           </v>
          </cell>
          <cell r="C914" t="str">
            <v xml:space="preserve">GUANTES ABEJA                           </v>
          </cell>
          <cell r="D914" t="str">
            <v>GUIÑO</v>
          </cell>
          <cell r="E914">
            <v>160.05000000000001</v>
          </cell>
          <cell r="F914">
            <v>185.65799999999999</v>
          </cell>
        </row>
        <row r="915">
          <cell r="A915">
            <v>911</v>
          </cell>
          <cell r="B915" t="str">
            <v xml:space="preserve">GL 22           </v>
          </cell>
          <cell r="C915" t="str">
            <v xml:space="preserve">GUANTES CATARINA                        </v>
          </cell>
          <cell r="D915" t="str">
            <v>GUIÑO</v>
          </cell>
          <cell r="E915">
            <v>160.05000000000001</v>
          </cell>
          <cell r="F915">
            <v>185.65799999999999</v>
          </cell>
        </row>
        <row r="916">
          <cell r="A916">
            <v>912</v>
          </cell>
          <cell r="B916" t="str">
            <v xml:space="preserve">GL 23           </v>
          </cell>
          <cell r="C916" t="str">
            <v xml:space="preserve">GUANTES MARIPOSA                        </v>
          </cell>
          <cell r="D916" t="str">
            <v>GUIÑO</v>
          </cell>
          <cell r="E916">
            <v>160.05000000000001</v>
          </cell>
          <cell r="F916">
            <v>185.65799999999999</v>
          </cell>
        </row>
        <row r="917">
          <cell r="A917">
            <v>913</v>
          </cell>
          <cell r="B917" t="str">
            <v xml:space="preserve">GL 24           </v>
          </cell>
          <cell r="C917" t="str">
            <v xml:space="preserve">GUANTES CARACOL                         </v>
          </cell>
          <cell r="D917" t="str">
            <v>GUIÑO</v>
          </cell>
          <cell r="E917">
            <v>160.05000000000001</v>
          </cell>
          <cell r="F917">
            <v>185.65799999999999</v>
          </cell>
        </row>
        <row r="918">
          <cell r="A918">
            <v>914</v>
          </cell>
          <cell r="B918" t="str">
            <v xml:space="preserve">GL 25           </v>
          </cell>
          <cell r="C918" t="str">
            <v xml:space="preserve">GUANTES TORTUGA                         </v>
          </cell>
          <cell r="D918" t="str">
            <v>GUIÑO</v>
          </cell>
          <cell r="E918">
            <v>160.05000000000001</v>
          </cell>
          <cell r="F918">
            <v>185.65799999999999</v>
          </cell>
        </row>
        <row r="919">
          <cell r="A919">
            <v>915</v>
          </cell>
          <cell r="B919" t="str">
            <v xml:space="preserve">GL 26           </v>
          </cell>
          <cell r="C919" t="str">
            <v xml:space="preserve">GUANTES PUERCO ESPIN                    </v>
          </cell>
          <cell r="D919" t="str">
            <v>GUIÑO</v>
          </cell>
          <cell r="E919">
            <v>160.05000000000001</v>
          </cell>
          <cell r="F919">
            <v>185.65799999999999</v>
          </cell>
        </row>
        <row r="920">
          <cell r="A920">
            <v>916</v>
          </cell>
          <cell r="B920" t="str">
            <v xml:space="preserve">GL 27           </v>
          </cell>
          <cell r="C920" t="str">
            <v xml:space="preserve">GUANTES PULPO                           </v>
          </cell>
          <cell r="D920" t="str">
            <v>GUIÑO</v>
          </cell>
          <cell r="E920">
            <v>160.05000000000001</v>
          </cell>
          <cell r="F920">
            <v>185.65799999999999</v>
          </cell>
        </row>
        <row r="921">
          <cell r="A921">
            <v>917</v>
          </cell>
          <cell r="B921" t="str">
            <v xml:space="preserve">GL 28           </v>
          </cell>
          <cell r="C921" t="str">
            <v xml:space="preserve">GUANTE ARAÑA                            </v>
          </cell>
          <cell r="D921" t="str">
            <v>GUIÑO</v>
          </cell>
          <cell r="E921">
            <v>160.05000000000001</v>
          </cell>
          <cell r="F921">
            <v>185.65799999999999</v>
          </cell>
        </row>
        <row r="922">
          <cell r="A922">
            <v>918</v>
          </cell>
          <cell r="B922" t="str">
            <v xml:space="preserve">GL 29           </v>
          </cell>
          <cell r="C922" t="str">
            <v xml:space="preserve">GUANTES ESCORPION                       </v>
          </cell>
          <cell r="D922" t="str">
            <v>GUIÑO</v>
          </cell>
          <cell r="E922">
            <v>160.05000000000001</v>
          </cell>
          <cell r="F922">
            <v>185.65799999999999</v>
          </cell>
        </row>
        <row r="923">
          <cell r="A923">
            <v>919</v>
          </cell>
          <cell r="B923" t="str">
            <v xml:space="preserve">GL 30           </v>
          </cell>
          <cell r="C923" t="str">
            <v xml:space="preserve">GUANTES MOSQUITO                        </v>
          </cell>
          <cell r="D923" t="str">
            <v>GUIÑO</v>
          </cell>
          <cell r="E923">
            <v>160.05000000000001</v>
          </cell>
          <cell r="F923">
            <v>185.65799999999999</v>
          </cell>
        </row>
        <row r="924">
          <cell r="A924">
            <v>920</v>
          </cell>
          <cell r="B924" t="str">
            <v xml:space="preserve">GL 31           </v>
          </cell>
          <cell r="C924" t="str">
            <v xml:space="preserve">GUANTES LIBELULA                        </v>
          </cell>
          <cell r="D924" t="str">
            <v>GUIÑO</v>
          </cell>
          <cell r="E924">
            <v>160.05000000000001</v>
          </cell>
          <cell r="F924">
            <v>185.65799999999999</v>
          </cell>
        </row>
        <row r="925">
          <cell r="A925">
            <v>921</v>
          </cell>
          <cell r="B925" t="str">
            <v xml:space="preserve">GL 32           </v>
          </cell>
          <cell r="C925" t="str">
            <v xml:space="preserve">GUANTES GRILLO                          </v>
          </cell>
          <cell r="D925" t="str">
            <v>GUIÑO</v>
          </cell>
          <cell r="E925">
            <v>160.05000000000001</v>
          </cell>
          <cell r="F925">
            <v>185.65799999999999</v>
          </cell>
        </row>
        <row r="926">
          <cell r="A926">
            <v>922</v>
          </cell>
          <cell r="B926" t="str">
            <v xml:space="preserve">GL 33           </v>
          </cell>
          <cell r="C926" t="str">
            <v xml:space="preserve">GUANTES ESCARABAJO                      </v>
          </cell>
          <cell r="D926" t="str">
            <v>GUIÑO</v>
          </cell>
          <cell r="E926">
            <v>160.05000000000001</v>
          </cell>
          <cell r="F926">
            <v>185.65799999999999</v>
          </cell>
        </row>
        <row r="927">
          <cell r="A927">
            <v>923</v>
          </cell>
          <cell r="B927" t="str">
            <v xml:space="preserve">GL 50           </v>
          </cell>
          <cell r="C927" t="str">
            <v xml:space="preserve">MANOPLA PERRO                           </v>
          </cell>
          <cell r="D927" t="str">
            <v>GUIÑO</v>
          </cell>
          <cell r="E927">
            <v>189.74999999999997</v>
          </cell>
          <cell r="F927">
            <v>220.10999999999996</v>
          </cell>
        </row>
        <row r="928">
          <cell r="A928">
            <v>924</v>
          </cell>
          <cell r="B928" t="str">
            <v xml:space="preserve">GL 51           </v>
          </cell>
          <cell r="C928" t="str">
            <v xml:space="preserve">MANOPLA GATO                            </v>
          </cell>
          <cell r="D928" t="str">
            <v>GUIÑO</v>
          </cell>
          <cell r="E928">
            <v>189.74999999999997</v>
          </cell>
          <cell r="F928">
            <v>220.10999999999996</v>
          </cell>
        </row>
        <row r="929">
          <cell r="A929">
            <v>925</v>
          </cell>
          <cell r="B929" t="str">
            <v xml:space="preserve">GL 52           </v>
          </cell>
          <cell r="C929" t="str">
            <v xml:space="preserve">MANOPLA RATON                           </v>
          </cell>
          <cell r="D929" t="str">
            <v>GUIÑO</v>
          </cell>
          <cell r="E929">
            <v>189.74999999999997</v>
          </cell>
          <cell r="F929">
            <v>220.10999999999996</v>
          </cell>
        </row>
        <row r="930">
          <cell r="A930">
            <v>926</v>
          </cell>
          <cell r="B930" t="str">
            <v xml:space="preserve">GL 53           </v>
          </cell>
          <cell r="C930" t="str">
            <v xml:space="preserve">MANOPLA GALLINA                         </v>
          </cell>
          <cell r="D930" t="str">
            <v>GUIÑO</v>
          </cell>
          <cell r="E930">
            <v>189.74999999999997</v>
          </cell>
          <cell r="F930">
            <v>220.10999999999996</v>
          </cell>
        </row>
        <row r="931">
          <cell r="A931">
            <v>927</v>
          </cell>
          <cell r="B931" t="str">
            <v xml:space="preserve">GL 54           </v>
          </cell>
          <cell r="C931" t="str">
            <v xml:space="preserve">MANOPLA VACA                            </v>
          </cell>
          <cell r="D931" t="str">
            <v>GUIÑO</v>
          </cell>
          <cell r="E931">
            <v>189.74999999999997</v>
          </cell>
          <cell r="F931">
            <v>220.10999999999996</v>
          </cell>
        </row>
        <row r="932">
          <cell r="A932">
            <v>928</v>
          </cell>
          <cell r="B932" t="str">
            <v xml:space="preserve">GL 55           </v>
          </cell>
          <cell r="C932" t="str">
            <v xml:space="preserve">MANOPLA CERDO                           </v>
          </cell>
          <cell r="D932" t="str">
            <v>GUIÑO</v>
          </cell>
          <cell r="E932">
            <v>189.74999999999997</v>
          </cell>
          <cell r="F932">
            <v>220.10999999999996</v>
          </cell>
        </row>
        <row r="933">
          <cell r="A933">
            <v>929</v>
          </cell>
          <cell r="B933" t="str">
            <v xml:space="preserve">GL 56           </v>
          </cell>
          <cell r="C933" t="str">
            <v xml:space="preserve">MANOPLA CONEJO                          </v>
          </cell>
          <cell r="D933" t="str">
            <v>GUIÑO</v>
          </cell>
          <cell r="E933">
            <v>189.74999999999997</v>
          </cell>
          <cell r="F933">
            <v>220.10999999999996</v>
          </cell>
        </row>
        <row r="934">
          <cell r="A934">
            <v>930</v>
          </cell>
          <cell r="B934" t="str">
            <v xml:space="preserve">GL 57           </v>
          </cell>
          <cell r="C934" t="str">
            <v xml:space="preserve">MANOPLA ELEFANTE                        </v>
          </cell>
          <cell r="D934" t="str">
            <v>GUIÑO</v>
          </cell>
          <cell r="E934">
            <v>189.74999999999997</v>
          </cell>
          <cell r="F934">
            <v>220.10999999999996</v>
          </cell>
        </row>
        <row r="935">
          <cell r="A935">
            <v>931</v>
          </cell>
          <cell r="B935" t="str">
            <v xml:space="preserve">GL 58           </v>
          </cell>
          <cell r="C935" t="str">
            <v xml:space="preserve">MANOPLA JIRAFA                          </v>
          </cell>
          <cell r="D935" t="str">
            <v>GUIÑO</v>
          </cell>
          <cell r="E935">
            <v>189.74999999999997</v>
          </cell>
          <cell r="F935">
            <v>220.10999999999996</v>
          </cell>
        </row>
        <row r="936">
          <cell r="A936">
            <v>932</v>
          </cell>
          <cell r="B936" t="str">
            <v xml:space="preserve">GL 59           </v>
          </cell>
          <cell r="C936" t="str">
            <v xml:space="preserve">MANOPLA MONO                            </v>
          </cell>
          <cell r="D936" t="str">
            <v>GUIÑO</v>
          </cell>
          <cell r="E936">
            <v>189.74999999999997</v>
          </cell>
          <cell r="F936">
            <v>220.10999999999996</v>
          </cell>
        </row>
        <row r="937">
          <cell r="A937">
            <v>933</v>
          </cell>
          <cell r="B937" t="str">
            <v xml:space="preserve">GL 60           </v>
          </cell>
          <cell r="C937" t="str">
            <v xml:space="preserve">MANOPLA RENO                            </v>
          </cell>
          <cell r="D937" t="str">
            <v>GUIÑO</v>
          </cell>
          <cell r="E937">
            <v>204.6</v>
          </cell>
          <cell r="F937">
            <v>237.33599999999998</v>
          </cell>
        </row>
        <row r="938">
          <cell r="A938">
            <v>934</v>
          </cell>
          <cell r="B938" t="str">
            <v xml:space="preserve">GL 61           </v>
          </cell>
          <cell r="C938" t="str">
            <v xml:space="preserve">MANOPLA LEON                            </v>
          </cell>
          <cell r="D938" t="str">
            <v>GUIÑO</v>
          </cell>
          <cell r="E938">
            <v>235.12499999999997</v>
          </cell>
          <cell r="F938">
            <v>272.74499999999995</v>
          </cell>
        </row>
        <row r="939">
          <cell r="A939">
            <v>935</v>
          </cell>
          <cell r="B939" t="str">
            <v xml:space="preserve">GL 62           </v>
          </cell>
          <cell r="C939" t="str">
            <v xml:space="preserve">MANOPLA HIPOPOTAMO                      </v>
          </cell>
          <cell r="D939" t="str">
            <v>GUIÑO</v>
          </cell>
          <cell r="E939">
            <v>189.74999999999997</v>
          </cell>
          <cell r="F939">
            <v>220.10999999999996</v>
          </cell>
        </row>
        <row r="940">
          <cell r="A940">
            <v>936</v>
          </cell>
          <cell r="B940" t="str">
            <v xml:space="preserve">GL 63           </v>
          </cell>
          <cell r="C940" t="str">
            <v xml:space="preserve">MANOPLA LOBO                            </v>
          </cell>
          <cell r="D940" t="str">
            <v>GUIÑO</v>
          </cell>
          <cell r="E940">
            <v>189.74999999999997</v>
          </cell>
          <cell r="F940">
            <v>220.10999999999996</v>
          </cell>
        </row>
        <row r="941">
          <cell r="A941">
            <v>937</v>
          </cell>
          <cell r="B941" t="str">
            <v xml:space="preserve">GL 64           </v>
          </cell>
          <cell r="C941" t="str">
            <v xml:space="preserve">MANOPLA CAPERUCITA                      </v>
          </cell>
          <cell r="D941" t="str">
            <v>GUIÑO</v>
          </cell>
          <cell r="E941">
            <v>189.74999999999997</v>
          </cell>
          <cell r="F941">
            <v>220.10999999999996</v>
          </cell>
        </row>
        <row r="942">
          <cell r="A942">
            <v>938</v>
          </cell>
          <cell r="B942" t="str">
            <v xml:space="preserve">GL 65           </v>
          </cell>
          <cell r="C942" t="str">
            <v xml:space="preserve">MANOPLA ABUELITA                        </v>
          </cell>
          <cell r="D942" t="str">
            <v>GUIÑO</v>
          </cell>
          <cell r="E942">
            <v>189.74999999999997</v>
          </cell>
          <cell r="F942">
            <v>220.10999999999996</v>
          </cell>
        </row>
        <row r="943">
          <cell r="A943">
            <v>939</v>
          </cell>
          <cell r="B943" t="str">
            <v xml:space="preserve">GL 66           </v>
          </cell>
          <cell r="C943" t="str">
            <v xml:space="preserve">MANOPLA PINOCHO                         </v>
          </cell>
          <cell r="D943" t="str">
            <v>GUIÑO</v>
          </cell>
          <cell r="E943">
            <v>204.6</v>
          </cell>
          <cell r="F943">
            <v>237.33599999999998</v>
          </cell>
        </row>
        <row r="944">
          <cell r="A944">
            <v>940</v>
          </cell>
          <cell r="B944" t="str">
            <v xml:space="preserve">GL 67           </v>
          </cell>
          <cell r="C944" t="str">
            <v xml:space="preserve">MANOPLA GEPETTO                         </v>
          </cell>
          <cell r="D944" t="str">
            <v>GUIÑO</v>
          </cell>
          <cell r="E944">
            <v>204.6</v>
          </cell>
          <cell r="F944">
            <v>237.33599999999998</v>
          </cell>
        </row>
        <row r="945">
          <cell r="A945">
            <v>941</v>
          </cell>
          <cell r="B945" t="str">
            <v xml:space="preserve">GL 68           </v>
          </cell>
          <cell r="C945" t="str">
            <v xml:space="preserve">MANOPLA ENRIQUE                         </v>
          </cell>
          <cell r="D945" t="str">
            <v>GUIÑO</v>
          </cell>
          <cell r="E945">
            <v>189.74999999999997</v>
          </cell>
          <cell r="F945">
            <v>220.10999999999996</v>
          </cell>
        </row>
        <row r="946">
          <cell r="A946">
            <v>942</v>
          </cell>
          <cell r="B946" t="str">
            <v xml:space="preserve">GL 69           </v>
          </cell>
          <cell r="C946" t="str">
            <v xml:space="preserve">MANOPLA ENRIQUETA                       </v>
          </cell>
          <cell r="D946" t="str">
            <v>GUIÑO</v>
          </cell>
          <cell r="E946">
            <v>189.74999999999997</v>
          </cell>
          <cell r="F946">
            <v>220.10999999999996</v>
          </cell>
        </row>
        <row r="947">
          <cell r="A947">
            <v>943</v>
          </cell>
          <cell r="B947" t="str">
            <v xml:space="preserve">GL 70           </v>
          </cell>
          <cell r="C947" t="str">
            <v xml:space="preserve">MANOPLAS RANA                           </v>
          </cell>
          <cell r="D947" t="str">
            <v>GUIÑO</v>
          </cell>
          <cell r="E947">
            <v>189.74999999999997</v>
          </cell>
          <cell r="F947">
            <v>220.10999999999996</v>
          </cell>
        </row>
        <row r="948">
          <cell r="A948">
            <v>944</v>
          </cell>
          <cell r="B948" t="str">
            <v xml:space="preserve">GL 71           </v>
          </cell>
          <cell r="C948" t="str">
            <v xml:space="preserve">MANOPLAS TUCAN                          </v>
          </cell>
          <cell r="D948" t="str">
            <v>GUIÑO</v>
          </cell>
          <cell r="E948">
            <v>189.74999999999997</v>
          </cell>
          <cell r="F948">
            <v>220.10999999999996</v>
          </cell>
        </row>
        <row r="949">
          <cell r="A949">
            <v>945</v>
          </cell>
          <cell r="B949" t="str">
            <v xml:space="preserve">GL 72           </v>
          </cell>
          <cell r="C949" t="str">
            <v xml:space="preserve">MANOPLAS TIRANOSAURIO REX               </v>
          </cell>
          <cell r="D949" t="str">
            <v>GUIÑO</v>
          </cell>
          <cell r="E949">
            <v>204.6</v>
          </cell>
          <cell r="F949">
            <v>237.33599999999998</v>
          </cell>
        </row>
        <row r="950">
          <cell r="A950">
            <v>946</v>
          </cell>
          <cell r="B950" t="str">
            <v xml:space="preserve">GL 73           </v>
          </cell>
          <cell r="C950" t="str">
            <v xml:space="preserve">MANOPLAS CARNOTAURO                     </v>
          </cell>
          <cell r="D950" t="str">
            <v>GUIÑO</v>
          </cell>
          <cell r="E950">
            <v>235.12499999999997</v>
          </cell>
          <cell r="F950">
            <v>272.74499999999995</v>
          </cell>
        </row>
        <row r="951">
          <cell r="A951">
            <v>947</v>
          </cell>
          <cell r="B951" t="str">
            <v xml:space="preserve">GL 74           </v>
          </cell>
          <cell r="C951" t="str">
            <v xml:space="preserve">MANOPLAS TRICERATOPS                    </v>
          </cell>
          <cell r="D951" t="str">
            <v>GUIÑO</v>
          </cell>
          <cell r="E951">
            <v>257.39999999999998</v>
          </cell>
          <cell r="F951">
            <v>298.58399999999995</v>
          </cell>
        </row>
        <row r="952">
          <cell r="A952">
            <v>948</v>
          </cell>
          <cell r="B952" t="str">
            <v xml:space="preserve">GL-76           </v>
          </cell>
          <cell r="C952" t="str">
            <v xml:space="preserve">MANOPLA  BALLENA                        </v>
          </cell>
          <cell r="D952" t="str">
            <v>GUIÑO</v>
          </cell>
          <cell r="E952">
            <v>0</v>
          </cell>
          <cell r="F952">
            <v>0</v>
          </cell>
        </row>
        <row r="953">
          <cell r="A953">
            <v>949</v>
          </cell>
          <cell r="B953" t="str">
            <v xml:space="preserve">7501991802268   </v>
          </cell>
          <cell r="C953" t="str">
            <v xml:space="preserve">(3144) DOMINO RELOJ 24Pz (H221)         </v>
          </cell>
          <cell r="D953" t="str">
            <v>HANDS</v>
          </cell>
          <cell r="E953">
            <v>250.00000000000003</v>
          </cell>
          <cell r="F953">
            <v>290</v>
          </cell>
        </row>
        <row r="954">
          <cell r="A954">
            <v>950</v>
          </cell>
          <cell r="B954" t="str">
            <v xml:space="preserve">7501991803166   </v>
          </cell>
          <cell r="C954" t="str">
            <v xml:space="preserve">(2004) BOLICHE JUMBO 12Pz (IPE10)       </v>
          </cell>
          <cell r="D954" t="str">
            <v>HANDS</v>
          </cell>
          <cell r="E954">
            <v>92.24137931034484</v>
          </cell>
          <cell r="F954">
            <v>107</v>
          </cell>
        </row>
        <row r="955">
          <cell r="A955">
            <v>951</v>
          </cell>
          <cell r="B955" t="str">
            <v xml:space="preserve">7501991804910   </v>
          </cell>
          <cell r="C955" t="str">
            <v>(2088) BLOQUES ARQUITECTONICOS 24Pz-H203</v>
          </cell>
          <cell r="D955" t="str">
            <v>HANDS</v>
          </cell>
          <cell r="E955">
            <v>193.96551724137933</v>
          </cell>
          <cell r="F955">
            <v>225</v>
          </cell>
        </row>
        <row r="956">
          <cell r="A956">
            <v>952</v>
          </cell>
          <cell r="B956" t="str">
            <v xml:space="preserve">7501991806594   </v>
          </cell>
          <cell r="C956" t="str">
            <v xml:space="preserve">(3146) DOMINO CUERPO HUMANO 24Pz (H222) </v>
          </cell>
          <cell r="D956" t="str">
            <v>HANDS</v>
          </cell>
          <cell r="E956">
            <v>250.00000000000003</v>
          </cell>
          <cell r="F956">
            <v>290</v>
          </cell>
        </row>
        <row r="957">
          <cell r="A957">
            <v>953</v>
          </cell>
          <cell r="B957" t="str">
            <v xml:space="preserve">7501991818498   </v>
          </cell>
          <cell r="C957" t="str">
            <v xml:space="preserve">(7011) ROMPEKABZAS TREN 20Pz (H165)     </v>
          </cell>
          <cell r="D957" t="str">
            <v>HANDS</v>
          </cell>
          <cell r="E957">
            <v>94.827586206896555</v>
          </cell>
          <cell r="F957">
            <v>110</v>
          </cell>
        </row>
        <row r="958">
          <cell r="A958">
            <v>954</v>
          </cell>
          <cell r="B958" t="str">
            <v xml:space="preserve">7501991818504   </v>
          </cell>
          <cell r="C958" t="str">
            <v xml:space="preserve">(3145) DOMINO ALFABETO 28Pz (H220)      </v>
          </cell>
          <cell r="D958" t="str">
            <v>HANDS</v>
          </cell>
          <cell r="E958">
            <v>291.37931034482762</v>
          </cell>
          <cell r="F958">
            <v>338</v>
          </cell>
        </row>
        <row r="959">
          <cell r="A959">
            <v>955</v>
          </cell>
          <cell r="B959" t="str">
            <v xml:space="preserve">7501991818542   </v>
          </cell>
          <cell r="C959" t="str">
            <v xml:space="preserve">(3016) BURBUJERO 1Pz (H231)             </v>
          </cell>
          <cell r="D959" t="str">
            <v>HANDS</v>
          </cell>
          <cell r="E959">
            <v>37.068965517241381</v>
          </cell>
          <cell r="F959">
            <v>43</v>
          </cell>
        </row>
        <row r="960">
          <cell r="A960">
            <v>956</v>
          </cell>
          <cell r="B960" t="str">
            <v xml:space="preserve">7501991818559   </v>
          </cell>
          <cell r="C960" t="str">
            <v xml:space="preserve">(3086) REGLA DE ESTIRENO 1MT (H232)     </v>
          </cell>
          <cell r="D960" t="str">
            <v>HANDS</v>
          </cell>
          <cell r="E960">
            <v>38.793103448275865</v>
          </cell>
          <cell r="F960">
            <v>45</v>
          </cell>
        </row>
        <row r="961">
          <cell r="A961">
            <v>957</v>
          </cell>
          <cell r="B961" t="str">
            <v xml:space="preserve">7501991818566   </v>
          </cell>
          <cell r="C961" t="str">
            <v xml:space="preserve">(1024) MINI-EXHIBIDOR 1.5" SIN CHAROLAS </v>
          </cell>
          <cell r="D961" t="str">
            <v>HANDS</v>
          </cell>
          <cell r="E961">
            <v>224.13793103448276</v>
          </cell>
          <cell r="F961">
            <v>260</v>
          </cell>
        </row>
        <row r="962">
          <cell r="A962">
            <v>958</v>
          </cell>
          <cell r="B962" t="str">
            <v xml:space="preserve">7501991818573   </v>
          </cell>
          <cell r="C962" t="str">
            <v>(3021) REGLETAS PLAST. 291Pz CON ESTUCHE</v>
          </cell>
          <cell r="D962" t="str">
            <v>HANDS</v>
          </cell>
          <cell r="E962">
            <v>185.34482758620692</v>
          </cell>
          <cell r="F962">
            <v>215</v>
          </cell>
        </row>
        <row r="963">
          <cell r="A963">
            <v>959</v>
          </cell>
          <cell r="B963" t="str">
            <v xml:space="preserve">7501991818580   </v>
          </cell>
          <cell r="C963" t="str">
            <v xml:space="preserve">(6024) LAS TABLAS DE MULTIPLICAR (H234) </v>
          </cell>
          <cell r="D963" t="str">
            <v>HANDS</v>
          </cell>
          <cell r="E963">
            <v>56.03448275862069</v>
          </cell>
          <cell r="F963">
            <v>65</v>
          </cell>
        </row>
        <row r="964">
          <cell r="A964">
            <v>960</v>
          </cell>
          <cell r="B964" t="str">
            <v xml:space="preserve">7501991818597   </v>
          </cell>
          <cell r="C964" t="str">
            <v>(3164) PANDERO TRANSPARENTE CHICO (H235)</v>
          </cell>
          <cell r="D964" t="str">
            <v>HANDS</v>
          </cell>
          <cell r="E964">
            <v>28.448275862068968</v>
          </cell>
          <cell r="F964">
            <v>33</v>
          </cell>
        </row>
        <row r="965">
          <cell r="A965">
            <v>961</v>
          </cell>
          <cell r="B965" t="str">
            <v xml:space="preserve">7501991818603   </v>
          </cell>
          <cell r="C965" t="str">
            <v xml:space="preserve">(3047) DOMINO DE VERDURAS 28Pz (H236)   </v>
          </cell>
          <cell r="D965" t="str">
            <v>HANDS</v>
          </cell>
          <cell r="E965">
            <v>213.79310344827587</v>
          </cell>
          <cell r="F965">
            <v>248</v>
          </cell>
        </row>
        <row r="966">
          <cell r="A966">
            <v>962</v>
          </cell>
          <cell r="B966" t="str">
            <v xml:space="preserve">7501991818610   </v>
          </cell>
          <cell r="C966" t="str">
            <v xml:space="preserve">(2095) PAR DE MARACAS CARITA (H237)     </v>
          </cell>
          <cell r="D966" t="str">
            <v>HANDS</v>
          </cell>
          <cell r="E966">
            <v>17.241379310344829</v>
          </cell>
          <cell r="F966">
            <v>20</v>
          </cell>
        </row>
        <row r="967">
          <cell r="A967">
            <v>963</v>
          </cell>
          <cell r="B967" t="str">
            <v xml:space="preserve">7501991818627   </v>
          </cell>
          <cell r="C967" t="str">
            <v xml:space="preserve">(6032) MEMORAMA OBJETOS (H238)          </v>
          </cell>
          <cell r="D967" t="str">
            <v>HANDS</v>
          </cell>
          <cell r="E967">
            <v>64.65517241379311</v>
          </cell>
          <cell r="F967">
            <v>75</v>
          </cell>
        </row>
        <row r="968">
          <cell r="A968">
            <v>964</v>
          </cell>
          <cell r="B968" t="str">
            <v xml:space="preserve">7501991818634   </v>
          </cell>
          <cell r="C968" t="str">
            <v xml:space="preserve">(3163) PANDERO TRANSPARENTE GDE. (H229) </v>
          </cell>
          <cell r="D968" t="str">
            <v>HANDS</v>
          </cell>
          <cell r="E968">
            <v>37.931034482758626</v>
          </cell>
          <cell r="F968">
            <v>44</v>
          </cell>
        </row>
        <row r="969">
          <cell r="A969">
            <v>965</v>
          </cell>
          <cell r="B969" t="str">
            <v xml:space="preserve">7501991818641   </v>
          </cell>
          <cell r="C969" t="str">
            <v>(6030) MEMORAMA ANIMALES ILUSTRADOS-H239</v>
          </cell>
          <cell r="D969" t="str">
            <v>HANDS</v>
          </cell>
          <cell r="E969">
            <v>64.65517241379311</v>
          </cell>
          <cell r="F969">
            <v>75</v>
          </cell>
        </row>
        <row r="970">
          <cell r="A970">
            <v>966</v>
          </cell>
          <cell r="B970" t="str">
            <v xml:space="preserve">7501991818658   </v>
          </cell>
          <cell r="C970" t="str">
            <v xml:space="preserve">(6031) MEMORAMA DEPORTES (H240)         </v>
          </cell>
          <cell r="D970" t="str">
            <v>HANDS</v>
          </cell>
          <cell r="E970">
            <v>64.65517241379311</v>
          </cell>
          <cell r="F970">
            <v>75</v>
          </cell>
        </row>
        <row r="971">
          <cell r="A971">
            <v>967</v>
          </cell>
          <cell r="B971" t="str">
            <v xml:space="preserve">7501991818665   </v>
          </cell>
          <cell r="C971" t="str">
            <v xml:space="preserve">(6029) MEMORAMA ANIMALES FOTOGRAFICOS   </v>
          </cell>
          <cell r="D971" t="str">
            <v>HANDS</v>
          </cell>
          <cell r="E971">
            <v>64.65517241379311</v>
          </cell>
          <cell r="F971">
            <v>75</v>
          </cell>
        </row>
        <row r="972">
          <cell r="A972">
            <v>968</v>
          </cell>
          <cell r="B972" t="str">
            <v xml:space="preserve">7501991818672   </v>
          </cell>
          <cell r="C972" t="str">
            <v xml:space="preserve">(6023) FLASH CARDS COLORES Y FORMAS     </v>
          </cell>
          <cell r="D972" t="str">
            <v>HANDS</v>
          </cell>
          <cell r="E972">
            <v>34.482758620689658</v>
          </cell>
          <cell r="F972">
            <v>40</v>
          </cell>
        </row>
        <row r="973">
          <cell r="A973">
            <v>969</v>
          </cell>
          <cell r="B973" t="str">
            <v xml:space="preserve">7501991818689   </v>
          </cell>
          <cell r="C973" t="str">
            <v xml:space="preserve">(6020) FLASH CARDS PARTES DEL CUERPO    </v>
          </cell>
          <cell r="D973" t="str">
            <v>HANDS</v>
          </cell>
          <cell r="E973">
            <v>34.482758620689658</v>
          </cell>
          <cell r="F973">
            <v>40</v>
          </cell>
        </row>
        <row r="974">
          <cell r="A974">
            <v>970</v>
          </cell>
          <cell r="B974" t="str">
            <v xml:space="preserve">7501991818696   </v>
          </cell>
          <cell r="C974" t="str">
            <v>(6021) FLASH CARDS EDOS. REP. MEX.(H244)</v>
          </cell>
          <cell r="D974" t="str">
            <v>HANDS</v>
          </cell>
          <cell r="E974">
            <v>27.586206896551726</v>
          </cell>
          <cell r="F974">
            <v>32</v>
          </cell>
        </row>
        <row r="975">
          <cell r="A975">
            <v>971</v>
          </cell>
          <cell r="B975" t="str">
            <v xml:space="preserve">7501991818702   </v>
          </cell>
          <cell r="C975" t="str">
            <v xml:space="preserve">(6028) REVOLTIJO DE LETRAS LOS ANIMALES </v>
          </cell>
          <cell r="D975" t="str">
            <v>HANDS</v>
          </cell>
          <cell r="E975">
            <v>241.37931034482762</v>
          </cell>
          <cell r="F975">
            <v>280</v>
          </cell>
        </row>
        <row r="976">
          <cell r="A976">
            <v>972</v>
          </cell>
          <cell r="B976" t="str">
            <v xml:space="preserve">7501991818719   </v>
          </cell>
          <cell r="C976" t="str">
            <v xml:space="preserve">(2059) MULTI-FORMAS 32Pz (H246)         </v>
          </cell>
          <cell r="D976" t="str">
            <v>HANDS</v>
          </cell>
          <cell r="E976">
            <v>193.96551724137933</v>
          </cell>
          <cell r="F976">
            <v>225</v>
          </cell>
        </row>
        <row r="977">
          <cell r="A977">
            <v>973</v>
          </cell>
          <cell r="B977" t="str">
            <v xml:space="preserve">7501991818726   </v>
          </cell>
          <cell r="C977" t="str">
            <v xml:space="preserve">(3044) DOMINO DE ANIMALES 28Pz (H247)   </v>
          </cell>
          <cell r="D977" t="str">
            <v>HANDS</v>
          </cell>
          <cell r="E977">
            <v>213.79310344827587</v>
          </cell>
          <cell r="F977">
            <v>248</v>
          </cell>
        </row>
        <row r="978">
          <cell r="A978">
            <v>974</v>
          </cell>
          <cell r="B978" t="str">
            <v xml:space="preserve">7501991818733   </v>
          </cell>
          <cell r="C978" t="str">
            <v xml:space="preserve">(3045) DOMINO FRUTAS 28Pz (H248)        </v>
          </cell>
          <cell r="D978" t="str">
            <v>HANDS</v>
          </cell>
          <cell r="E978">
            <v>213.79310344827587</v>
          </cell>
          <cell r="F978">
            <v>248</v>
          </cell>
        </row>
        <row r="979">
          <cell r="A979">
            <v>975</v>
          </cell>
          <cell r="B979" t="str">
            <v xml:space="preserve">7501991818740   </v>
          </cell>
          <cell r="C979" t="str">
            <v>(3048) DOMINO JR. ALGEBRAICO 28Pz (H249)</v>
          </cell>
          <cell r="D979" t="str">
            <v>HANDS</v>
          </cell>
          <cell r="E979">
            <v>89.65517241379311</v>
          </cell>
          <cell r="F979">
            <v>104</v>
          </cell>
        </row>
        <row r="980">
          <cell r="A980">
            <v>976</v>
          </cell>
          <cell r="B980" t="str">
            <v xml:space="preserve">7501991818757   </v>
          </cell>
          <cell r="C980" t="str">
            <v xml:space="preserve">(3131) DOMINO JR. ACENTUACIONES 28Pz    </v>
          </cell>
          <cell r="D980" t="str">
            <v>HANDS</v>
          </cell>
          <cell r="E980">
            <v>89.65517241379311</v>
          </cell>
          <cell r="F980">
            <v>104</v>
          </cell>
        </row>
        <row r="981">
          <cell r="A981">
            <v>977</v>
          </cell>
          <cell r="B981" t="str">
            <v xml:space="preserve">7501991818764   </v>
          </cell>
          <cell r="C981" t="str">
            <v xml:space="preserve">(3051) DOMINO JR. MULTIPLICACION 28Pz   </v>
          </cell>
          <cell r="D981" t="str">
            <v>HANDS</v>
          </cell>
          <cell r="E981">
            <v>89.65517241379311</v>
          </cell>
          <cell r="F981">
            <v>104</v>
          </cell>
        </row>
        <row r="982">
          <cell r="A982">
            <v>978</v>
          </cell>
          <cell r="B982" t="str">
            <v xml:space="preserve">7501991818771   </v>
          </cell>
          <cell r="C982" t="str">
            <v xml:space="preserve">(3049) DOMINO JR. DIVISION 28Pz (H252)  </v>
          </cell>
          <cell r="D982" t="str">
            <v>HANDS</v>
          </cell>
          <cell r="E982">
            <v>89.65517241379311</v>
          </cell>
          <cell r="F982">
            <v>104</v>
          </cell>
        </row>
        <row r="983">
          <cell r="A983">
            <v>979</v>
          </cell>
          <cell r="B983" t="str">
            <v xml:space="preserve">7501991818788   </v>
          </cell>
          <cell r="C983" t="str">
            <v>(3052) DOMINO JR. PORCENTAJE 28Pz (H253)</v>
          </cell>
          <cell r="D983" t="str">
            <v>HANDS</v>
          </cell>
          <cell r="E983">
            <v>89.65517241379311</v>
          </cell>
          <cell r="F983">
            <v>104</v>
          </cell>
        </row>
        <row r="984">
          <cell r="A984">
            <v>980</v>
          </cell>
          <cell r="B984" t="str">
            <v xml:space="preserve">7501991818795   </v>
          </cell>
          <cell r="C984" t="str">
            <v xml:space="preserve">(3032) COOKIE CUTTER CUENTOS 12Pz       </v>
          </cell>
          <cell r="D984" t="str">
            <v>HANDS</v>
          </cell>
          <cell r="E984">
            <v>26.724137931034484</v>
          </cell>
          <cell r="F984">
            <v>31</v>
          </cell>
        </row>
        <row r="985">
          <cell r="A985">
            <v>981</v>
          </cell>
          <cell r="B985" t="str">
            <v xml:space="preserve">7501991818801   </v>
          </cell>
          <cell r="C985" t="str">
            <v xml:space="preserve">(3129) DOMINO JR. ELEMENTOS QUIMICOS 1  </v>
          </cell>
          <cell r="D985" t="str">
            <v>HANDS</v>
          </cell>
          <cell r="E985">
            <v>89.65517241379311</v>
          </cell>
          <cell r="F985">
            <v>104</v>
          </cell>
        </row>
        <row r="986">
          <cell r="A986">
            <v>982</v>
          </cell>
          <cell r="B986" t="str">
            <v xml:space="preserve">7501991818825   </v>
          </cell>
          <cell r="C986" t="str">
            <v xml:space="preserve">(3133) DOMINO JR. ELEMENTOS QUIMICOS 2  </v>
          </cell>
          <cell r="D986" t="str">
            <v>HANDS</v>
          </cell>
          <cell r="E986">
            <v>89.65517241379311</v>
          </cell>
          <cell r="F986">
            <v>104</v>
          </cell>
        </row>
        <row r="987">
          <cell r="A987">
            <v>983</v>
          </cell>
          <cell r="B987" t="str">
            <v xml:space="preserve">7501991818832   </v>
          </cell>
          <cell r="C987" t="str">
            <v xml:space="preserve">(3118) TRIANGULO POR TRIANGULO (H258)   </v>
          </cell>
          <cell r="D987" t="str">
            <v>HANDS</v>
          </cell>
          <cell r="E987">
            <v>20.689655172413794</v>
          </cell>
          <cell r="F987">
            <v>24</v>
          </cell>
        </row>
        <row r="988">
          <cell r="A988">
            <v>984</v>
          </cell>
          <cell r="B988" t="str">
            <v xml:space="preserve">7501991818849   </v>
          </cell>
          <cell r="C988" t="str">
            <v xml:space="preserve">(3117) CUADRO POR CUADRO (H259)         </v>
          </cell>
          <cell r="D988" t="str">
            <v>HANDS</v>
          </cell>
          <cell r="E988">
            <v>20.689655172413794</v>
          </cell>
          <cell r="F988">
            <v>24</v>
          </cell>
        </row>
        <row r="989">
          <cell r="A989">
            <v>985</v>
          </cell>
          <cell r="B989" t="str">
            <v xml:space="preserve">7501991818863   </v>
          </cell>
          <cell r="C989" t="str">
            <v xml:space="preserve">(3175) UNIONES EDUCATIVAS 60Pz (H261)   </v>
          </cell>
          <cell r="D989" t="str">
            <v>HANDS</v>
          </cell>
          <cell r="E989">
            <v>94.827586206896555</v>
          </cell>
          <cell r="F989">
            <v>110</v>
          </cell>
        </row>
        <row r="990">
          <cell r="A990">
            <v>986</v>
          </cell>
          <cell r="B990" t="str">
            <v xml:space="preserve">7501991818870   </v>
          </cell>
          <cell r="C990" t="str">
            <v xml:space="preserve">(3150) BOTON APILABLE 50Pz (H262)       </v>
          </cell>
          <cell r="D990" t="str">
            <v>HANDS</v>
          </cell>
          <cell r="E990">
            <v>103.44827586206897</v>
          </cell>
          <cell r="F990">
            <v>120</v>
          </cell>
        </row>
        <row r="991">
          <cell r="A991">
            <v>987</v>
          </cell>
          <cell r="B991" t="str">
            <v xml:space="preserve">7501991818887   </v>
          </cell>
          <cell r="C991" t="str">
            <v xml:space="preserve">(3126) CUBO CONECTOR 150Pz (H263)       </v>
          </cell>
          <cell r="D991" t="str">
            <v>HANDS</v>
          </cell>
          <cell r="E991">
            <v>142.24137931034483</v>
          </cell>
          <cell r="F991">
            <v>165</v>
          </cell>
        </row>
        <row r="992">
          <cell r="A992">
            <v>988</v>
          </cell>
          <cell r="B992" t="str">
            <v xml:space="preserve">7501991818894   </v>
          </cell>
          <cell r="C992" t="str">
            <v>(3132) DOMINO JR. RAICES Y POTENCIAS 28P</v>
          </cell>
          <cell r="D992" t="str">
            <v>HANDS</v>
          </cell>
          <cell r="E992">
            <v>89.65517241379311</v>
          </cell>
          <cell r="F992">
            <v>104</v>
          </cell>
        </row>
        <row r="993">
          <cell r="A993">
            <v>989</v>
          </cell>
          <cell r="B993" t="str">
            <v xml:space="preserve">7501991818900   </v>
          </cell>
          <cell r="C993" t="str">
            <v xml:space="preserve">(3128) DOMINO JR. POTENCIAS 28Pz (H265) </v>
          </cell>
          <cell r="D993" t="str">
            <v>HANDS</v>
          </cell>
          <cell r="E993">
            <v>89.65517241379311</v>
          </cell>
          <cell r="F993">
            <v>104</v>
          </cell>
        </row>
        <row r="994">
          <cell r="A994">
            <v>990</v>
          </cell>
          <cell r="B994" t="str">
            <v xml:space="preserve">7501991818917   </v>
          </cell>
          <cell r="C994" t="str">
            <v xml:space="preserve">(3008) ARO ULA-ULA SOLIDO MEDIANO 53CM. </v>
          </cell>
          <cell r="D994" t="str">
            <v>HANDS</v>
          </cell>
          <cell r="E994">
            <v>46.551724137931039</v>
          </cell>
          <cell r="F994">
            <v>54</v>
          </cell>
        </row>
        <row r="995">
          <cell r="A995">
            <v>991</v>
          </cell>
          <cell r="B995" t="str">
            <v xml:space="preserve">7501991818924   </v>
          </cell>
          <cell r="C995" t="str">
            <v xml:space="preserve">(3006) ARO ULA-ULA SOLIDO CHICO 39.5CM. </v>
          </cell>
          <cell r="D995" t="str">
            <v>HANDS</v>
          </cell>
          <cell r="E995">
            <v>32.758620689655174</v>
          </cell>
          <cell r="F995">
            <v>38</v>
          </cell>
        </row>
        <row r="996">
          <cell r="A996">
            <v>992</v>
          </cell>
          <cell r="B996" t="str">
            <v xml:space="preserve">7501991818931   </v>
          </cell>
          <cell r="C996" t="str">
            <v xml:space="preserve">(2094) GUIRO CARITA 1Pz (H268)          </v>
          </cell>
          <cell r="D996" t="str">
            <v>HANDS</v>
          </cell>
          <cell r="E996">
            <v>12.931034482758621</v>
          </cell>
          <cell r="F996">
            <v>15</v>
          </cell>
        </row>
        <row r="997">
          <cell r="A997">
            <v>993</v>
          </cell>
          <cell r="B997" t="str">
            <v xml:space="preserve">7501991818948   </v>
          </cell>
          <cell r="C997" t="str">
            <v xml:space="preserve">(3183) FRACCIONES RECTANGULARES 65Pz    </v>
          </cell>
          <cell r="D997" t="str">
            <v>HANDS</v>
          </cell>
          <cell r="E997">
            <v>47.413793103448278</v>
          </cell>
          <cell r="F997">
            <v>55</v>
          </cell>
        </row>
        <row r="998">
          <cell r="A998">
            <v>994</v>
          </cell>
          <cell r="B998" t="str">
            <v xml:space="preserve">7501991818955   </v>
          </cell>
          <cell r="C998" t="str">
            <v xml:space="preserve">(3159) DOMINO JR. TABLAS DE MULTIPLICAR </v>
          </cell>
          <cell r="D998" t="str">
            <v>HANDS</v>
          </cell>
          <cell r="E998">
            <v>280.17241379310349</v>
          </cell>
          <cell r="F998">
            <v>325</v>
          </cell>
        </row>
        <row r="999">
          <cell r="A999">
            <v>995</v>
          </cell>
          <cell r="B999" t="str">
            <v xml:space="preserve">7501991818962   </v>
          </cell>
          <cell r="C999" t="str">
            <v xml:space="preserve">(3096) SENSO DISCO PUNTOS 6Pz y ANTIFAZ </v>
          </cell>
          <cell r="D999" t="str">
            <v>HANDS</v>
          </cell>
          <cell r="E999">
            <v>101.72413793103449</v>
          </cell>
          <cell r="F999">
            <v>118</v>
          </cell>
        </row>
        <row r="1000">
          <cell r="A1000">
            <v>996</v>
          </cell>
          <cell r="B1000" t="str">
            <v xml:space="preserve">7501991818979   </v>
          </cell>
          <cell r="C1000" t="str">
            <v xml:space="preserve">(3119) TABLERO DE COORDINACION (H271)   </v>
          </cell>
          <cell r="D1000" t="str">
            <v>HANDS</v>
          </cell>
          <cell r="E1000">
            <v>46.551724137931039</v>
          </cell>
          <cell r="F1000">
            <v>54</v>
          </cell>
        </row>
        <row r="1001">
          <cell r="A1001">
            <v>997</v>
          </cell>
          <cell r="B1001" t="str">
            <v xml:space="preserve">7501991818986   </v>
          </cell>
          <cell r="C1001" t="str">
            <v xml:space="preserve">(3097) SENSO DISCO TEXTURAS 6Pz ANTIFAZ </v>
          </cell>
          <cell r="D1001" t="str">
            <v>HANDS</v>
          </cell>
          <cell r="E1001">
            <v>101.72413793103449</v>
          </cell>
          <cell r="F1001">
            <v>118</v>
          </cell>
        </row>
        <row r="1002">
          <cell r="A1002">
            <v>998</v>
          </cell>
          <cell r="B1002" t="str">
            <v xml:space="preserve">7501991818993   </v>
          </cell>
          <cell r="C1002" t="str">
            <v xml:space="preserve">(2054) MEGA LINK CHICO 40Pz (H274)      </v>
          </cell>
          <cell r="D1002" t="str">
            <v>HANDS</v>
          </cell>
          <cell r="E1002">
            <v>193.96551724137933</v>
          </cell>
          <cell r="F1002">
            <v>225</v>
          </cell>
        </row>
        <row r="1003">
          <cell r="A1003">
            <v>999</v>
          </cell>
          <cell r="B1003" t="str">
            <v xml:space="preserve">7501991819501   </v>
          </cell>
          <cell r="C1003" t="str">
            <v xml:space="preserve">(6019) FLASH CARDS ALFABETO 28Pz (H223) </v>
          </cell>
          <cell r="D1003" t="str">
            <v>HANDS</v>
          </cell>
          <cell r="E1003">
            <v>25.862068965517242</v>
          </cell>
          <cell r="F1003">
            <v>30</v>
          </cell>
        </row>
        <row r="1004">
          <cell r="A1004">
            <v>1000</v>
          </cell>
          <cell r="B1004" t="str">
            <v xml:space="preserve">7501991819518   </v>
          </cell>
          <cell r="C1004" t="str">
            <v>(6018) FLASH CARDS DE NUMEROS 40Pz(H224)</v>
          </cell>
          <cell r="D1004" t="str">
            <v>HANDS</v>
          </cell>
          <cell r="E1004">
            <v>34.482758620689658</v>
          </cell>
          <cell r="F1004">
            <v>40</v>
          </cell>
        </row>
        <row r="1005">
          <cell r="A1005">
            <v>1001</v>
          </cell>
          <cell r="B1005" t="str">
            <v xml:space="preserve">7501991819525   </v>
          </cell>
          <cell r="C1005" t="str">
            <v xml:space="preserve">(6022) FLASH CARDS RELOJ 40Pz (H225)    </v>
          </cell>
          <cell r="D1005" t="str">
            <v>HANDS</v>
          </cell>
          <cell r="E1005">
            <v>34.482758620689658</v>
          </cell>
          <cell r="F1005">
            <v>40</v>
          </cell>
        </row>
        <row r="1006">
          <cell r="A1006">
            <v>1002</v>
          </cell>
          <cell r="B1006" t="str">
            <v xml:space="preserve">7501991819532   </v>
          </cell>
          <cell r="C1006" t="str">
            <v>(3147) DOMINO RELACIONES MIXTO 20Pz-H226</v>
          </cell>
          <cell r="D1006" t="str">
            <v>HANDS</v>
          </cell>
          <cell r="E1006">
            <v>208.62068965517244</v>
          </cell>
          <cell r="F1006">
            <v>242</v>
          </cell>
        </row>
        <row r="1007">
          <cell r="A1007">
            <v>1003</v>
          </cell>
          <cell r="B1007" t="str">
            <v xml:space="preserve">7501991819549   </v>
          </cell>
          <cell r="C1007" t="str">
            <v xml:space="preserve">(3154) CUBO TRANSPARENTE BASE 10 (H227) </v>
          </cell>
          <cell r="D1007" t="str">
            <v>HANDS</v>
          </cell>
          <cell r="E1007">
            <v>21.551724137931036</v>
          </cell>
          <cell r="F1007">
            <v>25</v>
          </cell>
        </row>
        <row r="1008">
          <cell r="A1008">
            <v>1004</v>
          </cell>
          <cell r="B1008" t="str">
            <v xml:space="preserve">7501991819556   </v>
          </cell>
          <cell r="C1008" t="str">
            <v xml:space="preserve">(2091) MANITAS NUMERICAS 34Pz (H228)    </v>
          </cell>
          <cell r="D1008" t="str">
            <v>HANDS</v>
          </cell>
          <cell r="E1008">
            <v>193.96551724137933</v>
          </cell>
          <cell r="F1008">
            <v>225</v>
          </cell>
        </row>
        <row r="1009">
          <cell r="A1009">
            <v>1005</v>
          </cell>
          <cell r="B1009" t="str">
            <v xml:space="preserve">7501991820002   </v>
          </cell>
          <cell r="C1009" t="str">
            <v xml:space="preserve">(3103) TANGRAM CON 10 JUEGOS            </v>
          </cell>
          <cell r="D1009" t="str">
            <v>HANDS</v>
          </cell>
          <cell r="E1009">
            <v>118.10344827586208</v>
          </cell>
          <cell r="F1009">
            <v>137</v>
          </cell>
        </row>
        <row r="1010">
          <cell r="A1010">
            <v>1006</v>
          </cell>
          <cell r="B1010" t="str">
            <v xml:space="preserve">7501991820019   </v>
          </cell>
          <cell r="C1010" t="str">
            <v xml:space="preserve">(1002) ABACO GIGANTE 5 LINEAS TUBO 2"   </v>
          </cell>
          <cell r="D1010" t="str">
            <v>HANDS</v>
          </cell>
          <cell r="E1010">
            <v>443.96551724137936</v>
          </cell>
          <cell r="F1010">
            <v>515</v>
          </cell>
        </row>
        <row r="1011">
          <cell r="A1011">
            <v>1007</v>
          </cell>
          <cell r="B1011" t="str">
            <v xml:space="preserve">7501991820026   </v>
          </cell>
          <cell r="C1011" t="str">
            <v xml:space="preserve">(2003) BOLI - BOLICHE 12Pz (8 CM.)(H03) </v>
          </cell>
          <cell r="D1011" t="str">
            <v>HANDS</v>
          </cell>
          <cell r="E1011">
            <v>43.103448275862071</v>
          </cell>
          <cell r="F1011">
            <v>50</v>
          </cell>
        </row>
        <row r="1012">
          <cell r="A1012">
            <v>1008</v>
          </cell>
          <cell r="B1012" t="str">
            <v xml:space="preserve">7501991820033   </v>
          </cell>
          <cell r="C1012" t="str">
            <v xml:space="preserve">(3027) CHITA - CHANGUITOS 100Pz (H04)   </v>
          </cell>
          <cell r="D1012" t="str">
            <v>HANDS</v>
          </cell>
          <cell r="E1012">
            <v>83.620689655172413</v>
          </cell>
          <cell r="F1012">
            <v>97</v>
          </cell>
        </row>
        <row r="1013">
          <cell r="A1013">
            <v>1009</v>
          </cell>
          <cell r="B1013" t="str">
            <v xml:space="preserve">7501991820040   </v>
          </cell>
          <cell r="C1013" t="str">
            <v>(3009) AROS RITMICOS 6Pz (H05) S/CHAROLA</v>
          </cell>
          <cell r="D1013" t="str">
            <v>HANDS</v>
          </cell>
          <cell r="E1013">
            <v>85.344827586206904</v>
          </cell>
          <cell r="F1013">
            <v>99</v>
          </cell>
        </row>
        <row r="1014">
          <cell r="A1014">
            <v>1010</v>
          </cell>
          <cell r="B1014" t="str">
            <v xml:space="preserve">7501991820057   </v>
          </cell>
          <cell r="C1014" t="str">
            <v xml:space="preserve">(3031) CONSTRUTAZOS 120Pz (H06)         </v>
          </cell>
          <cell r="D1014" t="str">
            <v>HANDS</v>
          </cell>
          <cell r="E1014">
            <v>119.82758620689656</v>
          </cell>
          <cell r="F1014">
            <v>139</v>
          </cell>
        </row>
        <row r="1015">
          <cell r="A1015">
            <v>1011</v>
          </cell>
          <cell r="B1015" t="str">
            <v xml:space="preserve">7501991820064   </v>
          </cell>
          <cell r="C1015" t="str">
            <v xml:space="preserve">(3030) CONO DE SEÑALES 12Pz (H07)       </v>
          </cell>
          <cell r="D1015" t="str">
            <v>HANDS</v>
          </cell>
          <cell r="E1015">
            <v>142.24137931034483</v>
          </cell>
          <cell r="F1015">
            <v>165</v>
          </cell>
        </row>
        <row r="1016">
          <cell r="A1016">
            <v>1012</v>
          </cell>
          <cell r="B1016" t="str">
            <v xml:space="preserve">7501991820071   </v>
          </cell>
          <cell r="C1016" t="str">
            <v xml:space="preserve">(3017) CADENA GEOMETRICA 80Pz (H08)     </v>
          </cell>
          <cell r="D1016" t="str">
            <v>HANDS</v>
          </cell>
          <cell r="E1016">
            <v>93.103448275862078</v>
          </cell>
          <cell r="F1016">
            <v>108</v>
          </cell>
        </row>
        <row r="1017">
          <cell r="A1017">
            <v>1013</v>
          </cell>
          <cell r="B1017" t="str">
            <v xml:space="preserve">7501991820088   </v>
          </cell>
          <cell r="C1017" t="str">
            <v xml:space="preserve">(1015) EXHIBIDOR TUBO 2" SIN CHAROLAS   </v>
          </cell>
          <cell r="D1017" t="str">
            <v>HANDS</v>
          </cell>
          <cell r="E1017">
            <v>405.17241379310349</v>
          </cell>
          <cell r="F1017">
            <v>470</v>
          </cell>
        </row>
        <row r="1018">
          <cell r="A1018">
            <v>1014</v>
          </cell>
          <cell r="B1018" t="str">
            <v xml:space="preserve">7501991820095   </v>
          </cell>
          <cell r="C1018" t="str">
            <v xml:space="preserve">(2016) CUBOS PARA APILAR GRANDES 25Pz   </v>
          </cell>
          <cell r="D1018" t="str">
            <v>HANDS</v>
          </cell>
          <cell r="E1018">
            <v>88.793103448275872</v>
          </cell>
          <cell r="F1018">
            <v>103</v>
          </cell>
        </row>
        <row r="1019">
          <cell r="A1019">
            <v>1015</v>
          </cell>
          <cell r="B1019" t="str">
            <v xml:space="preserve">7501991820101   </v>
          </cell>
          <cell r="C1019" t="str">
            <v xml:space="preserve">(2020) ESFERA CHICA 6.5 CM. 100Pz (H11) </v>
          </cell>
          <cell r="D1019" t="str">
            <v>HANDS</v>
          </cell>
          <cell r="E1019">
            <v>206.0344827586207</v>
          </cell>
          <cell r="F1019">
            <v>239</v>
          </cell>
        </row>
        <row r="1020">
          <cell r="A1020">
            <v>1016</v>
          </cell>
          <cell r="B1020" t="str">
            <v xml:space="preserve">7501991820118   </v>
          </cell>
          <cell r="C1020" t="str">
            <v xml:space="preserve">(3062) GEOPLANO DOBLE CARA 1Pz (H12)    </v>
          </cell>
          <cell r="D1020" t="str">
            <v>HANDS</v>
          </cell>
          <cell r="E1020">
            <v>24.137931034482762</v>
          </cell>
          <cell r="F1020">
            <v>28</v>
          </cell>
        </row>
        <row r="1021">
          <cell r="A1021">
            <v>1017</v>
          </cell>
          <cell r="B1021" t="str">
            <v xml:space="preserve">7501991820125   </v>
          </cell>
          <cell r="C1021" t="str">
            <v xml:space="preserve">(3075) NUMEROS DIDACTICOS 80Pz (H13)    </v>
          </cell>
          <cell r="D1021" t="str">
            <v>HANDS</v>
          </cell>
          <cell r="E1021">
            <v>125.00000000000001</v>
          </cell>
          <cell r="F1021">
            <v>145</v>
          </cell>
        </row>
        <row r="1022">
          <cell r="A1022">
            <v>1018</v>
          </cell>
          <cell r="B1022" t="str">
            <v xml:space="preserve">7501991820132   </v>
          </cell>
          <cell r="C1022" t="str">
            <v xml:space="preserve">(2061) PAR DE MARACAS CON GUIRO (H14)   </v>
          </cell>
          <cell r="D1022" t="str">
            <v>HANDS</v>
          </cell>
          <cell r="E1022">
            <v>33.620689655172413</v>
          </cell>
          <cell r="F1022">
            <v>39</v>
          </cell>
        </row>
        <row r="1023">
          <cell r="A1023">
            <v>1019</v>
          </cell>
          <cell r="B1023" t="str">
            <v xml:space="preserve">7501991820149   </v>
          </cell>
          <cell r="C1023" t="str">
            <v>(3100) SET MOLDEA 48Pz S/Plastilina(H15)</v>
          </cell>
          <cell r="D1023" t="str">
            <v>HANDS</v>
          </cell>
          <cell r="E1023">
            <v>105.17241379310346</v>
          </cell>
          <cell r="F1023">
            <v>122</v>
          </cell>
        </row>
        <row r="1024">
          <cell r="A1024">
            <v>1020</v>
          </cell>
          <cell r="B1024" t="str">
            <v xml:space="preserve">7501991820156   </v>
          </cell>
          <cell r="C1024" t="str">
            <v xml:space="preserve">(3087) REGLETAS 291Pz (H16)             </v>
          </cell>
          <cell r="D1024" t="str">
            <v>HANDS</v>
          </cell>
          <cell r="E1024">
            <v>172.41379310344828</v>
          </cell>
          <cell r="F1024">
            <v>200</v>
          </cell>
        </row>
        <row r="1025">
          <cell r="A1025">
            <v>1021</v>
          </cell>
          <cell r="B1025" t="str">
            <v xml:space="preserve">7501991820163   </v>
          </cell>
          <cell r="C1025" t="str">
            <v xml:space="preserve">(3060) GEOESPACIO 1Pz (H17)             </v>
          </cell>
          <cell r="D1025" t="str">
            <v>HANDS</v>
          </cell>
          <cell r="E1025">
            <v>47.413793103448278</v>
          </cell>
          <cell r="F1025">
            <v>55</v>
          </cell>
        </row>
        <row r="1026">
          <cell r="A1026">
            <v>1022</v>
          </cell>
          <cell r="B1026" t="str">
            <v xml:space="preserve">7501991820170   </v>
          </cell>
          <cell r="C1026" t="str">
            <v xml:space="preserve">(3028) COMPAS 1Pz (H18)                 </v>
          </cell>
          <cell r="D1026" t="str">
            <v>HANDS</v>
          </cell>
          <cell r="E1026">
            <v>116.37931034482759</v>
          </cell>
          <cell r="F1026">
            <v>135</v>
          </cell>
        </row>
        <row r="1027">
          <cell r="A1027">
            <v>1023</v>
          </cell>
          <cell r="B1027" t="str">
            <v xml:space="preserve">7501991820187   </v>
          </cell>
          <cell r="C1027" t="str">
            <v xml:space="preserve">(3110) XILOFONO 1Pz  (H19)              </v>
          </cell>
          <cell r="D1027" t="str">
            <v>HANDS</v>
          </cell>
          <cell r="E1027">
            <v>105.17241379310346</v>
          </cell>
          <cell r="F1027">
            <v>122</v>
          </cell>
        </row>
        <row r="1028">
          <cell r="A1028">
            <v>1024</v>
          </cell>
          <cell r="B1028" t="str">
            <v xml:space="preserve">7501991820194   </v>
          </cell>
          <cell r="C1028" t="str">
            <v xml:space="preserve">(3000) ABACO VERTICAL 60Pz (H20)        </v>
          </cell>
          <cell r="D1028" t="str">
            <v>HANDS</v>
          </cell>
          <cell r="E1028">
            <v>45.689655172413794</v>
          </cell>
          <cell r="F1028">
            <v>53</v>
          </cell>
        </row>
        <row r="1029">
          <cell r="A1029">
            <v>1025</v>
          </cell>
          <cell r="B1029" t="str">
            <v xml:space="preserve">7501991820200   </v>
          </cell>
          <cell r="C1029" t="str">
            <v xml:space="preserve">(3094) SATELITE DE CONSTRUCCION 60Pz    </v>
          </cell>
          <cell r="D1029" t="str">
            <v>HANDS</v>
          </cell>
          <cell r="E1029">
            <v>203.44827586206898</v>
          </cell>
          <cell r="F1029">
            <v>236</v>
          </cell>
        </row>
        <row r="1030">
          <cell r="A1030">
            <v>1026</v>
          </cell>
          <cell r="B1030" t="str">
            <v xml:space="preserve">7501991820217   </v>
          </cell>
          <cell r="C1030" t="str">
            <v xml:space="preserve">(3111) ZANCOS DE PLASTICO 1 PAR (H22)   </v>
          </cell>
          <cell r="D1030" t="str">
            <v>HANDS</v>
          </cell>
          <cell r="E1030">
            <v>45.689655172413794</v>
          </cell>
          <cell r="F1030">
            <v>53</v>
          </cell>
        </row>
        <row r="1031">
          <cell r="A1031">
            <v>1027</v>
          </cell>
          <cell r="B1031" t="str">
            <v xml:space="preserve">7501991820224   </v>
          </cell>
          <cell r="C1031" t="str">
            <v xml:space="preserve">(2019) CURVA MAGICA 35Pz (H23)          </v>
          </cell>
          <cell r="D1031" t="str">
            <v>HANDS</v>
          </cell>
          <cell r="E1031">
            <v>193.96551724137933</v>
          </cell>
          <cell r="F1031">
            <v>225</v>
          </cell>
        </row>
        <row r="1032">
          <cell r="A1032">
            <v>1028</v>
          </cell>
          <cell r="B1032" t="str">
            <v xml:space="preserve">7501991820231   </v>
          </cell>
          <cell r="C1032" t="str">
            <v>(1022) MINI ABACO 5 LINEAS TUBO 2" (H24)</v>
          </cell>
          <cell r="D1032" t="str">
            <v>HANDS</v>
          </cell>
          <cell r="E1032">
            <v>357.75862068965517</v>
          </cell>
          <cell r="F1032">
            <v>415</v>
          </cell>
        </row>
        <row r="1033">
          <cell r="A1033">
            <v>1029</v>
          </cell>
          <cell r="B1033" t="str">
            <v xml:space="preserve">7501991820248   </v>
          </cell>
          <cell r="C1033" t="str">
            <v xml:space="preserve">(3061) GEOMETRIAS DE ENSARTE 80Pz (H25) </v>
          </cell>
          <cell r="D1033" t="str">
            <v>HANDS</v>
          </cell>
          <cell r="E1033">
            <v>159.48275862068968</v>
          </cell>
          <cell r="F1033">
            <v>185</v>
          </cell>
        </row>
        <row r="1034">
          <cell r="A1034">
            <v>1030</v>
          </cell>
          <cell r="B1034" t="str">
            <v xml:space="preserve">7501991820255   </v>
          </cell>
          <cell r="C1034" t="str">
            <v xml:space="preserve">(2023) ESTRELLA DE COLORES 30Pz (H26)   </v>
          </cell>
          <cell r="D1034" t="str">
            <v>HANDS</v>
          </cell>
          <cell r="E1034">
            <v>193.96551724137933</v>
          </cell>
          <cell r="F1034">
            <v>225</v>
          </cell>
        </row>
        <row r="1035">
          <cell r="A1035">
            <v>1031</v>
          </cell>
          <cell r="B1035" t="str">
            <v xml:space="preserve">7501991820262   </v>
          </cell>
          <cell r="C1035" t="str">
            <v xml:space="preserve">(3007) ARO ULA-ULA SOLIDO GRANDE. 63CM. </v>
          </cell>
          <cell r="D1035" t="str">
            <v>HANDS</v>
          </cell>
          <cell r="E1035">
            <v>56.896551724137936</v>
          </cell>
          <cell r="F1035">
            <v>66</v>
          </cell>
        </row>
        <row r="1036">
          <cell r="A1036">
            <v>1032</v>
          </cell>
          <cell r="B1036" t="str">
            <v xml:space="preserve">7501991820279   </v>
          </cell>
          <cell r="C1036" t="str">
            <v xml:space="preserve">(2018) CUERPOS GEOMETRICOS 8Pz (H28)    </v>
          </cell>
          <cell r="D1036" t="str">
            <v>HANDS</v>
          </cell>
          <cell r="E1036">
            <v>62.931034482758626</v>
          </cell>
          <cell r="F1036">
            <v>73</v>
          </cell>
        </row>
        <row r="1037">
          <cell r="A1037">
            <v>1033</v>
          </cell>
          <cell r="B1037" t="str">
            <v xml:space="preserve">7501991820286   </v>
          </cell>
          <cell r="C1037" t="str">
            <v xml:space="preserve">(1026) PORTERIA CHUTA-GOL TUBO 2" (H29) </v>
          </cell>
          <cell r="D1037" t="str">
            <v>HANDS</v>
          </cell>
          <cell r="E1037">
            <v>202.58620689655174</v>
          </cell>
          <cell r="F1037">
            <v>235</v>
          </cell>
        </row>
        <row r="1038">
          <cell r="A1038">
            <v>1034</v>
          </cell>
          <cell r="B1038" t="str">
            <v xml:space="preserve">7501991820293   </v>
          </cell>
          <cell r="C1038" t="str">
            <v xml:space="preserve">(2017) CUERDAS PARA SALTAR 6Pz (H30)    </v>
          </cell>
          <cell r="D1038" t="str">
            <v>HANDS</v>
          </cell>
          <cell r="E1038">
            <v>92.24137931034484</v>
          </cell>
          <cell r="F1038">
            <v>107</v>
          </cell>
        </row>
        <row r="1039">
          <cell r="A1039">
            <v>1035</v>
          </cell>
          <cell r="B1039" t="str">
            <v xml:space="preserve">7501991820309   </v>
          </cell>
          <cell r="C1039" t="str">
            <v xml:space="preserve">(2068) PLANCHA 5 COLORES 16Pz (H31)     </v>
          </cell>
          <cell r="D1039" t="str">
            <v>HANDS</v>
          </cell>
          <cell r="E1039">
            <v>193.96551724137933</v>
          </cell>
          <cell r="F1039">
            <v>225</v>
          </cell>
        </row>
        <row r="1040">
          <cell r="A1040">
            <v>1036</v>
          </cell>
          <cell r="B1040" t="str">
            <v xml:space="preserve">7501991820316   </v>
          </cell>
          <cell r="C1040" t="str">
            <v xml:space="preserve">(3088) RELOJ EDUCATIVO 1Pz (H32)        </v>
          </cell>
          <cell r="D1040" t="str">
            <v>HANDS</v>
          </cell>
          <cell r="E1040">
            <v>34.482758620689658</v>
          </cell>
          <cell r="F1040">
            <v>40</v>
          </cell>
        </row>
        <row r="1041">
          <cell r="A1041">
            <v>1037</v>
          </cell>
          <cell r="B1041" t="str">
            <v xml:space="preserve">7501991820323   </v>
          </cell>
          <cell r="C1041" t="str">
            <v xml:space="preserve">(1016) EXHIBIDOR INYECTADO S/CHAROLAS   </v>
          </cell>
          <cell r="D1041" t="str">
            <v>HANDS</v>
          </cell>
          <cell r="E1041">
            <v>202.58620689655174</v>
          </cell>
          <cell r="F1041">
            <v>235</v>
          </cell>
        </row>
        <row r="1042">
          <cell r="A1042">
            <v>1038</v>
          </cell>
          <cell r="B1042" t="str">
            <v xml:space="preserve">7501991820330   </v>
          </cell>
          <cell r="C1042" t="str">
            <v xml:space="preserve">(3029) CONO BASE CUADRADA 6Pz (H35)     </v>
          </cell>
          <cell r="D1042" t="str">
            <v>HANDS</v>
          </cell>
          <cell r="E1042">
            <v>60.344827586206904</v>
          </cell>
          <cell r="F1042">
            <v>70</v>
          </cell>
        </row>
        <row r="1043">
          <cell r="A1043">
            <v>1039</v>
          </cell>
          <cell r="B1043" t="str">
            <v xml:space="preserve">7501991820347   </v>
          </cell>
          <cell r="C1043" t="str">
            <v xml:space="preserve">(2001) ARMANDO EL CONEJO 25Pz (H36)     </v>
          </cell>
          <cell r="D1043" t="str">
            <v>HANDS</v>
          </cell>
          <cell r="E1043">
            <v>193.96551724137933</v>
          </cell>
          <cell r="F1043">
            <v>225</v>
          </cell>
        </row>
        <row r="1044">
          <cell r="A1044">
            <v>1040</v>
          </cell>
          <cell r="B1044" t="str">
            <v xml:space="preserve">7501991820354   </v>
          </cell>
          <cell r="C1044" t="str">
            <v xml:space="preserve">(2038) HERRADURA 70Pz (H37)             </v>
          </cell>
          <cell r="D1044" t="str">
            <v>HANDS</v>
          </cell>
          <cell r="E1044">
            <v>193.96551724137933</v>
          </cell>
          <cell r="F1044">
            <v>225</v>
          </cell>
        </row>
        <row r="1045">
          <cell r="A1045">
            <v>1041</v>
          </cell>
          <cell r="B1045" t="str">
            <v xml:space="preserve">7501991820361   </v>
          </cell>
          <cell r="C1045" t="str">
            <v xml:space="preserve">(2000) ABC DADOS 40Pz (H38)             </v>
          </cell>
          <cell r="D1045" t="str">
            <v>HANDS</v>
          </cell>
          <cell r="E1045">
            <v>193.96551724137933</v>
          </cell>
          <cell r="F1045">
            <v>225</v>
          </cell>
        </row>
        <row r="1046">
          <cell r="A1046">
            <v>1042</v>
          </cell>
          <cell r="B1046" t="str">
            <v xml:space="preserve">7501991820378   </v>
          </cell>
          <cell r="C1046" t="str">
            <v xml:space="preserve">(3076) PANDERO MUSICAL 1Pz (H39)        </v>
          </cell>
          <cell r="D1046" t="str">
            <v>HANDS</v>
          </cell>
          <cell r="E1046">
            <v>34.482758620689658</v>
          </cell>
          <cell r="F1046">
            <v>40</v>
          </cell>
        </row>
        <row r="1047">
          <cell r="A1047">
            <v>1043</v>
          </cell>
          <cell r="B1047" t="str">
            <v xml:space="preserve">7501991820385   </v>
          </cell>
          <cell r="C1047" t="str">
            <v xml:space="preserve">(3082) PIJAS GIGANTES CON PLANTILLAS    </v>
          </cell>
          <cell r="D1047" t="str">
            <v>HANDS</v>
          </cell>
          <cell r="E1047">
            <v>200.86206896551727</v>
          </cell>
          <cell r="F1047">
            <v>233</v>
          </cell>
        </row>
        <row r="1048">
          <cell r="A1048">
            <v>1044</v>
          </cell>
          <cell r="B1048" t="str">
            <v xml:space="preserve">7501991820392   </v>
          </cell>
          <cell r="C1048" t="str">
            <v xml:space="preserve">(3090) RESAQUE DE PLASTICO FLOR (H41)   </v>
          </cell>
          <cell r="D1048" t="str">
            <v>HANDS</v>
          </cell>
          <cell r="E1048">
            <v>35.344827586206897</v>
          </cell>
          <cell r="F1048">
            <v>41</v>
          </cell>
        </row>
        <row r="1049">
          <cell r="A1049">
            <v>1045</v>
          </cell>
          <cell r="B1049" t="str">
            <v xml:space="preserve">7501991820408   </v>
          </cell>
          <cell r="C1049" t="str">
            <v xml:space="preserve">(2027) FLOR IMPERIAL 35Pz (H42)         </v>
          </cell>
          <cell r="D1049" t="str">
            <v>HANDS</v>
          </cell>
          <cell r="E1049">
            <v>193.96551724137933</v>
          </cell>
          <cell r="F1049">
            <v>225</v>
          </cell>
        </row>
        <row r="1050">
          <cell r="A1050">
            <v>1046</v>
          </cell>
          <cell r="B1050" t="str">
            <v xml:space="preserve">7501991820415   </v>
          </cell>
          <cell r="C1050" t="str">
            <v xml:space="preserve">(3055) FAMILIA CONECTABLE 96Pz (H43)    </v>
          </cell>
          <cell r="D1050" t="str">
            <v>HANDS</v>
          </cell>
          <cell r="E1050">
            <v>93.965517241379317</v>
          </cell>
          <cell r="F1050">
            <v>109</v>
          </cell>
        </row>
        <row r="1051">
          <cell r="A1051">
            <v>1047</v>
          </cell>
          <cell r="B1051" t="str">
            <v xml:space="preserve">7501991820422   </v>
          </cell>
          <cell r="C1051" t="str">
            <v xml:space="preserve">(3015) BLOQUES LOGICOS 60Pz (H44)       </v>
          </cell>
          <cell r="D1051" t="str">
            <v>HANDS</v>
          </cell>
          <cell r="E1051">
            <v>102.58620689655173</v>
          </cell>
          <cell r="F1051">
            <v>119</v>
          </cell>
        </row>
        <row r="1052">
          <cell r="A1052">
            <v>1048</v>
          </cell>
          <cell r="B1052" t="str">
            <v xml:space="preserve">7501991820439   </v>
          </cell>
          <cell r="C1052" t="str">
            <v xml:space="preserve">(2063) PE-PECES 30Pz (H45)              </v>
          </cell>
          <cell r="D1052" t="str">
            <v>HANDS</v>
          </cell>
          <cell r="E1052">
            <v>193.96551724137933</v>
          </cell>
          <cell r="F1052">
            <v>225</v>
          </cell>
        </row>
        <row r="1053">
          <cell r="A1053">
            <v>1049</v>
          </cell>
          <cell r="B1053" t="str">
            <v xml:space="preserve">7501991820453   </v>
          </cell>
          <cell r="C1053" t="str">
            <v>(3095) SENSO DISCO GEOMETRICO 6Pz y ANTI</v>
          </cell>
          <cell r="D1053" t="str">
            <v>HANDS</v>
          </cell>
          <cell r="E1053">
            <v>101.72413793103449</v>
          </cell>
          <cell r="F1053">
            <v>118</v>
          </cell>
        </row>
        <row r="1054">
          <cell r="A1054">
            <v>1050</v>
          </cell>
          <cell r="B1054" t="str">
            <v xml:space="preserve">7501991820460   </v>
          </cell>
          <cell r="C1054" t="str">
            <v xml:space="preserve">(3085) PULPO DE TEXTURAS 72Pz (H47)     </v>
          </cell>
          <cell r="D1054" t="str">
            <v>HANDS</v>
          </cell>
          <cell r="E1054">
            <v>146.55172413793105</v>
          </cell>
          <cell r="F1054">
            <v>170</v>
          </cell>
        </row>
        <row r="1055">
          <cell r="A1055">
            <v>1051</v>
          </cell>
          <cell r="B1055" t="str">
            <v xml:space="preserve">7501991820477   </v>
          </cell>
          <cell r="C1055" t="str">
            <v xml:space="preserve">(2075) TENIS 12 PARES (H48)             </v>
          </cell>
          <cell r="D1055" t="str">
            <v>HANDS</v>
          </cell>
          <cell r="E1055">
            <v>193.96551724137933</v>
          </cell>
          <cell r="F1055">
            <v>225</v>
          </cell>
        </row>
        <row r="1056">
          <cell r="A1056">
            <v>1052</v>
          </cell>
          <cell r="B1056" t="str">
            <v xml:space="preserve">7501991820484   </v>
          </cell>
          <cell r="C1056" t="str">
            <v xml:space="preserve">(3053) ENSARTE DE COLORES 48Pz (H49)    </v>
          </cell>
          <cell r="D1056" t="str">
            <v>HANDS</v>
          </cell>
          <cell r="E1056">
            <v>205.17241379310346</v>
          </cell>
          <cell r="F1056">
            <v>238</v>
          </cell>
        </row>
        <row r="1057">
          <cell r="A1057">
            <v>1053</v>
          </cell>
          <cell r="B1057" t="str">
            <v xml:space="preserve">7501991820491   </v>
          </cell>
          <cell r="C1057" t="str">
            <v xml:space="preserve">(2060) NIÑO ACROBATA 35Pz (H50)         </v>
          </cell>
          <cell r="D1057" t="str">
            <v>HANDS</v>
          </cell>
          <cell r="E1057">
            <v>193.96551724137933</v>
          </cell>
          <cell r="F1057">
            <v>225</v>
          </cell>
        </row>
        <row r="1058">
          <cell r="A1058">
            <v>1054</v>
          </cell>
          <cell r="B1058" t="str">
            <v xml:space="preserve">7501991820507   </v>
          </cell>
          <cell r="C1058" t="str">
            <v xml:space="preserve">(2079) VIBORA ESLABON 30Pz (H51)        </v>
          </cell>
          <cell r="D1058" t="str">
            <v>HANDS</v>
          </cell>
          <cell r="E1058">
            <v>193.96551724137933</v>
          </cell>
          <cell r="F1058">
            <v>225</v>
          </cell>
        </row>
        <row r="1059">
          <cell r="A1059">
            <v>1055</v>
          </cell>
          <cell r="B1059" t="str">
            <v xml:space="preserve">7501991820514   </v>
          </cell>
          <cell r="C1059" t="str">
            <v xml:space="preserve">(3065) HUELLAS PIES Y MANOS 10Pz (H52)  </v>
          </cell>
          <cell r="D1059" t="str">
            <v>HANDS</v>
          </cell>
          <cell r="E1059">
            <v>113.79310344827587</v>
          </cell>
          <cell r="F1059">
            <v>132</v>
          </cell>
        </row>
        <row r="1060">
          <cell r="A1060">
            <v>1056</v>
          </cell>
          <cell r="B1060" t="str">
            <v xml:space="preserve">7501991820521   </v>
          </cell>
          <cell r="C1060" t="str">
            <v xml:space="preserve">(1004) ATINA Y APRENDE TUBO 2" (H53)    </v>
          </cell>
          <cell r="D1060" t="str">
            <v>HANDS</v>
          </cell>
          <cell r="E1060">
            <v>715.51724137931035</v>
          </cell>
          <cell r="F1060">
            <v>830</v>
          </cell>
        </row>
        <row r="1061">
          <cell r="A1061">
            <v>1057</v>
          </cell>
          <cell r="B1061" t="str">
            <v xml:space="preserve">7501991820538   </v>
          </cell>
          <cell r="C1061" t="str">
            <v xml:space="preserve">(3066) JUEGO DE GEOMETRIA 3Pz (H54)     </v>
          </cell>
          <cell r="D1061" t="str">
            <v>HANDS</v>
          </cell>
          <cell r="E1061">
            <v>77.58620689655173</v>
          </cell>
          <cell r="F1061">
            <v>90</v>
          </cell>
        </row>
        <row r="1062">
          <cell r="A1062">
            <v>1058</v>
          </cell>
          <cell r="B1062" t="str">
            <v xml:space="preserve">7501991820545   </v>
          </cell>
          <cell r="C1062" t="str">
            <v xml:space="preserve">(2014) CUBI-MAX 36Pz (H55)              </v>
          </cell>
          <cell r="D1062" t="str">
            <v>HANDS</v>
          </cell>
          <cell r="E1062">
            <v>193.96551724137933</v>
          </cell>
          <cell r="F1062">
            <v>225</v>
          </cell>
        </row>
        <row r="1063">
          <cell r="A1063">
            <v>1059</v>
          </cell>
          <cell r="B1063" t="str">
            <v xml:space="preserve">7501991820552   </v>
          </cell>
          <cell r="C1063" t="str">
            <v xml:space="preserve">(2057) MODELO MOLECULAR 140Pz (H56)     </v>
          </cell>
          <cell r="D1063" t="str">
            <v>HANDS</v>
          </cell>
          <cell r="E1063">
            <v>360.34482758620692</v>
          </cell>
          <cell r="F1063">
            <v>418</v>
          </cell>
        </row>
        <row r="1064">
          <cell r="A1064">
            <v>1060</v>
          </cell>
          <cell r="B1064" t="str">
            <v xml:space="preserve">7501991820569   </v>
          </cell>
          <cell r="C1064" t="str">
            <v xml:space="preserve">(2040) HERRAMIENTAS 36Pz (H58)          </v>
          </cell>
          <cell r="D1064" t="str">
            <v>HANDS</v>
          </cell>
          <cell r="E1064">
            <v>193.96551724137933</v>
          </cell>
          <cell r="F1064">
            <v>225</v>
          </cell>
        </row>
        <row r="1065">
          <cell r="A1065">
            <v>1061</v>
          </cell>
          <cell r="B1065" t="str">
            <v xml:space="preserve">7501991820576   </v>
          </cell>
          <cell r="C1065" t="str">
            <v xml:space="preserve">(1021) MINI ABACO 10 LINEAS TUBO 2" 1Pz </v>
          </cell>
          <cell r="D1065" t="str">
            <v>HANDS</v>
          </cell>
          <cell r="E1065">
            <v>482.75862068965523</v>
          </cell>
          <cell r="F1065">
            <v>560</v>
          </cell>
        </row>
        <row r="1066">
          <cell r="A1066">
            <v>1062</v>
          </cell>
          <cell r="B1066" t="str">
            <v xml:space="preserve">7501991820583   </v>
          </cell>
          <cell r="C1066" t="str">
            <v xml:space="preserve">(3010) BALANZA MATEMATICA 1Pz (H60)     </v>
          </cell>
          <cell r="D1066" t="str">
            <v>HANDS</v>
          </cell>
          <cell r="E1066">
            <v>94.827586206896555</v>
          </cell>
          <cell r="F1066">
            <v>110</v>
          </cell>
        </row>
        <row r="1067">
          <cell r="A1067">
            <v>1063</v>
          </cell>
          <cell r="B1067" t="str">
            <v xml:space="preserve">7501991820590   </v>
          </cell>
          <cell r="C1067" t="str">
            <v xml:space="preserve">(2026) FAROLES 60Pz (H62)               </v>
          </cell>
          <cell r="D1067" t="str">
            <v>HANDS</v>
          </cell>
          <cell r="E1067">
            <v>193.96551724137933</v>
          </cell>
          <cell r="F1067">
            <v>225</v>
          </cell>
        </row>
        <row r="1068">
          <cell r="A1068">
            <v>1064</v>
          </cell>
          <cell r="B1068" t="str">
            <v xml:space="preserve">7501991820606   </v>
          </cell>
          <cell r="C1068" t="str">
            <v xml:space="preserve">(2077) TORNILLO Y TUERCAS 85Pz (H63)    </v>
          </cell>
          <cell r="D1068" t="str">
            <v>HANDS</v>
          </cell>
          <cell r="E1068">
            <v>193.96551724137933</v>
          </cell>
          <cell r="F1068">
            <v>225</v>
          </cell>
        </row>
        <row r="1069">
          <cell r="A1069">
            <v>1065</v>
          </cell>
          <cell r="B1069" t="str">
            <v xml:space="preserve">7501991820613   </v>
          </cell>
          <cell r="C1069" t="str">
            <v xml:space="preserve">(2030) FORMA CIRCULOS 56Pz (H64)        </v>
          </cell>
          <cell r="D1069" t="str">
            <v>HANDS</v>
          </cell>
          <cell r="E1069">
            <v>193.96551724137933</v>
          </cell>
          <cell r="F1069">
            <v>225</v>
          </cell>
        </row>
        <row r="1070">
          <cell r="A1070">
            <v>1066</v>
          </cell>
          <cell r="B1070" t="str">
            <v xml:space="preserve">7501991820620   </v>
          </cell>
          <cell r="C1070" t="str">
            <v xml:space="preserve">(2045) JUMBO TRONCO 30Pz (H65)          </v>
          </cell>
          <cell r="D1070" t="str">
            <v>HANDS</v>
          </cell>
          <cell r="E1070">
            <v>193.96551724137933</v>
          </cell>
          <cell r="F1070">
            <v>225</v>
          </cell>
        </row>
        <row r="1071">
          <cell r="A1071">
            <v>1067</v>
          </cell>
          <cell r="B1071" t="str">
            <v xml:space="preserve">7501991820637   </v>
          </cell>
          <cell r="C1071" t="str">
            <v xml:space="preserve">(3104) TANGRAM EN CD 1 JUEGO (H66)      </v>
          </cell>
          <cell r="D1071" t="str">
            <v>HANDS</v>
          </cell>
          <cell r="E1071">
            <v>20.689655172413794</v>
          </cell>
          <cell r="F1071">
            <v>24</v>
          </cell>
        </row>
        <row r="1072">
          <cell r="A1072">
            <v>1068</v>
          </cell>
          <cell r="B1072" t="str">
            <v xml:space="preserve">7501991820644   </v>
          </cell>
          <cell r="C1072" t="str">
            <v xml:space="preserve">(2046) LADRILLO BASICO 50Pz (H67)       </v>
          </cell>
          <cell r="D1072" t="str">
            <v>HANDS</v>
          </cell>
          <cell r="E1072">
            <v>366.37931034482762</v>
          </cell>
          <cell r="F1072">
            <v>425</v>
          </cell>
        </row>
        <row r="1073">
          <cell r="A1073">
            <v>1069</v>
          </cell>
          <cell r="B1073" t="str">
            <v xml:space="preserve">7501991820651   </v>
          </cell>
          <cell r="C1073" t="str">
            <v xml:space="preserve">(2050) MAZO TRONCO 45Pz (H69)           </v>
          </cell>
          <cell r="D1073" t="str">
            <v>HANDS</v>
          </cell>
          <cell r="E1073">
            <v>193.96551724137933</v>
          </cell>
          <cell r="F1073">
            <v>225</v>
          </cell>
        </row>
        <row r="1074">
          <cell r="A1074">
            <v>1070</v>
          </cell>
          <cell r="B1074" t="str">
            <v xml:space="preserve">7501991820668   </v>
          </cell>
          <cell r="C1074" t="str">
            <v xml:space="preserve">(3019) CASTAÑUELA 1Pz (H71)             </v>
          </cell>
          <cell r="D1074" t="str">
            <v>HANDS</v>
          </cell>
          <cell r="E1074">
            <v>17.241379310344829</v>
          </cell>
          <cell r="F1074">
            <v>20</v>
          </cell>
        </row>
        <row r="1075">
          <cell r="A1075">
            <v>1071</v>
          </cell>
          <cell r="B1075" t="str">
            <v xml:space="preserve">7501991820675   </v>
          </cell>
          <cell r="C1075" t="str">
            <v>(3012) BANCUBI O Q´BITS SOLIDO 60Pz(H73)</v>
          </cell>
          <cell r="D1075" t="str">
            <v>HANDS</v>
          </cell>
          <cell r="E1075">
            <v>125.00000000000001</v>
          </cell>
          <cell r="F1075">
            <v>145</v>
          </cell>
        </row>
        <row r="1076">
          <cell r="A1076">
            <v>1072</v>
          </cell>
          <cell r="B1076" t="str">
            <v xml:space="preserve">7501991820682   </v>
          </cell>
          <cell r="C1076" t="str">
            <v xml:space="preserve">(1000) ABACO GIGANTE 10 LINEAS TUBO 2"  </v>
          </cell>
          <cell r="D1076" t="str">
            <v>HANDS</v>
          </cell>
          <cell r="E1076">
            <v>603.44827586206895</v>
          </cell>
          <cell r="F1076">
            <v>700</v>
          </cell>
        </row>
        <row r="1077">
          <cell r="A1077">
            <v>1073</v>
          </cell>
          <cell r="B1077" t="str">
            <v xml:space="preserve">7501991820699   </v>
          </cell>
          <cell r="C1077" t="str">
            <v xml:space="preserve">(1014) EXHIBIDOR TUBO 2" CON 8 CHAROLAS </v>
          </cell>
          <cell r="D1077" t="str">
            <v>HANDS</v>
          </cell>
          <cell r="E1077">
            <v>642.24137931034488</v>
          </cell>
          <cell r="F1077">
            <v>745</v>
          </cell>
        </row>
        <row r="1078">
          <cell r="A1078">
            <v>1074</v>
          </cell>
          <cell r="B1078" t="str">
            <v xml:space="preserve">7501991820705   </v>
          </cell>
          <cell r="C1078" t="str">
            <v xml:space="preserve">(3072) MONEDA EDUCATIVA 400Pz (H77)     </v>
          </cell>
          <cell r="D1078" t="str">
            <v>HANDS</v>
          </cell>
          <cell r="E1078">
            <v>214.65517241379311</v>
          </cell>
          <cell r="F1078">
            <v>249</v>
          </cell>
        </row>
        <row r="1079">
          <cell r="A1079">
            <v>1075</v>
          </cell>
          <cell r="B1079" t="str">
            <v xml:space="preserve">7501991820712   </v>
          </cell>
          <cell r="C1079" t="str">
            <v xml:space="preserve">(2066) PIRAMIDE DE AROS 21Pz (H78)      </v>
          </cell>
          <cell r="D1079" t="str">
            <v>HANDS</v>
          </cell>
          <cell r="E1079">
            <v>193.96551724137933</v>
          </cell>
          <cell r="F1079">
            <v>225</v>
          </cell>
        </row>
        <row r="1080">
          <cell r="A1080">
            <v>1076</v>
          </cell>
          <cell r="B1080" t="str">
            <v xml:space="preserve">7501991820729   </v>
          </cell>
          <cell r="C1080" t="str">
            <v xml:space="preserve">(2047) LADRILLO BASICO 75Pz (H79)       </v>
          </cell>
          <cell r="D1080" t="str">
            <v>HANDS</v>
          </cell>
          <cell r="E1080">
            <v>551.72413793103453</v>
          </cell>
          <cell r="F1080">
            <v>640</v>
          </cell>
        </row>
        <row r="1081">
          <cell r="A1081">
            <v>1077</v>
          </cell>
          <cell r="B1081" t="str">
            <v xml:space="preserve">7501991820736   </v>
          </cell>
          <cell r="C1081" t="str">
            <v xml:space="preserve">(2008) BOTON GEOMETRICO 60Pz (H80)      </v>
          </cell>
          <cell r="D1081" t="str">
            <v>HANDS</v>
          </cell>
          <cell r="E1081">
            <v>193.96551724137933</v>
          </cell>
          <cell r="F1081">
            <v>225</v>
          </cell>
        </row>
        <row r="1082">
          <cell r="A1082">
            <v>1078</v>
          </cell>
          <cell r="B1082" t="str">
            <v xml:space="preserve">7501991820743   </v>
          </cell>
          <cell r="C1082" t="str">
            <v xml:space="preserve">(3067) JUEGO DE GEOMETRIA 5Pz (H81)     </v>
          </cell>
          <cell r="D1082" t="str">
            <v>HANDS</v>
          </cell>
          <cell r="E1082">
            <v>213.79310344827587</v>
          </cell>
          <cell r="F1082">
            <v>248</v>
          </cell>
        </row>
        <row r="1083">
          <cell r="A1083">
            <v>1079</v>
          </cell>
          <cell r="B1083" t="str">
            <v xml:space="preserve">7501991820750   </v>
          </cell>
          <cell r="C1083" t="str">
            <v xml:space="preserve">(1017) JUEGO DE BALONCESTO 1Pz (H82)    </v>
          </cell>
          <cell r="D1083" t="str">
            <v>HANDS</v>
          </cell>
          <cell r="E1083">
            <v>556.0344827586207</v>
          </cell>
          <cell r="F1083">
            <v>645</v>
          </cell>
        </row>
        <row r="1084">
          <cell r="A1084">
            <v>1080</v>
          </cell>
          <cell r="B1084" t="str">
            <v xml:space="preserve">7501991820767   </v>
          </cell>
          <cell r="C1084" t="str">
            <v xml:space="preserve">(2076) TORNILLO Y DESARMADOR 60Pz (H83) </v>
          </cell>
          <cell r="D1084" t="str">
            <v>HANDS</v>
          </cell>
          <cell r="E1084">
            <v>193.96551724137933</v>
          </cell>
          <cell r="F1084">
            <v>225</v>
          </cell>
        </row>
        <row r="1085">
          <cell r="A1085">
            <v>1081</v>
          </cell>
          <cell r="B1085" t="str">
            <v xml:space="preserve">7501991820774   </v>
          </cell>
          <cell r="C1085" t="str">
            <v xml:space="preserve">(7062) GODETES PARA PINTURA 5Pz (H84)   </v>
          </cell>
          <cell r="D1085" t="str">
            <v>HANDS</v>
          </cell>
          <cell r="E1085">
            <v>20.689655172413794</v>
          </cell>
          <cell r="F1085">
            <v>24</v>
          </cell>
        </row>
        <row r="1086">
          <cell r="A1086">
            <v>1082</v>
          </cell>
          <cell r="B1086" t="str">
            <v xml:space="preserve">7501991820781   </v>
          </cell>
          <cell r="C1086" t="str">
            <v xml:space="preserve">(7010) TABLAS PERFORADAS 3Pz (H86)      </v>
          </cell>
          <cell r="D1086" t="str">
            <v>HANDS</v>
          </cell>
          <cell r="E1086">
            <v>29.31034482758621</v>
          </cell>
          <cell r="F1086">
            <v>34</v>
          </cell>
        </row>
        <row r="1087">
          <cell r="A1087">
            <v>1083</v>
          </cell>
          <cell r="B1087" t="str">
            <v xml:space="preserve">7501991820798   </v>
          </cell>
          <cell r="C1087" t="str">
            <v xml:space="preserve">(1031) TEATRO INFANTIL TUBO 2" (H87)    </v>
          </cell>
          <cell r="D1087" t="str">
            <v>HANDS</v>
          </cell>
          <cell r="E1087">
            <v>853.44827586206907</v>
          </cell>
          <cell r="F1087">
            <v>990</v>
          </cell>
        </row>
        <row r="1088">
          <cell r="A1088">
            <v>1084</v>
          </cell>
          <cell r="B1088" t="str">
            <v xml:space="preserve">7501991820804   </v>
          </cell>
          <cell r="C1088" t="str">
            <v xml:space="preserve">(3043) CUBOS PARA APILAR CHICOS 25Pz    </v>
          </cell>
          <cell r="D1088" t="str">
            <v>HANDS</v>
          </cell>
          <cell r="E1088">
            <v>51.724137931034484</v>
          </cell>
          <cell r="F1088">
            <v>60</v>
          </cell>
        </row>
        <row r="1089">
          <cell r="A1089">
            <v>1085</v>
          </cell>
          <cell r="B1089" t="str">
            <v xml:space="preserve">7501991820811   </v>
          </cell>
          <cell r="C1089" t="str">
            <v xml:space="preserve">(2053) MEGA BLOCK 35Pz (H89)            </v>
          </cell>
          <cell r="D1089" t="str">
            <v>HANDS</v>
          </cell>
          <cell r="E1089">
            <v>193.96551724137933</v>
          </cell>
          <cell r="F1089">
            <v>225</v>
          </cell>
        </row>
        <row r="1090">
          <cell r="A1090">
            <v>1086</v>
          </cell>
          <cell r="B1090" t="str">
            <v xml:space="preserve">7501991820828   </v>
          </cell>
          <cell r="C1090" t="str">
            <v xml:space="preserve">(3081) PIJA MATEMATICA 1000Pz (H89)     </v>
          </cell>
          <cell r="D1090" t="str">
            <v>HANDS</v>
          </cell>
          <cell r="E1090">
            <v>177.58620689655174</v>
          </cell>
          <cell r="F1090">
            <v>206</v>
          </cell>
        </row>
        <row r="1091">
          <cell r="A1091">
            <v>1087</v>
          </cell>
          <cell r="B1091" t="str">
            <v xml:space="preserve">7501991820835   </v>
          </cell>
          <cell r="C1091" t="str">
            <v xml:space="preserve">(1027) ROTAFOLIO 1.35x82 MTS. 1Pz (H89) </v>
          </cell>
          <cell r="D1091" t="str">
            <v>HANDS</v>
          </cell>
          <cell r="E1091">
            <v>284.48275862068965</v>
          </cell>
          <cell r="F1091">
            <v>330</v>
          </cell>
        </row>
        <row r="1092">
          <cell r="A1092">
            <v>1088</v>
          </cell>
          <cell r="B1092" t="str">
            <v xml:space="preserve">7501991820842   </v>
          </cell>
          <cell r="C1092" t="str">
            <v>(1028) SALTO DE OBSTACULOS 1.14x1.07 MTS</v>
          </cell>
          <cell r="D1092" t="str">
            <v>HANDS</v>
          </cell>
          <cell r="E1092">
            <v>228.44827586206898</v>
          </cell>
          <cell r="F1092">
            <v>265</v>
          </cell>
        </row>
        <row r="1093">
          <cell r="A1093">
            <v>1089</v>
          </cell>
          <cell r="B1093" t="str">
            <v xml:space="preserve">7501991820859   </v>
          </cell>
          <cell r="C1093" t="str">
            <v xml:space="preserve">(2032) FORMA PELOTAS 63Pz (H92)         </v>
          </cell>
          <cell r="D1093" t="str">
            <v>HANDS</v>
          </cell>
          <cell r="E1093">
            <v>193.96551724137933</v>
          </cell>
          <cell r="F1093">
            <v>225</v>
          </cell>
        </row>
        <row r="1094">
          <cell r="A1094">
            <v>1090</v>
          </cell>
          <cell r="B1094" t="str">
            <v xml:space="preserve">7501991820866   </v>
          </cell>
          <cell r="C1094" t="str">
            <v xml:space="preserve">(2002) BLOKIS "Y" 22Pz (H94)            </v>
          </cell>
          <cell r="D1094" t="str">
            <v>HANDS</v>
          </cell>
          <cell r="E1094">
            <v>193.96551724137933</v>
          </cell>
          <cell r="F1094">
            <v>225</v>
          </cell>
        </row>
        <row r="1095">
          <cell r="A1095">
            <v>1091</v>
          </cell>
          <cell r="B1095" t="str">
            <v xml:space="preserve">7501991820873   </v>
          </cell>
          <cell r="C1095" t="str">
            <v xml:space="preserve">(2070) PLOMERO 60Pz (H96)               </v>
          </cell>
          <cell r="D1095" t="str">
            <v>HANDS</v>
          </cell>
          <cell r="E1095">
            <v>193.96551724137933</v>
          </cell>
          <cell r="F1095">
            <v>225</v>
          </cell>
        </row>
        <row r="1096">
          <cell r="A1096">
            <v>1092</v>
          </cell>
          <cell r="B1096" t="str">
            <v xml:space="preserve">7501991820880   </v>
          </cell>
          <cell r="C1096" t="str">
            <v xml:space="preserve">(2042) HEXAGONO ISRAELI 35Pz (H97)      </v>
          </cell>
          <cell r="D1096" t="str">
            <v>HANDS</v>
          </cell>
          <cell r="E1096">
            <v>193.96551724137933</v>
          </cell>
          <cell r="F1096">
            <v>225</v>
          </cell>
        </row>
        <row r="1097">
          <cell r="A1097">
            <v>1093</v>
          </cell>
          <cell r="B1097" t="str">
            <v xml:space="preserve">7501991820903   </v>
          </cell>
          <cell r="C1097" t="str">
            <v xml:space="preserve">(2013) CONEJO JR. 50Pz (H98)            </v>
          </cell>
          <cell r="D1097" t="str">
            <v>HANDS</v>
          </cell>
          <cell r="E1097">
            <v>193.96551724137933</v>
          </cell>
          <cell r="F1097">
            <v>225</v>
          </cell>
        </row>
        <row r="1098">
          <cell r="A1098">
            <v>1094</v>
          </cell>
          <cell r="B1098" t="str">
            <v xml:space="preserve">7501991820910   </v>
          </cell>
          <cell r="C1098" t="str">
            <v xml:space="preserve">(2051) MECANO BLOQUES 50Pz (H99)        </v>
          </cell>
          <cell r="D1098" t="str">
            <v>HANDS</v>
          </cell>
          <cell r="E1098">
            <v>193.96551724137933</v>
          </cell>
          <cell r="F1098">
            <v>225</v>
          </cell>
        </row>
        <row r="1099">
          <cell r="A1099">
            <v>1095</v>
          </cell>
          <cell r="B1099" t="str">
            <v xml:space="preserve">7501991820927   </v>
          </cell>
          <cell r="C1099" t="str">
            <v xml:space="preserve">(2074) TAPETE FLEXIBLE 30Pz (H100)      </v>
          </cell>
          <cell r="D1099" t="str">
            <v>HANDS</v>
          </cell>
          <cell r="E1099">
            <v>193.96551724137933</v>
          </cell>
          <cell r="F1099">
            <v>225</v>
          </cell>
        </row>
        <row r="1100">
          <cell r="A1100">
            <v>1096</v>
          </cell>
          <cell r="B1100" t="str">
            <v xml:space="preserve">7501991820934   </v>
          </cell>
          <cell r="C1100" t="str">
            <v xml:space="preserve">(2058) MODULO "H" 25Pz (H101)           </v>
          </cell>
          <cell r="D1100" t="str">
            <v>HANDS</v>
          </cell>
          <cell r="E1100">
            <v>193.96551724137933</v>
          </cell>
          <cell r="F1100">
            <v>225</v>
          </cell>
        </row>
        <row r="1101">
          <cell r="A1101">
            <v>1097</v>
          </cell>
          <cell r="B1101" t="str">
            <v xml:space="preserve">7501991820941   </v>
          </cell>
          <cell r="C1101" t="str">
            <v xml:space="preserve">(2035) GRANJERO 40Pz (H102)             </v>
          </cell>
          <cell r="D1101" t="str">
            <v>HANDS</v>
          </cell>
          <cell r="E1101">
            <v>193.96551724137933</v>
          </cell>
          <cell r="F1101">
            <v>225</v>
          </cell>
        </row>
        <row r="1102">
          <cell r="A1102">
            <v>1098</v>
          </cell>
          <cell r="B1102" t="str">
            <v xml:space="preserve">7501991820958   </v>
          </cell>
          <cell r="C1102" t="str">
            <v xml:space="preserve">(2073) TABLA NUMERICA 42Pz (H103)       </v>
          </cell>
          <cell r="D1102" t="str">
            <v>HANDS</v>
          </cell>
          <cell r="E1102">
            <v>193.96551724137933</v>
          </cell>
          <cell r="F1102">
            <v>225</v>
          </cell>
        </row>
        <row r="1103">
          <cell r="A1103">
            <v>1099</v>
          </cell>
          <cell r="B1103" t="str">
            <v xml:space="preserve">7501991820965   </v>
          </cell>
          <cell r="C1103" t="str">
            <v xml:space="preserve">(2007) BOTON DE FORMAS 60Pz (H104)      </v>
          </cell>
          <cell r="D1103" t="str">
            <v>HANDS</v>
          </cell>
          <cell r="E1103">
            <v>193.96551724137933</v>
          </cell>
          <cell r="F1103">
            <v>225</v>
          </cell>
        </row>
        <row r="1104">
          <cell r="A1104">
            <v>1100</v>
          </cell>
          <cell r="B1104" t="str">
            <v xml:space="preserve">7501991820972   </v>
          </cell>
          <cell r="C1104" t="str">
            <v xml:space="preserve">(2009) CADENA GIGANTE 30Pz (H105)       </v>
          </cell>
          <cell r="D1104" t="str">
            <v>HANDS</v>
          </cell>
          <cell r="E1104">
            <v>193.96551724137933</v>
          </cell>
          <cell r="F1104">
            <v>225</v>
          </cell>
        </row>
        <row r="1105">
          <cell r="A1105">
            <v>1101</v>
          </cell>
          <cell r="B1105" t="str">
            <v xml:space="preserve">7501991820989   </v>
          </cell>
          <cell r="C1105" t="str">
            <v xml:space="preserve">(2052) MECANO TORNILLO 45Pz (H106)      </v>
          </cell>
          <cell r="D1105" t="str">
            <v>HANDS</v>
          </cell>
          <cell r="E1105">
            <v>193.96551724137933</v>
          </cell>
          <cell r="F1105">
            <v>225</v>
          </cell>
        </row>
        <row r="1106">
          <cell r="A1106">
            <v>1102</v>
          </cell>
          <cell r="B1106" t="str">
            <v xml:space="preserve">7501991821009   </v>
          </cell>
          <cell r="C1106" t="str">
            <v xml:space="preserve">(1019) JUEGO DE SEÑALES BASE ESTRELLA   </v>
          </cell>
          <cell r="D1106" t="str">
            <v>HANDS</v>
          </cell>
          <cell r="E1106">
            <v>149.13793103448276</v>
          </cell>
          <cell r="F1106">
            <v>173</v>
          </cell>
        </row>
        <row r="1107">
          <cell r="A1107">
            <v>1103</v>
          </cell>
          <cell r="B1107" t="str">
            <v xml:space="preserve">7501991821016   </v>
          </cell>
          <cell r="C1107" t="str">
            <v xml:space="preserve">(2005) BOLICHE MEDIANO 12Pz (H124)      </v>
          </cell>
          <cell r="D1107" t="str">
            <v>HANDS</v>
          </cell>
          <cell r="E1107">
            <v>57.758620689655174</v>
          </cell>
          <cell r="F1107">
            <v>67</v>
          </cell>
        </row>
        <row r="1108">
          <cell r="A1108">
            <v>1104</v>
          </cell>
          <cell r="B1108" t="str">
            <v xml:space="preserve">7501991821023   </v>
          </cell>
          <cell r="C1108" t="str">
            <v xml:space="preserve">(2055) MEGA LINK GIGANTE 30Pz (H109)    </v>
          </cell>
          <cell r="D1108" t="str">
            <v>HANDS</v>
          </cell>
          <cell r="E1108">
            <v>193.96551724137933</v>
          </cell>
          <cell r="F1108">
            <v>225</v>
          </cell>
        </row>
        <row r="1109">
          <cell r="A1109">
            <v>1105</v>
          </cell>
          <cell r="B1109" t="str">
            <v xml:space="preserve">7501991821030   </v>
          </cell>
          <cell r="C1109" t="str">
            <v xml:space="preserve">(2072) RUEDA DE LA FORTUNA 45Pz (H110)  </v>
          </cell>
          <cell r="D1109" t="str">
            <v>HANDS</v>
          </cell>
          <cell r="E1109">
            <v>193.96551724137933</v>
          </cell>
          <cell r="F1109">
            <v>225</v>
          </cell>
        </row>
        <row r="1110">
          <cell r="A1110">
            <v>1106</v>
          </cell>
          <cell r="B1110" t="str">
            <v xml:space="preserve">7501991821047   </v>
          </cell>
          <cell r="C1110" t="str">
            <v xml:space="preserve">(2043) JUEGO DEL PESCADOR 30Pz (H111)   </v>
          </cell>
          <cell r="D1110" t="str">
            <v>HANDS</v>
          </cell>
          <cell r="E1110">
            <v>193.96551724137933</v>
          </cell>
          <cell r="F1110">
            <v>225</v>
          </cell>
        </row>
        <row r="1111">
          <cell r="A1111">
            <v>1107</v>
          </cell>
          <cell r="B1111" t="str">
            <v xml:space="preserve">7501991821054   </v>
          </cell>
          <cell r="C1111" t="str">
            <v>(3059) FRACCIONES CIRCULARES 38Pz (H112)</v>
          </cell>
          <cell r="D1111" t="str">
            <v>HANDS</v>
          </cell>
          <cell r="E1111">
            <v>28.448275862068968</v>
          </cell>
          <cell r="F1111">
            <v>33</v>
          </cell>
        </row>
        <row r="1112">
          <cell r="A1112">
            <v>1108</v>
          </cell>
          <cell r="B1112" t="str">
            <v xml:space="preserve">7501991821061   </v>
          </cell>
          <cell r="C1112" t="str">
            <v xml:space="preserve">(3079) PENTOMINO 12Pz (1-JUEGO) (H113)  </v>
          </cell>
          <cell r="D1112" t="str">
            <v>HANDS</v>
          </cell>
          <cell r="E1112">
            <v>24.137931034482762</v>
          </cell>
          <cell r="F1112">
            <v>28</v>
          </cell>
        </row>
        <row r="1113">
          <cell r="A1113">
            <v>1109</v>
          </cell>
          <cell r="B1113" t="str">
            <v xml:space="preserve">7501991821078   </v>
          </cell>
          <cell r="C1113" t="str">
            <v xml:space="preserve">(2064) PESCA CONECTABLE 45Pz (H114)     </v>
          </cell>
          <cell r="D1113" t="str">
            <v>HANDS</v>
          </cell>
          <cell r="E1113">
            <v>193.96551724137933</v>
          </cell>
          <cell r="F1113">
            <v>225</v>
          </cell>
        </row>
        <row r="1114">
          <cell r="A1114">
            <v>1110</v>
          </cell>
          <cell r="B1114" t="str">
            <v xml:space="preserve">7501991821085   </v>
          </cell>
          <cell r="C1114" t="str">
            <v xml:space="preserve">(3056) FICHA APILABLE 250Pz (H115)      </v>
          </cell>
          <cell r="D1114" t="str">
            <v>HANDS</v>
          </cell>
          <cell r="E1114">
            <v>93.965517241379317</v>
          </cell>
          <cell r="F1114">
            <v>109</v>
          </cell>
        </row>
        <row r="1115">
          <cell r="A1115">
            <v>1111</v>
          </cell>
          <cell r="B1115" t="str">
            <v xml:space="preserve">7501991821092   </v>
          </cell>
          <cell r="C1115" t="str">
            <v xml:space="preserve">(1018) JUEGO DE PATIO (H116)            </v>
          </cell>
          <cell r="D1115" t="str">
            <v>HANDS</v>
          </cell>
          <cell r="E1115">
            <v>2068.9655172413795</v>
          </cell>
          <cell r="F1115">
            <v>2400</v>
          </cell>
        </row>
        <row r="1116">
          <cell r="A1116">
            <v>1112</v>
          </cell>
          <cell r="B1116" t="str">
            <v xml:space="preserve">7501991821108   </v>
          </cell>
          <cell r="C1116" t="str">
            <v xml:space="preserve">(2028) FOCO ENROSCABLE 45Pz (H119)      </v>
          </cell>
          <cell r="D1116" t="str">
            <v>HANDS</v>
          </cell>
          <cell r="E1116">
            <v>193.96551724137933</v>
          </cell>
          <cell r="F1116">
            <v>225</v>
          </cell>
        </row>
        <row r="1117">
          <cell r="A1117">
            <v>1113</v>
          </cell>
          <cell r="B1117" t="str">
            <v xml:space="preserve">7501991821139   </v>
          </cell>
          <cell r="C1117" t="str">
            <v xml:space="preserve">(6000) LETRAS MAYUSCULAS 200Pz (H125)   </v>
          </cell>
          <cell r="D1117" t="str">
            <v>HANDS</v>
          </cell>
          <cell r="E1117">
            <v>64.65517241379311</v>
          </cell>
          <cell r="F1117">
            <v>75</v>
          </cell>
        </row>
        <row r="1118">
          <cell r="A1118">
            <v>1114</v>
          </cell>
          <cell r="B1118" t="str">
            <v xml:space="preserve">7501991821146   </v>
          </cell>
          <cell r="C1118" t="str">
            <v xml:space="preserve">(6004) NUMEROS IMPRESOS 125Pz (H127)    </v>
          </cell>
          <cell r="D1118" t="str">
            <v>HANDS</v>
          </cell>
          <cell r="E1118">
            <v>43.103448275862071</v>
          </cell>
          <cell r="F1118">
            <v>50</v>
          </cell>
        </row>
        <row r="1119">
          <cell r="A1119">
            <v>1115</v>
          </cell>
          <cell r="B1119" t="str">
            <v xml:space="preserve">7501991821153   </v>
          </cell>
          <cell r="C1119" t="str">
            <v xml:space="preserve">(3080) PENTOMINO 48Pz (4 JUEGOS) (H128) </v>
          </cell>
          <cell r="D1119" t="str">
            <v>HANDS</v>
          </cell>
          <cell r="E1119">
            <v>63.793103448275865</v>
          </cell>
          <cell r="F1119">
            <v>74</v>
          </cell>
        </row>
        <row r="1120">
          <cell r="A1120">
            <v>1116</v>
          </cell>
          <cell r="B1120" t="str">
            <v xml:space="preserve">7501991821160   </v>
          </cell>
          <cell r="C1120" t="str">
            <v>(2022) ESFERA GRANDE 8.5 CM.100Pz (H130)</v>
          </cell>
          <cell r="D1120" t="str">
            <v>HANDS</v>
          </cell>
          <cell r="E1120">
            <v>232.75862068965517</v>
          </cell>
          <cell r="F1120">
            <v>270</v>
          </cell>
        </row>
        <row r="1121">
          <cell r="A1121">
            <v>1117</v>
          </cell>
          <cell r="B1121" t="str">
            <v xml:space="preserve">7501991821177   </v>
          </cell>
          <cell r="C1121" t="str">
            <v xml:space="preserve">(2049) LETRAS ABECEDARIO 36Pz (H131)    </v>
          </cell>
          <cell r="D1121" t="str">
            <v>HANDS</v>
          </cell>
          <cell r="E1121">
            <v>193.96551724137933</v>
          </cell>
          <cell r="F1121">
            <v>225</v>
          </cell>
        </row>
        <row r="1122">
          <cell r="A1122">
            <v>1118</v>
          </cell>
          <cell r="B1122" t="str">
            <v xml:space="preserve">7501991821191   </v>
          </cell>
          <cell r="C1122" t="str">
            <v xml:space="preserve">(3093) RUEDA ARITMETICA SUMA Y RESTA    </v>
          </cell>
          <cell r="D1122" t="str">
            <v>HANDS</v>
          </cell>
          <cell r="E1122">
            <v>129.31034482758622</v>
          </cell>
          <cell r="F1122">
            <v>150</v>
          </cell>
        </row>
        <row r="1123">
          <cell r="A1123">
            <v>1119</v>
          </cell>
          <cell r="B1123" t="str">
            <v xml:space="preserve">7501991821207   </v>
          </cell>
          <cell r="C1123" t="str">
            <v xml:space="preserve">(3071) MINI-TRONCO 28Pz (H134)          </v>
          </cell>
          <cell r="D1123" t="str">
            <v>HANDS</v>
          </cell>
          <cell r="E1123">
            <v>118.96551724137932</v>
          </cell>
          <cell r="F1123">
            <v>138</v>
          </cell>
        </row>
        <row r="1124">
          <cell r="A1124">
            <v>1120</v>
          </cell>
          <cell r="B1124" t="str">
            <v xml:space="preserve">7501991821214   </v>
          </cell>
          <cell r="C1124" t="str">
            <v xml:space="preserve">(2037) GUSANO FELIZ Y AROS (H135)       </v>
          </cell>
          <cell r="D1124" t="str">
            <v>HANDS</v>
          </cell>
          <cell r="E1124">
            <v>193.96551724137933</v>
          </cell>
          <cell r="F1124">
            <v>225</v>
          </cell>
        </row>
        <row r="1125">
          <cell r="A1125">
            <v>1121</v>
          </cell>
          <cell r="B1125" t="str">
            <v xml:space="preserve">7501991821221   </v>
          </cell>
          <cell r="C1125" t="str">
            <v xml:space="preserve">(1029) TEATRO DIGITAL 1Pz (H136)        </v>
          </cell>
          <cell r="D1125" t="str">
            <v>HANDS</v>
          </cell>
          <cell r="E1125">
            <v>409.48275862068971</v>
          </cell>
          <cell r="F1125">
            <v>475</v>
          </cell>
        </row>
        <row r="1126">
          <cell r="A1126">
            <v>1122</v>
          </cell>
          <cell r="B1126" t="str">
            <v xml:space="preserve">7501991821238   </v>
          </cell>
          <cell r="C1126" t="str">
            <v xml:space="preserve">(2056) MINI ESTRELLA 50Pz (H137)        </v>
          </cell>
          <cell r="D1126" t="str">
            <v>HANDS</v>
          </cell>
          <cell r="E1126">
            <v>193.96551724137933</v>
          </cell>
          <cell r="F1126">
            <v>225</v>
          </cell>
        </row>
        <row r="1127">
          <cell r="A1127">
            <v>1123</v>
          </cell>
          <cell r="B1127" t="str">
            <v xml:space="preserve">7501991821245   </v>
          </cell>
          <cell r="C1127" t="str">
            <v xml:space="preserve">(3054) ESCALERA MAGICA 50Pz (H138)      </v>
          </cell>
          <cell r="D1127" t="str">
            <v>HANDS</v>
          </cell>
          <cell r="E1127">
            <v>96.551724137931046</v>
          </cell>
          <cell r="F1127">
            <v>112</v>
          </cell>
        </row>
        <row r="1128">
          <cell r="A1128">
            <v>1124</v>
          </cell>
          <cell r="B1128" t="str">
            <v xml:space="preserve">7501991821252   </v>
          </cell>
          <cell r="C1128" t="str">
            <v xml:space="preserve">(3002) ANIMALES DE GRANJA 18Pz (H139)   </v>
          </cell>
          <cell r="D1128" t="str">
            <v>HANDS</v>
          </cell>
          <cell r="E1128">
            <v>53.448275862068968</v>
          </cell>
          <cell r="F1128">
            <v>62</v>
          </cell>
        </row>
        <row r="1129">
          <cell r="A1129">
            <v>1125</v>
          </cell>
          <cell r="B1129" t="str">
            <v xml:space="preserve">7501991821269   </v>
          </cell>
          <cell r="C1129" t="str">
            <v>(3034) COOKIE CUTTER 24Pz Y 4 PLASTILINA</v>
          </cell>
          <cell r="D1129" t="str">
            <v>HANDS</v>
          </cell>
          <cell r="E1129">
            <v>133.62068965517241</v>
          </cell>
          <cell r="F1129">
            <v>155</v>
          </cell>
        </row>
        <row r="1130">
          <cell r="A1130">
            <v>1126</v>
          </cell>
          <cell r="B1130" t="str">
            <v xml:space="preserve">7501991821276   </v>
          </cell>
          <cell r="C1130" t="str">
            <v xml:space="preserve">(7005) LOTERIA SEÑALES (H141)           </v>
          </cell>
          <cell r="D1130" t="str">
            <v>HANDS</v>
          </cell>
          <cell r="E1130">
            <v>81.896551724137936</v>
          </cell>
          <cell r="F1130">
            <v>95</v>
          </cell>
        </row>
        <row r="1131">
          <cell r="A1131">
            <v>1127</v>
          </cell>
          <cell r="B1131" t="str">
            <v xml:space="preserve">7501991821290   </v>
          </cell>
          <cell r="C1131" t="str">
            <v xml:space="preserve">(1032) TUBOS Y CONECTORES 70Pz (H143)   </v>
          </cell>
          <cell r="D1131" t="str">
            <v>HANDS</v>
          </cell>
          <cell r="E1131">
            <v>193.96551724137933</v>
          </cell>
          <cell r="F1131">
            <v>225</v>
          </cell>
        </row>
        <row r="1132">
          <cell r="A1132">
            <v>1128</v>
          </cell>
          <cell r="B1132" t="str">
            <v xml:space="preserve">7501991821306   </v>
          </cell>
          <cell r="C1132" t="str">
            <v>(3063) GIROGRAFO JUMBO LETRAS MAYUSCULAS</v>
          </cell>
          <cell r="D1132" t="str">
            <v>HANDS</v>
          </cell>
          <cell r="E1132">
            <v>123.27586206896552</v>
          </cell>
          <cell r="F1132">
            <v>143</v>
          </cell>
        </row>
        <row r="1133">
          <cell r="A1133">
            <v>1129</v>
          </cell>
          <cell r="B1133" t="str">
            <v xml:space="preserve">7501991821313   </v>
          </cell>
          <cell r="C1133" t="str">
            <v xml:space="preserve">(3046) DOMINO DE NUMEROS 32Pz (H145)    </v>
          </cell>
          <cell r="D1133" t="str">
            <v>HANDS</v>
          </cell>
          <cell r="E1133">
            <v>232.75862068965517</v>
          </cell>
          <cell r="F1133">
            <v>270</v>
          </cell>
        </row>
        <row r="1134">
          <cell r="A1134">
            <v>1130</v>
          </cell>
          <cell r="B1134" t="str">
            <v xml:space="preserve">7501991821320   </v>
          </cell>
          <cell r="C1134" t="str">
            <v xml:space="preserve">(3070) MINI-ENSARTE GEOMETRICO 64Pz     </v>
          </cell>
          <cell r="D1134" t="str">
            <v>HANDS</v>
          </cell>
          <cell r="E1134">
            <v>96.551724137931046</v>
          </cell>
          <cell r="F1134">
            <v>112</v>
          </cell>
        </row>
        <row r="1135">
          <cell r="A1135">
            <v>1131</v>
          </cell>
          <cell r="B1135" t="str">
            <v xml:space="preserve">7501991821337   </v>
          </cell>
          <cell r="C1135" t="str">
            <v xml:space="preserve">(2069) PLATILLO CONSTRUCTOR 32Pz (H147) </v>
          </cell>
          <cell r="D1135" t="str">
            <v>HANDS</v>
          </cell>
          <cell r="E1135">
            <v>193.96551724137933</v>
          </cell>
          <cell r="F1135">
            <v>225</v>
          </cell>
        </row>
        <row r="1136">
          <cell r="A1136">
            <v>1132</v>
          </cell>
          <cell r="B1136" t="str">
            <v xml:space="preserve">7501991821344   </v>
          </cell>
          <cell r="C1136" t="str">
            <v xml:space="preserve">(3069) LLAVES PRIMARIA 28Pz (H148)      </v>
          </cell>
          <cell r="D1136" t="str">
            <v>HANDS</v>
          </cell>
          <cell r="E1136">
            <v>200</v>
          </cell>
          <cell r="F1136">
            <v>232</v>
          </cell>
        </row>
        <row r="1137">
          <cell r="A1137">
            <v>1133</v>
          </cell>
          <cell r="B1137" t="str">
            <v xml:space="preserve">7501991821351   </v>
          </cell>
          <cell r="C1137" t="str">
            <v xml:space="preserve">(2048) LADRILLO GIGANTE CON 15Pz (H149) </v>
          </cell>
          <cell r="D1137" t="str">
            <v>HANDS</v>
          </cell>
          <cell r="E1137">
            <v>415.51724137931035</v>
          </cell>
          <cell r="F1137">
            <v>482</v>
          </cell>
        </row>
        <row r="1138">
          <cell r="A1138">
            <v>1134</v>
          </cell>
          <cell r="B1138" t="str">
            <v xml:space="preserve">7501991821368   </v>
          </cell>
          <cell r="C1138" t="str">
            <v>(1023)MINI-EXIBIDOR TUBO 1.5" 9 CHAROLAS</v>
          </cell>
          <cell r="D1138" t="str">
            <v>HANDS</v>
          </cell>
          <cell r="E1138">
            <v>336.20689655172418</v>
          </cell>
          <cell r="F1138">
            <v>390</v>
          </cell>
        </row>
        <row r="1139">
          <cell r="A1139">
            <v>1135</v>
          </cell>
          <cell r="B1139" t="str">
            <v xml:space="preserve">7501991821375   </v>
          </cell>
          <cell r="C1139" t="str">
            <v xml:space="preserve">(3108) TIC - TAC TURTLE 10Pz Y TABLERO  </v>
          </cell>
          <cell r="D1139" t="str">
            <v>HANDS</v>
          </cell>
          <cell r="E1139">
            <v>71.551724137931046</v>
          </cell>
          <cell r="F1139">
            <v>83</v>
          </cell>
        </row>
        <row r="1140">
          <cell r="A1140">
            <v>1136</v>
          </cell>
          <cell r="B1140" t="str">
            <v xml:space="preserve">7501991821382   </v>
          </cell>
          <cell r="C1140" t="str">
            <v xml:space="preserve">(2024) ESTRELLA DOBLE EXTENDIDA 45Pz    </v>
          </cell>
          <cell r="D1140" t="str">
            <v>HANDS</v>
          </cell>
          <cell r="E1140">
            <v>193.96551724137933</v>
          </cell>
          <cell r="F1140">
            <v>225</v>
          </cell>
        </row>
        <row r="1141">
          <cell r="A1141">
            <v>1137</v>
          </cell>
          <cell r="B1141" t="str">
            <v xml:space="preserve">7501991821399   </v>
          </cell>
          <cell r="C1141" t="str">
            <v xml:space="preserve">(3039) CORCHOLATAS GIGANTE 100Pz (H153) </v>
          </cell>
          <cell r="D1141" t="str">
            <v>HANDS</v>
          </cell>
          <cell r="E1141">
            <v>107.75862068965517</v>
          </cell>
          <cell r="F1141">
            <v>125</v>
          </cell>
        </row>
        <row r="1142">
          <cell r="A1142">
            <v>1138</v>
          </cell>
          <cell r="B1142" t="str">
            <v xml:space="preserve">7501991821405   </v>
          </cell>
          <cell r="C1142" t="str">
            <v xml:space="preserve">(1020) MI TIENDITA 6 CHAROLAS CHAVELIN  </v>
          </cell>
          <cell r="D1142" t="str">
            <v>HANDS</v>
          </cell>
          <cell r="E1142">
            <v>775.86206896551732</v>
          </cell>
          <cell r="F1142">
            <v>900</v>
          </cell>
        </row>
        <row r="1143">
          <cell r="A1143">
            <v>1139</v>
          </cell>
          <cell r="B1143" t="str">
            <v xml:space="preserve">7501991821412   </v>
          </cell>
          <cell r="C1143" t="str">
            <v xml:space="preserve">(3098) SENSO DISCO DECIMAL BRAILE 10Pz  </v>
          </cell>
          <cell r="D1143" t="str">
            <v>HANDS</v>
          </cell>
          <cell r="E1143">
            <v>143.10344827586209</v>
          </cell>
          <cell r="F1143">
            <v>166</v>
          </cell>
        </row>
        <row r="1144">
          <cell r="A1144">
            <v>1140</v>
          </cell>
          <cell r="B1144" t="str">
            <v xml:space="preserve">7501991821429   </v>
          </cell>
          <cell r="C1144" t="str">
            <v xml:space="preserve">(2012) CERCA DIDACTICA 35Pz (H158)      </v>
          </cell>
          <cell r="D1144" t="str">
            <v>HANDS</v>
          </cell>
          <cell r="E1144">
            <v>193.96551724137933</v>
          </cell>
          <cell r="F1144">
            <v>225</v>
          </cell>
        </row>
        <row r="1145">
          <cell r="A1145">
            <v>1141</v>
          </cell>
          <cell r="B1145" t="str">
            <v xml:space="preserve">7501991821436   </v>
          </cell>
          <cell r="C1145" t="str">
            <v xml:space="preserve">(2010) CADENA LATERAL 55Pz (H159)       </v>
          </cell>
          <cell r="D1145" t="str">
            <v>HANDS</v>
          </cell>
          <cell r="E1145">
            <v>193.96551724137933</v>
          </cell>
          <cell r="F1145">
            <v>225</v>
          </cell>
        </row>
        <row r="1146">
          <cell r="A1146">
            <v>1142</v>
          </cell>
          <cell r="B1146" t="str">
            <v xml:space="preserve">7501991821443   </v>
          </cell>
          <cell r="C1146" t="str">
            <v xml:space="preserve">(6008) TABLAS DE APRENDIZAJE (H160)     </v>
          </cell>
          <cell r="D1146" t="str">
            <v>HANDS</v>
          </cell>
          <cell r="E1146">
            <v>58.62068965517242</v>
          </cell>
          <cell r="F1146">
            <v>68</v>
          </cell>
        </row>
        <row r="1147">
          <cell r="A1147">
            <v>1143</v>
          </cell>
          <cell r="B1147" t="str">
            <v xml:space="preserve">7501991821450   </v>
          </cell>
          <cell r="C1147" t="str">
            <v xml:space="preserve">(2071) PULPOS ENGANCHABLE 18Pz (H161)   </v>
          </cell>
          <cell r="D1147" t="str">
            <v>HANDS</v>
          </cell>
          <cell r="E1147">
            <v>193.96551724137933</v>
          </cell>
          <cell r="F1147">
            <v>225</v>
          </cell>
        </row>
        <row r="1148">
          <cell r="A1148">
            <v>1144</v>
          </cell>
          <cell r="B1148" t="str">
            <v xml:space="preserve">7501991821467   </v>
          </cell>
          <cell r="C1148" t="str">
            <v xml:space="preserve">(3130) DOMINO JR. CAPITALES 32Pz (H162) </v>
          </cell>
          <cell r="D1148" t="str">
            <v>HANDS</v>
          </cell>
          <cell r="E1148">
            <v>89.65517241379311</v>
          </cell>
          <cell r="F1148">
            <v>104</v>
          </cell>
        </row>
        <row r="1149">
          <cell r="A1149">
            <v>1145</v>
          </cell>
          <cell r="B1149" t="str">
            <v xml:space="preserve">7501991821474   </v>
          </cell>
          <cell r="C1149" t="str">
            <v xml:space="preserve">(3040) CRUCETA CASCABEL 3Pz (H163)      </v>
          </cell>
          <cell r="D1149" t="str">
            <v>HANDS</v>
          </cell>
          <cell r="E1149">
            <v>17.241379310344829</v>
          </cell>
          <cell r="F1149">
            <v>20</v>
          </cell>
        </row>
        <row r="1150">
          <cell r="A1150">
            <v>1146</v>
          </cell>
          <cell r="B1150" t="str">
            <v xml:space="preserve">7501991821481   </v>
          </cell>
          <cell r="C1150" t="str">
            <v xml:space="preserve">(1037) JUEGO DE HABILIDADES 1Pz (H164)  </v>
          </cell>
          <cell r="D1150" t="str">
            <v>HANDS</v>
          </cell>
          <cell r="E1150">
            <v>948.27586206896558</v>
          </cell>
          <cell r="F1150">
            <v>1100</v>
          </cell>
        </row>
        <row r="1151">
          <cell r="A1151">
            <v>1147</v>
          </cell>
          <cell r="B1151" t="str">
            <v xml:space="preserve">7501991821498   </v>
          </cell>
          <cell r="C1151" t="str">
            <v>(3037) COOKIE CUTTER GRANJA 24Pz Y 4 PLA</v>
          </cell>
          <cell r="D1151" t="str">
            <v>HANDS</v>
          </cell>
          <cell r="E1151">
            <v>133.62068965517241</v>
          </cell>
          <cell r="F1151">
            <v>155</v>
          </cell>
        </row>
        <row r="1152">
          <cell r="A1152">
            <v>1148</v>
          </cell>
          <cell r="B1152" t="str">
            <v xml:space="preserve">7501991821504   </v>
          </cell>
          <cell r="C1152" t="str">
            <v xml:space="preserve">(3116) GEOMETRIAS LOGICAS DE ENSARTE    </v>
          </cell>
          <cell r="D1152" t="str">
            <v>HANDS</v>
          </cell>
          <cell r="E1152">
            <v>71.551724137931046</v>
          </cell>
          <cell r="F1152">
            <v>83</v>
          </cell>
        </row>
        <row r="1153">
          <cell r="A1153">
            <v>1149</v>
          </cell>
          <cell r="B1153" t="str">
            <v xml:space="preserve">7501991821511   </v>
          </cell>
          <cell r="C1153" t="str">
            <v>(6009) ASOCIACION DE NUMEROS 20Pz (H167)</v>
          </cell>
          <cell r="D1153" t="str">
            <v>HANDS</v>
          </cell>
          <cell r="E1153">
            <v>44.827586206896555</v>
          </cell>
          <cell r="F1153">
            <v>52</v>
          </cell>
        </row>
        <row r="1154">
          <cell r="A1154">
            <v>1150</v>
          </cell>
          <cell r="B1154" t="str">
            <v xml:space="preserve">7501991821528   </v>
          </cell>
          <cell r="C1154" t="str">
            <v xml:space="preserve">(7004) LOTERIA Y MEMORIA (H168)         </v>
          </cell>
          <cell r="D1154" t="str">
            <v>HANDS</v>
          </cell>
          <cell r="E1154">
            <v>56.896551724137936</v>
          </cell>
          <cell r="F1154">
            <v>66</v>
          </cell>
        </row>
        <row r="1155">
          <cell r="A1155">
            <v>1151</v>
          </cell>
          <cell r="B1155" t="str">
            <v xml:space="preserve">7501991821535   </v>
          </cell>
          <cell r="C1155" t="str">
            <v>(2034) GEOMETRIAS DE ENSAMBLE 44Pz(H169)</v>
          </cell>
          <cell r="D1155" t="str">
            <v>HANDS</v>
          </cell>
          <cell r="E1155">
            <v>193.96551724137933</v>
          </cell>
          <cell r="F1155">
            <v>225</v>
          </cell>
        </row>
        <row r="1156">
          <cell r="A1156">
            <v>1152</v>
          </cell>
          <cell r="B1156" t="str">
            <v xml:space="preserve">7501991821542   </v>
          </cell>
          <cell r="C1156" t="str">
            <v xml:space="preserve">(3020) CASTAÑUELA CON MANGO 1Pz (H170)  </v>
          </cell>
          <cell r="D1156" t="str">
            <v>HANDS</v>
          </cell>
          <cell r="E1156">
            <v>16.379310344827587</v>
          </cell>
          <cell r="F1156">
            <v>19</v>
          </cell>
        </row>
        <row r="1157">
          <cell r="A1157">
            <v>1153</v>
          </cell>
          <cell r="B1157" t="str">
            <v xml:space="preserve">7501991821559   </v>
          </cell>
          <cell r="C1157" t="str">
            <v xml:space="preserve">(1038) FOCA DE TEXTURAS 1Pz (H172)      </v>
          </cell>
          <cell r="D1157" t="str">
            <v>HANDS</v>
          </cell>
          <cell r="E1157">
            <v>336.20689655172418</v>
          </cell>
          <cell r="F1157">
            <v>390</v>
          </cell>
        </row>
        <row r="1158">
          <cell r="A1158">
            <v>1154</v>
          </cell>
          <cell r="B1158" t="str">
            <v xml:space="preserve">7501991821566   </v>
          </cell>
          <cell r="C1158" t="str">
            <v xml:space="preserve">(3120) BALANZA DE EQUILIBRIO 1Pz (H163) </v>
          </cell>
          <cell r="D1158" t="str">
            <v>HANDS</v>
          </cell>
          <cell r="E1158">
            <v>105.17241379310346</v>
          </cell>
          <cell r="F1158">
            <v>122</v>
          </cell>
        </row>
        <row r="1159">
          <cell r="A1159">
            <v>1155</v>
          </cell>
          <cell r="B1159" t="str">
            <v xml:space="preserve">7501991821573   </v>
          </cell>
          <cell r="C1159" t="str">
            <v xml:space="preserve">(2080) BOLICHE GIGANTE 6Pz (H175)       </v>
          </cell>
          <cell r="D1159" t="str">
            <v>HANDS</v>
          </cell>
          <cell r="E1159">
            <v>366.37931034482762</v>
          </cell>
          <cell r="F1159">
            <v>425</v>
          </cell>
        </row>
        <row r="1160">
          <cell r="A1160">
            <v>1156</v>
          </cell>
          <cell r="B1160" t="str">
            <v xml:space="preserve">7501991821580   </v>
          </cell>
          <cell r="C1160" t="str">
            <v>(3001) ABECEDARIO CONECTABLE 70Pz (H176)</v>
          </cell>
          <cell r="D1160" t="str">
            <v>HANDS</v>
          </cell>
          <cell r="E1160">
            <v>142.24137931034483</v>
          </cell>
          <cell r="F1160">
            <v>165</v>
          </cell>
        </row>
        <row r="1161">
          <cell r="A1161">
            <v>1157</v>
          </cell>
          <cell r="B1161" t="str">
            <v xml:space="preserve">7501991821597   </v>
          </cell>
          <cell r="C1161" t="str">
            <v xml:space="preserve">(3123) DOMINO LOGICO 60Pz (H167)        </v>
          </cell>
          <cell r="D1161" t="str">
            <v>HANDS</v>
          </cell>
          <cell r="E1161">
            <v>142.24137931034483</v>
          </cell>
          <cell r="F1161">
            <v>165</v>
          </cell>
        </row>
        <row r="1162">
          <cell r="A1162">
            <v>1158</v>
          </cell>
          <cell r="B1162" t="str">
            <v xml:space="preserve">7501991821603   </v>
          </cell>
          <cell r="C1162" t="str">
            <v xml:space="preserve">(3124) DINOSAURIOS CLASIFICADORES 120Pz </v>
          </cell>
          <cell r="D1162" t="str">
            <v>HANDS</v>
          </cell>
          <cell r="E1162">
            <v>113.79310344827587</v>
          </cell>
          <cell r="F1162">
            <v>132</v>
          </cell>
        </row>
        <row r="1163">
          <cell r="A1163">
            <v>1159</v>
          </cell>
          <cell r="B1163" t="str">
            <v xml:space="preserve">7501991821610   </v>
          </cell>
          <cell r="C1163" t="str">
            <v xml:space="preserve">(2078) TUBOS EDUCATIVOS 80Pz (H179)     </v>
          </cell>
          <cell r="D1163" t="str">
            <v>HANDS</v>
          </cell>
          <cell r="E1163">
            <v>171.55172413793105</v>
          </cell>
          <cell r="F1163">
            <v>199</v>
          </cell>
        </row>
        <row r="1164">
          <cell r="A1164">
            <v>1160</v>
          </cell>
          <cell r="B1164" t="str">
            <v xml:space="preserve">7501991821641   </v>
          </cell>
          <cell r="C1164" t="str">
            <v xml:space="preserve">(2081) PLATILLO DOBLE EXTENDIDO 35Pz    </v>
          </cell>
          <cell r="D1164" t="str">
            <v>HANDS</v>
          </cell>
          <cell r="E1164">
            <v>193.96551724137933</v>
          </cell>
          <cell r="F1164">
            <v>225</v>
          </cell>
        </row>
        <row r="1165">
          <cell r="A1165">
            <v>1161</v>
          </cell>
          <cell r="B1165" t="str">
            <v xml:space="preserve">7501991821658   </v>
          </cell>
          <cell r="C1165" t="str">
            <v xml:space="preserve">(1040) SEMAFORO 1.40 MTS. 1Pz (H183)    </v>
          </cell>
          <cell r="D1165" t="str">
            <v>HANDS</v>
          </cell>
          <cell r="E1165">
            <v>181.0344827586207</v>
          </cell>
          <cell r="F1165">
            <v>210</v>
          </cell>
        </row>
        <row r="1166">
          <cell r="A1166">
            <v>1162</v>
          </cell>
          <cell r="B1166" t="str">
            <v xml:space="preserve">7501991821665   </v>
          </cell>
          <cell r="C1166" t="str">
            <v xml:space="preserve">(3105) TANGRAM OVAL 1 JUEGO (H184)      </v>
          </cell>
          <cell r="D1166" t="str">
            <v>HANDS</v>
          </cell>
          <cell r="E1166">
            <v>23.27586206896552</v>
          </cell>
          <cell r="F1166">
            <v>27</v>
          </cell>
        </row>
        <row r="1167">
          <cell r="A1167">
            <v>1163</v>
          </cell>
          <cell r="B1167" t="str">
            <v xml:space="preserve">7501991821672   </v>
          </cell>
          <cell r="C1167" t="str">
            <v>(3078) PATRON GEOMETRICO 250Pz Y 1 TABLA</v>
          </cell>
          <cell r="D1167" t="str">
            <v>HANDS</v>
          </cell>
          <cell r="E1167">
            <v>107.75862068965517</v>
          </cell>
          <cell r="F1167">
            <v>125</v>
          </cell>
        </row>
        <row r="1168">
          <cell r="A1168">
            <v>1164</v>
          </cell>
          <cell r="B1168" t="str">
            <v xml:space="preserve">7501991821689   </v>
          </cell>
          <cell r="C1168" t="str">
            <v>(3140) ANIMALES DE LA JUNGLA 36Pz (H186)</v>
          </cell>
          <cell r="D1168" t="str">
            <v>HANDS</v>
          </cell>
          <cell r="E1168">
            <v>96.551724137931046</v>
          </cell>
          <cell r="F1168">
            <v>112</v>
          </cell>
        </row>
        <row r="1169">
          <cell r="A1169">
            <v>1165</v>
          </cell>
          <cell r="B1169" t="str">
            <v xml:space="preserve">7501991821696   </v>
          </cell>
          <cell r="C1169" t="str">
            <v xml:space="preserve">(1039) ATINA CON FRIZZBY 1Pz (H187)     </v>
          </cell>
          <cell r="D1169" t="str">
            <v>HANDS</v>
          </cell>
          <cell r="E1169">
            <v>711.20689655172418</v>
          </cell>
          <cell r="F1169">
            <v>825</v>
          </cell>
        </row>
        <row r="1170">
          <cell r="A1170">
            <v>1166</v>
          </cell>
          <cell r="B1170" t="str">
            <v xml:space="preserve">7501991821702   </v>
          </cell>
          <cell r="C1170" t="str">
            <v xml:space="preserve">(6010) NUMERACION POSICIONAL (H188)     </v>
          </cell>
          <cell r="D1170" t="str">
            <v>HANDS</v>
          </cell>
          <cell r="E1170">
            <v>47.413793103448278</v>
          </cell>
          <cell r="F1170">
            <v>55</v>
          </cell>
        </row>
        <row r="1171">
          <cell r="A1171">
            <v>1167</v>
          </cell>
          <cell r="B1171" t="str">
            <v xml:space="preserve">7501991821719   </v>
          </cell>
          <cell r="C1171" t="str">
            <v xml:space="preserve">(3135) DADO MULTIPLE LETRAS Y NUMEROS   </v>
          </cell>
          <cell r="D1171" t="str">
            <v>HANDS</v>
          </cell>
          <cell r="E1171">
            <v>185.34482758620692</v>
          </cell>
          <cell r="F1171">
            <v>215</v>
          </cell>
        </row>
        <row r="1172">
          <cell r="A1172">
            <v>1168</v>
          </cell>
          <cell r="B1172" t="str">
            <v xml:space="preserve">7501991821726   </v>
          </cell>
          <cell r="C1172" t="str">
            <v xml:space="preserve">(2083) ORUGA ARCOIRIS 35Pz (H191)       </v>
          </cell>
          <cell r="D1172" t="str">
            <v>HANDS</v>
          </cell>
          <cell r="E1172">
            <v>193.96551724137933</v>
          </cell>
          <cell r="F1172">
            <v>225</v>
          </cell>
        </row>
        <row r="1173">
          <cell r="A1173">
            <v>1169</v>
          </cell>
          <cell r="B1173" t="str">
            <v xml:space="preserve">7501991821733   </v>
          </cell>
          <cell r="C1173" t="str">
            <v>(7009) R.C. NUMERICO DEL MAR 50Pz (H193)</v>
          </cell>
          <cell r="D1173" t="str">
            <v>HANDS</v>
          </cell>
          <cell r="E1173">
            <v>81.896551724137936</v>
          </cell>
          <cell r="F1173">
            <v>95</v>
          </cell>
        </row>
        <row r="1174">
          <cell r="A1174">
            <v>1170</v>
          </cell>
          <cell r="B1174" t="str">
            <v xml:space="preserve">7501991821764   </v>
          </cell>
          <cell r="C1174" t="str">
            <v>(3143) NUMEROS Y SIGNOS CONECTABLES 70Pz</v>
          </cell>
          <cell r="D1174" t="str">
            <v>HANDS</v>
          </cell>
          <cell r="E1174">
            <v>142.24137931034483</v>
          </cell>
          <cell r="F1174">
            <v>165</v>
          </cell>
        </row>
        <row r="1175">
          <cell r="A1175">
            <v>1171</v>
          </cell>
          <cell r="B1175" t="str">
            <v xml:space="preserve">7501991821771   </v>
          </cell>
          <cell r="C1175" t="str">
            <v xml:space="preserve">(3057) FICHA MATEMATICA CUADRADA 200Pz  </v>
          </cell>
          <cell r="D1175" t="str">
            <v>HANDS</v>
          </cell>
          <cell r="E1175">
            <v>156.89655172413794</v>
          </cell>
          <cell r="F1175">
            <v>182</v>
          </cell>
        </row>
        <row r="1176">
          <cell r="A1176">
            <v>1172</v>
          </cell>
          <cell r="B1176" t="str">
            <v xml:space="preserve">7501991821795   </v>
          </cell>
          <cell r="C1176" t="str">
            <v xml:space="preserve">(7048) TANGRAM OVAL GIGANTE (H199)      </v>
          </cell>
          <cell r="D1176" t="str">
            <v>HANDS</v>
          </cell>
          <cell r="E1176">
            <v>41.379310344827587</v>
          </cell>
          <cell r="F1176">
            <v>48</v>
          </cell>
        </row>
        <row r="1177">
          <cell r="A1177">
            <v>1173</v>
          </cell>
          <cell r="B1177" t="str">
            <v xml:space="preserve">7501991821801   </v>
          </cell>
          <cell r="C1177" t="str">
            <v xml:space="preserve">(2085) OSITOS ENGANCHABLES 40Pz (H201)  </v>
          </cell>
          <cell r="D1177" t="str">
            <v>HANDS</v>
          </cell>
          <cell r="E1177">
            <v>193.96551724137933</v>
          </cell>
          <cell r="F1177">
            <v>225</v>
          </cell>
        </row>
        <row r="1178">
          <cell r="A1178">
            <v>1174</v>
          </cell>
          <cell r="B1178" t="str">
            <v xml:space="preserve">7501991821818   </v>
          </cell>
          <cell r="C1178" t="str">
            <v xml:space="preserve">(3121) CEPILLO JUMBO 60Pz (H202)        </v>
          </cell>
          <cell r="D1178" t="str">
            <v>HANDS</v>
          </cell>
          <cell r="E1178">
            <v>237.06896551724139</v>
          </cell>
          <cell r="F1178">
            <v>275</v>
          </cell>
        </row>
        <row r="1179">
          <cell r="A1179">
            <v>1175</v>
          </cell>
          <cell r="B1179" t="str">
            <v xml:space="preserve">7501991821825   </v>
          </cell>
          <cell r="C1179" t="str">
            <v xml:space="preserve">(2082) GIRASOLES 32Pz (H202)            </v>
          </cell>
          <cell r="D1179" t="str">
            <v>HANDS</v>
          </cell>
          <cell r="E1179">
            <v>193.96551724137933</v>
          </cell>
          <cell r="F1179">
            <v>225</v>
          </cell>
        </row>
        <row r="1180">
          <cell r="A1180">
            <v>1176</v>
          </cell>
          <cell r="B1180" t="str">
            <v xml:space="preserve">7501991821832   </v>
          </cell>
          <cell r="C1180" t="str">
            <v xml:space="preserve">(3122) CUBO DEL CONOCIMIENTO (H204)     </v>
          </cell>
          <cell r="D1180" t="str">
            <v>HANDS</v>
          </cell>
          <cell r="E1180">
            <v>113.79310344827587</v>
          </cell>
          <cell r="F1180">
            <v>132</v>
          </cell>
        </row>
        <row r="1181">
          <cell r="A1181">
            <v>1177</v>
          </cell>
          <cell r="B1181" t="str">
            <v xml:space="preserve">7501991821849   </v>
          </cell>
          <cell r="C1181" t="str">
            <v xml:space="preserve">(2084) DADO CONJUNTO 24Pz S/CHAROLA     </v>
          </cell>
          <cell r="D1181" t="str">
            <v>HANDS</v>
          </cell>
          <cell r="E1181">
            <v>193.96551724137933</v>
          </cell>
          <cell r="F1181">
            <v>225</v>
          </cell>
        </row>
        <row r="1182">
          <cell r="A1182">
            <v>1178</v>
          </cell>
          <cell r="B1182" t="str">
            <v xml:space="preserve">7501991821856   </v>
          </cell>
          <cell r="C1182" t="str">
            <v xml:space="preserve">(3161) CORCHOLATON 50Pz (H205)          </v>
          </cell>
          <cell r="D1182" t="str">
            <v>HANDS</v>
          </cell>
          <cell r="E1182">
            <v>193.96551724137933</v>
          </cell>
          <cell r="F1182">
            <v>225</v>
          </cell>
        </row>
        <row r="1183">
          <cell r="A1183">
            <v>1179</v>
          </cell>
          <cell r="B1183" t="str">
            <v xml:space="preserve">7501991821863   </v>
          </cell>
          <cell r="C1183" t="str">
            <v xml:space="preserve">(3155) JUEGO DE ENGRANES 64Pz (H206)    </v>
          </cell>
          <cell r="D1183" t="str">
            <v>HANDS</v>
          </cell>
          <cell r="E1183">
            <v>215.51724137931035</v>
          </cell>
          <cell r="F1183">
            <v>250</v>
          </cell>
        </row>
        <row r="1184">
          <cell r="A1184">
            <v>1180</v>
          </cell>
          <cell r="B1184" t="str">
            <v xml:space="preserve">7501991821870   </v>
          </cell>
          <cell r="C1184" t="str">
            <v>(3115) MI TABLITA TEJEDORA 1 JGO. (H207)</v>
          </cell>
          <cell r="D1184" t="str">
            <v>HANDS</v>
          </cell>
          <cell r="E1184">
            <v>22.413793103448278</v>
          </cell>
          <cell r="F1184">
            <v>26</v>
          </cell>
        </row>
        <row r="1185">
          <cell r="A1185">
            <v>1181</v>
          </cell>
          <cell r="B1185" t="str">
            <v xml:space="preserve">7501991821887   </v>
          </cell>
          <cell r="C1185" t="str">
            <v xml:space="preserve">(7006) LOTERIA DE VALORES (H208)        </v>
          </cell>
          <cell r="D1185" t="str">
            <v>HANDS</v>
          </cell>
          <cell r="E1185">
            <v>81.896551724137936</v>
          </cell>
          <cell r="F1185">
            <v>95</v>
          </cell>
        </row>
        <row r="1186">
          <cell r="A1186">
            <v>1182</v>
          </cell>
          <cell r="B1186" t="str">
            <v xml:space="preserve">7501991821894   </v>
          </cell>
          <cell r="C1186" t="str">
            <v>(3136) SOMBRERO APILABLE CON 40Pz (H209)</v>
          </cell>
          <cell r="D1186" t="str">
            <v>HANDS</v>
          </cell>
          <cell r="E1186">
            <v>112.06896551724138</v>
          </cell>
          <cell r="F1186">
            <v>130</v>
          </cell>
        </row>
        <row r="1187">
          <cell r="A1187">
            <v>1183</v>
          </cell>
          <cell r="B1187" t="str">
            <v xml:space="preserve">7501991821900   </v>
          </cell>
          <cell r="C1187" t="str">
            <v>(3014) BASE 10 (Un. De. Ce.)120Pz (H210)</v>
          </cell>
          <cell r="D1187" t="str">
            <v>HANDS</v>
          </cell>
          <cell r="E1187">
            <v>102.58620689655173</v>
          </cell>
          <cell r="F1187">
            <v>119</v>
          </cell>
        </row>
        <row r="1188">
          <cell r="A1188">
            <v>1184</v>
          </cell>
          <cell r="B1188" t="str">
            <v xml:space="preserve">7501991821917   </v>
          </cell>
          <cell r="C1188" t="str">
            <v xml:space="preserve">(3149) ESCALERAMA 70Pz (H211)           </v>
          </cell>
          <cell r="D1188" t="str">
            <v>HANDS</v>
          </cell>
          <cell r="E1188">
            <v>116.37931034482759</v>
          </cell>
          <cell r="F1188">
            <v>135</v>
          </cell>
        </row>
        <row r="1189">
          <cell r="A1189">
            <v>1185</v>
          </cell>
          <cell r="B1189" t="str">
            <v xml:space="preserve">7501991821924   </v>
          </cell>
          <cell r="C1189" t="str">
            <v>(2090) ESTRELLA GIGANTE C/ POSTES (H212)</v>
          </cell>
          <cell r="D1189" t="str">
            <v>HANDS</v>
          </cell>
          <cell r="E1189">
            <v>193.96551724137933</v>
          </cell>
          <cell r="F1189">
            <v>225</v>
          </cell>
        </row>
        <row r="1190">
          <cell r="A1190">
            <v>1186</v>
          </cell>
          <cell r="B1190" t="str">
            <v xml:space="preserve">7501991821931   </v>
          </cell>
          <cell r="C1190" t="str">
            <v xml:space="preserve">(3167) MUÑECO MALABARISTA 80Pz (H213)   </v>
          </cell>
          <cell r="D1190" t="str">
            <v>HANDS</v>
          </cell>
          <cell r="E1190">
            <v>162.06896551724139</v>
          </cell>
          <cell r="F1190">
            <v>188</v>
          </cell>
        </row>
        <row r="1191">
          <cell r="A1191">
            <v>1187</v>
          </cell>
          <cell r="B1191" t="str">
            <v xml:space="preserve">7501991821948   </v>
          </cell>
          <cell r="C1191" t="str">
            <v xml:space="preserve">(2086) BOTA ALCANCIA 15Pz (H214)        </v>
          </cell>
          <cell r="D1191" t="str">
            <v>HANDS</v>
          </cell>
          <cell r="E1191">
            <v>193.96551724137933</v>
          </cell>
          <cell r="F1191">
            <v>225</v>
          </cell>
        </row>
        <row r="1192">
          <cell r="A1192">
            <v>1188</v>
          </cell>
          <cell r="B1192" t="str">
            <v xml:space="preserve">7501991821955   </v>
          </cell>
          <cell r="C1192" t="str">
            <v xml:space="preserve">(3152) DOMINO ESTADOS DE LA REPUB. 32Pz </v>
          </cell>
          <cell r="D1192" t="str">
            <v>HANDS</v>
          </cell>
          <cell r="E1192">
            <v>332.75862068965517</v>
          </cell>
          <cell r="F1192">
            <v>386</v>
          </cell>
        </row>
        <row r="1193">
          <cell r="A1193">
            <v>1189</v>
          </cell>
          <cell r="B1193" t="str">
            <v xml:space="preserve">7501991821962   </v>
          </cell>
          <cell r="C1193" t="str">
            <v xml:space="preserve">(3166) CHITA - CHANGUITOS GIGANTES 50Pz </v>
          </cell>
          <cell r="D1193" t="str">
            <v>HANDS</v>
          </cell>
          <cell r="E1193">
            <v>103.44827586206897</v>
          </cell>
          <cell r="F1193">
            <v>120</v>
          </cell>
        </row>
        <row r="1194">
          <cell r="A1194">
            <v>1190</v>
          </cell>
          <cell r="B1194" t="str">
            <v xml:space="preserve">7501991821979   </v>
          </cell>
          <cell r="C1194" t="str">
            <v xml:space="preserve">(2087) NUMEROS GIGANTES SOPLADOS 20Pz   </v>
          </cell>
          <cell r="D1194" t="str">
            <v>HANDS</v>
          </cell>
          <cell r="E1194">
            <v>193.96551724137933</v>
          </cell>
          <cell r="F1194">
            <v>225</v>
          </cell>
        </row>
        <row r="1195">
          <cell r="A1195">
            <v>1191</v>
          </cell>
          <cell r="B1195" t="str">
            <v xml:space="preserve">7501991821986   </v>
          </cell>
          <cell r="C1195" t="str">
            <v xml:space="preserve">(3153) CLASIFICACION DE FIGURAS 45Pz    </v>
          </cell>
          <cell r="D1195" t="str">
            <v>HANDS</v>
          </cell>
          <cell r="E1195">
            <v>94.827586206896555</v>
          </cell>
          <cell r="F1195">
            <v>110</v>
          </cell>
        </row>
        <row r="1196">
          <cell r="A1196">
            <v>1192</v>
          </cell>
          <cell r="B1196" t="str">
            <v xml:space="preserve">7501991821993   </v>
          </cell>
          <cell r="C1196" t="str">
            <v xml:space="preserve">(3151) DOMINO OFICIOS 24Pz (H219)       </v>
          </cell>
          <cell r="D1196" t="str">
            <v>HANDS</v>
          </cell>
          <cell r="E1196">
            <v>250.00000000000003</v>
          </cell>
          <cell r="F1196">
            <v>290</v>
          </cell>
        </row>
        <row r="1197">
          <cell r="A1197">
            <v>1193</v>
          </cell>
          <cell r="B1197" t="str">
            <v xml:space="preserve">7501991823010   </v>
          </cell>
          <cell r="C1197" t="str">
            <v>(6033) NUMEROS Y LETRAS RECORTABLES 94Pz</v>
          </cell>
          <cell r="D1197" t="str">
            <v>HANDS</v>
          </cell>
          <cell r="E1197">
            <v>68.965517241379317</v>
          </cell>
          <cell r="F1197">
            <v>80</v>
          </cell>
        </row>
        <row r="1198">
          <cell r="A1198">
            <v>1194</v>
          </cell>
          <cell r="B1198" t="str">
            <v xml:space="preserve">7501991823027   </v>
          </cell>
          <cell r="C1198" t="str">
            <v xml:space="preserve">(3156) RIEL MULTIUSOS REGLETA (H275)    </v>
          </cell>
          <cell r="D1198" t="str">
            <v>HANDS</v>
          </cell>
          <cell r="E1198">
            <v>43.965517241379317</v>
          </cell>
          <cell r="F1198">
            <v>51</v>
          </cell>
        </row>
        <row r="1199">
          <cell r="A1199">
            <v>1195</v>
          </cell>
          <cell r="B1199" t="str">
            <v xml:space="preserve">7501991823034   </v>
          </cell>
          <cell r="C1199" t="str">
            <v>(3050) DOMINO JR. FRACCIONES 28Pz (H277)</v>
          </cell>
          <cell r="D1199" t="str">
            <v>HANDS</v>
          </cell>
          <cell r="E1199">
            <v>89.65517241379311</v>
          </cell>
          <cell r="F1199">
            <v>104</v>
          </cell>
        </row>
        <row r="1200">
          <cell r="A1200">
            <v>1196</v>
          </cell>
          <cell r="B1200" t="str">
            <v xml:space="preserve">7501991823041   </v>
          </cell>
          <cell r="C1200" t="str">
            <v>(3184) REGLETAS DE PLASTICO LISA 291Pz  C/ESTUCHE</v>
          </cell>
          <cell r="D1200" t="str">
            <v>HANDS</v>
          </cell>
          <cell r="E1200">
            <v>181.0344827586207</v>
          </cell>
          <cell r="F1200">
            <v>210</v>
          </cell>
        </row>
        <row r="1201">
          <cell r="A1201">
            <v>1197</v>
          </cell>
          <cell r="B1201" t="str">
            <v xml:space="preserve">7501991823058   </v>
          </cell>
          <cell r="C1201" t="str">
            <v xml:space="preserve">(3165) BASE 10 CON CUBO TRANSPARENTE    </v>
          </cell>
          <cell r="D1201" t="str">
            <v>HANDS</v>
          </cell>
          <cell r="E1201">
            <v>124.13793103448276</v>
          </cell>
          <cell r="F1201">
            <v>144</v>
          </cell>
        </row>
        <row r="1202">
          <cell r="A1202">
            <v>1198</v>
          </cell>
          <cell r="B1202" t="str">
            <v xml:space="preserve">7501991823065   </v>
          </cell>
          <cell r="C1202" t="str">
            <v xml:space="preserve">(3157) REGLAS ANGULARES 24Pz (H280)     </v>
          </cell>
          <cell r="D1202" t="str">
            <v>HANDS</v>
          </cell>
          <cell r="E1202">
            <v>56.03448275862069</v>
          </cell>
          <cell r="F1202">
            <v>65</v>
          </cell>
        </row>
        <row r="1203">
          <cell r="A1203">
            <v>1199</v>
          </cell>
          <cell r="B1203" t="str">
            <v xml:space="preserve">7501991823072   </v>
          </cell>
          <cell r="C1203" t="str">
            <v xml:space="preserve">(6026) BILLETES Y MONEDAS EDUCATIVAS    </v>
          </cell>
          <cell r="D1203" t="str">
            <v>HANDS</v>
          </cell>
          <cell r="E1203">
            <v>137.93103448275863</v>
          </cell>
          <cell r="F1203">
            <v>160</v>
          </cell>
        </row>
        <row r="1204">
          <cell r="A1204">
            <v>1200</v>
          </cell>
          <cell r="B1204" t="str">
            <v xml:space="preserve">7501991823089   </v>
          </cell>
          <cell r="C1204" t="str">
            <v xml:space="preserve">(6035) CARTAS NUMERICAS SENSORIAL 10Pz  </v>
          </cell>
          <cell r="D1204" t="str">
            <v>HANDS</v>
          </cell>
          <cell r="E1204">
            <v>21.551724137931036</v>
          </cell>
          <cell r="F1204">
            <v>25</v>
          </cell>
        </row>
        <row r="1205">
          <cell r="A1205">
            <v>1201</v>
          </cell>
          <cell r="B1205" t="str">
            <v xml:space="preserve">7501991823096   </v>
          </cell>
          <cell r="C1205" t="str">
            <v>(3011) BANCUBI O Q'BITS HUECO 60Pz(H283)</v>
          </cell>
          <cell r="D1205" t="str">
            <v>HANDS</v>
          </cell>
          <cell r="E1205">
            <v>104.31034482758622</v>
          </cell>
          <cell r="F1205">
            <v>121</v>
          </cell>
        </row>
        <row r="1206">
          <cell r="A1206">
            <v>1202</v>
          </cell>
          <cell r="B1206" t="str">
            <v xml:space="preserve">7501991823102   </v>
          </cell>
          <cell r="C1206" t="str">
            <v xml:space="preserve">(3162) DOMINO FORMA FIGURAS GEOMETRICAS </v>
          </cell>
          <cell r="D1206" t="str">
            <v>HANDS</v>
          </cell>
          <cell r="E1206">
            <v>250.00000000000003</v>
          </cell>
          <cell r="F1206">
            <v>290</v>
          </cell>
        </row>
        <row r="1207">
          <cell r="A1207">
            <v>1203</v>
          </cell>
          <cell r="B1207" t="str">
            <v xml:space="preserve">7501991823119   </v>
          </cell>
          <cell r="C1207" t="str">
            <v>(3160) DOMINO COLORES Y FRUTAS 20Pz-H285</v>
          </cell>
          <cell r="D1207" t="str">
            <v>HANDS</v>
          </cell>
          <cell r="E1207">
            <v>208.62068965517244</v>
          </cell>
          <cell r="F1207">
            <v>242</v>
          </cell>
        </row>
        <row r="1208">
          <cell r="A1208">
            <v>1204</v>
          </cell>
          <cell r="B1208" t="str">
            <v xml:space="preserve">7501991823126   </v>
          </cell>
          <cell r="C1208" t="str">
            <v xml:space="preserve">(2093) ESCALERA DE EQUILIBRIO (H286)    </v>
          </cell>
          <cell r="D1208" t="str">
            <v>HANDS</v>
          </cell>
          <cell r="E1208">
            <v>301.72413793103448</v>
          </cell>
          <cell r="F1208">
            <v>350</v>
          </cell>
        </row>
        <row r="1209">
          <cell r="A1209">
            <v>1205</v>
          </cell>
          <cell r="B1209" t="str">
            <v xml:space="preserve">7501991823133   </v>
          </cell>
          <cell r="C1209" t="str">
            <v xml:space="preserve">(6034) CARTAS ALFEBETICA SENSORIAL 28Pz </v>
          </cell>
          <cell r="D1209" t="str">
            <v>HANDS</v>
          </cell>
          <cell r="E1209">
            <v>41.379310344827587</v>
          </cell>
          <cell r="F1209">
            <v>48</v>
          </cell>
        </row>
        <row r="1210">
          <cell r="A1210">
            <v>1206</v>
          </cell>
          <cell r="B1210" t="str">
            <v xml:space="preserve">7501991823140   </v>
          </cell>
          <cell r="C1210" t="str">
            <v xml:space="preserve">(3205) AROS GEOMETRICOS TRIANGULO 6Pz   </v>
          </cell>
          <cell r="D1210" t="str">
            <v>HANDS</v>
          </cell>
          <cell r="E1210">
            <v>85.344827586206904</v>
          </cell>
          <cell r="F1210">
            <v>99</v>
          </cell>
        </row>
        <row r="1211">
          <cell r="A1211">
            <v>1207</v>
          </cell>
          <cell r="B1211" t="str">
            <v xml:space="preserve">7501991823157   </v>
          </cell>
          <cell r="C1211" t="str">
            <v xml:space="preserve">(3206) AROS GEOMETRICOS CUADRADOS 6Pz   </v>
          </cell>
          <cell r="D1211" t="str">
            <v>HANDS</v>
          </cell>
          <cell r="E1211">
            <v>136.20689655172416</v>
          </cell>
          <cell r="F1211">
            <v>158</v>
          </cell>
        </row>
        <row r="1212">
          <cell r="A1212">
            <v>1208</v>
          </cell>
          <cell r="B1212" t="str">
            <v xml:space="preserve">7501991823164   </v>
          </cell>
          <cell r="C1212" t="str">
            <v xml:space="preserve">(3208) FACTORIZADOR MATEMATICO (H290)   </v>
          </cell>
          <cell r="D1212" t="str">
            <v>HANDS</v>
          </cell>
          <cell r="E1212">
            <v>43.103448275862071</v>
          </cell>
          <cell r="F1212">
            <v>50</v>
          </cell>
        </row>
        <row r="1213">
          <cell r="A1213">
            <v>1209</v>
          </cell>
          <cell r="B1213" t="str">
            <v xml:space="preserve">7501991823171   </v>
          </cell>
          <cell r="C1213" t="str">
            <v>(3217) RESAQUE PLASTICO BARCO NUEVO H291</v>
          </cell>
          <cell r="D1213" t="str">
            <v>HANDS</v>
          </cell>
          <cell r="E1213">
            <v>68.965517241379317</v>
          </cell>
          <cell r="F1213">
            <v>80</v>
          </cell>
        </row>
        <row r="1214">
          <cell r="A1214">
            <v>1210</v>
          </cell>
          <cell r="B1214" t="str">
            <v xml:space="preserve">7501991823188   </v>
          </cell>
          <cell r="C1214" t="str">
            <v xml:space="preserve">(3218) RESAQUE PLASTICO COCHE (H292)    </v>
          </cell>
          <cell r="D1214" t="str">
            <v>HANDS</v>
          </cell>
          <cell r="E1214">
            <v>68.965517241379317</v>
          </cell>
          <cell r="F1214">
            <v>80</v>
          </cell>
        </row>
        <row r="1215">
          <cell r="A1215">
            <v>1211</v>
          </cell>
          <cell r="B1215" t="str">
            <v xml:space="preserve">7501991823201   </v>
          </cell>
          <cell r="C1215" t="str">
            <v>(3209) PIRINOLA ARITMETICA 3Pz Y 4 DADOS</v>
          </cell>
          <cell r="D1215" t="str">
            <v>HANDS</v>
          </cell>
          <cell r="E1215">
            <v>103.44827586206897</v>
          </cell>
          <cell r="F1215">
            <v>120</v>
          </cell>
        </row>
        <row r="1216">
          <cell r="A1216">
            <v>1212</v>
          </cell>
          <cell r="B1216" t="str">
            <v xml:space="preserve">7501991823218   </v>
          </cell>
          <cell r="C1216" t="str">
            <v>(6054) MEMORAMA NUMEROS MAYAS 30Pz(H295)</v>
          </cell>
          <cell r="D1216" t="str">
            <v>HANDS</v>
          </cell>
          <cell r="E1216">
            <v>181.0344827586207</v>
          </cell>
          <cell r="F1216">
            <v>210</v>
          </cell>
        </row>
        <row r="1217">
          <cell r="A1217">
            <v>1213</v>
          </cell>
          <cell r="B1217" t="str">
            <v xml:space="preserve">7501991823225   </v>
          </cell>
          <cell r="C1217" t="str">
            <v xml:space="preserve">(6053) MEMORAMA DE NUMEROS ROMANOS 30Pz </v>
          </cell>
          <cell r="D1217" t="str">
            <v>HANDS</v>
          </cell>
          <cell r="E1217">
            <v>181.0344827586207</v>
          </cell>
          <cell r="F1217">
            <v>210</v>
          </cell>
        </row>
        <row r="1218">
          <cell r="A1218">
            <v>1214</v>
          </cell>
          <cell r="B1218" t="str">
            <v xml:space="preserve">7501991823867   </v>
          </cell>
          <cell r="C1218" t="str">
            <v xml:space="preserve">(3004) ANIMALES GRANJA 6Pz              </v>
          </cell>
          <cell r="D1218" t="str">
            <v>HANDS</v>
          </cell>
          <cell r="E1218">
            <v>13.793103448275863</v>
          </cell>
          <cell r="F1218">
            <v>16</v>
          </cell>
        </row>
        <row r="1219">
          <cell r="A1219">
            <v>1215</v>
          </cell>
          <cell r="B1219" t="str">
            <v xml:space="preserve">7501991832487   </v>
          </cell>
          <cell r="C1219" t="str">
            <v>(3125) LETRAS DIDACTICAS  MAYUSCULAS 81P</v>
          </cell>
          <cell r="D1219" t="str">
            <v>HANDS</v>
          </cell>
          <cell r="E1219">
            <v>131.0344827586207</v>
          </cell>
          <cell r="F1219">
            <v>152</v>
          </cell>
        </row>
        <row r="1220">
          <cell r="A1220">
            <v>1216</v>
          </cell>
          <cell r="B1220" t="str">
            <v xml:space="preserve">7501991833538   </v>
          </cell>
          <cell r="C1220" t="str">
            <v>(3142) LETRAS DIDACTICAS MINUSCULAS 96Pz</v>
          </cell>
          <cell r="D1220" t="str">
            <v>HANDS</v>
          </cell>
          <cell r="E1220">
            <v>131.0344827586207</v>
          </cell>
          <cell r="F1220">
            <v>152</v>
          </cell>
        </row>
        <row r="1221">
          <cell r="A1221">
            <v>1217</v>
          </cell>
          <cell r="B1221" t="str">
            <v xml:space="preserve">7501991838038   </v>
          </cell>
          <cell r="C1221" t="str">
            <v xml:space="preserve">(2092) CONEXIONES NUMERICAS BRAILE 44Pz </v>
          </cell>
          <cell r="D1221" t="str">
            <v>HANDS</v>
          </cell>
          <cell r="E1221">
            <v>193.96551724137933</v>
          </cell>
          <cell r="F1221">
            <v>225</v>
          </cell>
        </row>
        <row r="1222">
          <cell r="A1222">
            <v>1218</v>
          </cell>
          <cell r="B1222" t="str">
            <v xml:space="preserve">7501991838212   </v>
          </cell>
          <cell r="C1222" t="str">
            <v xml:space="preserve">(2100) MUELAS CON 5Pz                   </v>
          </cell>
          <cell r="D1222" t="str">
            <v>HANDS</v>
          </cell>
          <cell r="E1222">
            <v>30.172413793103452</v>
          </cell>
          <cell r="F1222">
            <v>35</v>
          </cell>
        </row>
        <row r="1223">
          <cell r="A1223">
            <v>1219</v>
          </cell>
          <cell r="B1223" t="str">
            <v xml:space="preserve">7501991851846   </v>
          </cell>
          <cell r="C1223" t="str">
            <v xml:space="preserve">(3068) LLAVES PREESCOLAR 28Pz (H148)    </v>
          </cell>
          <cell r="D1223" t="str">
            <v>HANDS</v>
          </cell>
          <cell r="E1223">
            <v>200</v>
          </cell>
          <cell r="F1223">
            <v>232</v>
          </cell>
        </row>
        <row r="1224">
          <cell r="A1224">
            <v>1220</v>
          </cell>
          <cell r="B1224" t="str">
            <v xml:space="preserve">7501991854007   </v>
          </cell>
          <cell r="C1224" t="str">
            <v xml:space="preserve">(3003) ANIMALES DE GRANJA 36Pz          </v>
          </cell>
          <cell r="D1224" t="str">
            <v>HANDS</v>
          </cell>
          <cell r="E1224">
            <v>94.827586206896555</v>
          </cell>
          <cell r="F1224">
            <v>110</v>
          </cell>
        </row>
        <row r="1225">
          <cell r="A1225">
            <v>1221</v>
          </cell>
          <cell r="B1225" t="str">
            <v xml:space="preserve">7501991854144   </v>
          </cell>
          <cell r="C1225" t="str">
            <v xml:space="preserve">(7047) TANGRAM CUADRADO GIGANTE (H198)  </v>
          </cell>
          <cell r="D1225" t="str">
            <v>HANDS</v>
          </cell>
          <cell r="E1225">
            <v>47.413793103448278</v>
          </cell>
          <cell r="F1225">
            <v>55</v>
          </cell>
        </row>
        <row r="1226">
          <cell r="A1226">
            <v>1222</v>
          </cell>
          <cell r="B1226" t="str">
            <v xml:space="preserve">7501991861029   </v>
          </cell>
          <cell r="C1226" t="str">
            <v xml:space="preserve">(3141) PAYASITO KINDIRELLO 36Pz (H194)  </v>
          </cell>
          <cell r="D1226" t="str">
            <v>HANDS</v>
          </cell>
          <cell r="E1226">
            <v>129.31034482758622</v>
          </cell>
          <cell r="F1226">
            <v>150</v>
          </cell>
        </row>
        <row r="1227">
          <cell r="A1227">
            <v>1223</v>
          </cell>
          <cell r="B1227" t="str">
            <v xml:space="preserve">7502247581616   </v>
          </cell>
          <cell r="C1227" t="str">
            <v>(3113) GIROGRAFO JUMBO LETRAS MINUSCULAS</v>
          </cell>
          <cell r="D1227" t="str">
            <v>HANDS</v>
          </cell>
          <cell r="E1227">
            <v>123.27586206896552</v>
          </cell>
          <cell r="F1227">
            <v>143</v>
          </cell>
        </row>
        <row r="1228">
          <cell r="A1228">
            <v>1224</v>
          </cell>
          <cell r="B1228" t="str">
            <v xml:space="preserve">7502247581623   </v>
          </cell>
          <cell r="C1228" t="str">
            <v xml:space="preserve">(3064) GIROGRAFO JUMBO NUMEROS 18Pz     </v>
          </cell>
          <cell r="D1228" t="str">
            <v>HANDS</v>
          </cell>
          <cell r="E1228">
            <v>123.27586206896552</v>
          </cell>
          <cell r="F1228">
            <v>143</v>
          </cell>
        </row>
        <row r="1229">
          <cell r="A1229">
            <v>1225</v>
          </cell>
          <cell r="B1229" t="str">
            <v xml:space="preserve">7502247581661   </v>
          </cell>
          <cell r="C1229" t="str">
            <v xml:space="preserve">(2036) GUIRO 1Pz                        </v>
          </cell>
          <cell r="D1229" t="str">
            <v>HANDS</v>
          </cell>
          <cell r="E1229">
            <v>12.931034482758621</v>
          </cell>
          <cell r="F1229">
            <v>15</v>
          </cell>
        </row>
        <row r="1230">
          <cell r="A1230">
            <v>1226</v>
          </cell>
          <cell r="B1230" t="str">
            <v xml:space="preserve">7502247581913   </v>
          </cell>
          <cell r="C1230" t="str">
            <v xml:space="preserve">(6001) LETRAS MAYUSCULAS CURSIVA 200Pz  </v>
          </cell>
          <cell r="D1230" t="str">
            <v>HANDS</v>
          </cell>
          <cell r="E1230">
            <v>64.65517241379311</v>
          </cell>
          <cell r="F1230">
            <v>75</v>
          </cell>
        </row>
        <row r="1231">
          <cell r="A1231">
            <v>1227</v>
          </cell>
          <cell r="B1231" t="str">
            <v xml:space="preserve">7502247581920   </v>
          </cell>
          <cell r="C1231" t="str">
            <v xml:space="preserve">(6002) LETRAS MINUSCULAS 200Pz          </v>
          </cell>
          <cell r="D1231" t="str">
            <v>HANDS</v>
          </cell>
          <cell r="E1231">
            <v>64.65517241379311</v>
          </cell>
          <cell r="F1231">
            <v>75</v>
          </cell>
        </row>
        <row r="1232">
          <cell r="A1232">
            <v>1228</v>
          </cell>
          <cell r="B1232" t="str">
            <v xml:space="preserve">7502247581937   </v>
          </cell>
          <cell r="C1232" t="str">
            <v xml:space="preserve">(6003) LETRAS MINUSCULAS CURSIVA 200Pz  </v>
          </cell>
          <cell r="D1232" t="str">
            <v>HANDS</v>
          </cell>
          <cell r="E1232">
            <v>64.65517241379311</v>
          </cell>
          <cell r="F1232">
            <v>75</v>
          </cell>
        </row>
        <row r="1233">
          <cell r="A1233">
            <v>1229</v>
          </cell>
          <cell r="B1233" t="str">
            <v xml:space="preserve">7502247582170   </v>
          </cell>
          <cell r="C1233" t="str">
            <v>(1012) MINI-EXHIBIDOR TUBO 1.5" C/8 CHAR</v>
          </cell>
          <cell r="D1233" t="str">
            <v>HANDS</v>
          </cell>
          <cell r="E1233">
            <v>413.79310344827587</v>
          </cell>
          <cell r="F1233">
            <v>480</v>
          </cell>
        </row>
        <row r="1234">
          <cell r="A1234">
            <v>1230</v>
          </cell>
          <cell r="B1234" t="str">
            <v xml:space="preserve">7502247582408   </v>
          </cell>
          <cell r="C1234" t="str">
            <v xml:space="preserve">(2062) PAR DE MARACAS SOLAS             </v>
          </cell>
          <cell r="D1234" t="str">
            <v>HANDS</v>
          </cell>
          <cell r="E1234">
            <v>19.827586206896552</v>
          </cell>
          <cell r="F1234">
            <v>23</v>
          </cell>
        </row>
        <row r="1235">
          <cell r="A1235">
            <v>1231</v>
          </cell>
          <cell r="B1235" t="str">
            <v xml:space="preserve">7502247584501   </v>
          </cell>
          <cell r="C1235" t="str">
            <v xml:space="preserve">(1042) PORTA LIBROS                     </v>
          </cell>
          <cell r="D1235" t="str">
            <v>HANDS</v>
          </cell>
          <cell r="E1235">
            <v>399.13793103448279</v>
          </cell>
          <cell r="F1235">
            <v>463</v>
          </cell>
        </row>
        <row r="1236">
          <cell r="A1236">
            <v>1232</v>
          </cell>
          <cell r="B1236">
            <v>3</v>
          </cell>
          <cell r="C1236" t="str">
            <v>MINI BILLETES Y MONEDAS CON 209 PZAS.</v>
          </cell>
          <cell r="D1236" t="str">
            <v>HANDS</v>
          </cell>
          <cell r="E1236">
            <v>64.65517241379311</v>
          </cell>
          <cell r="F1236">
            <v>75</v>
          </cell>
        </row>
        <row r="1237">
          <cell r="A1237">
            <v>1233</v>
          </cell>
          <cell r="B1237">
            <v>4</v>
          </cell>
          <cell r="C1237" t="str">
            <v>MINI CLASIFICACION DE FIGURAS 15 PZAS.</v>
          </cell>
          <cell r="D1237" t="str">
            <v>HANDS</v>
          </cell>
          <cell r="E1237">
            <v>30.172413793103452</v>
          </cell>
          <cell r="F1237">
            <v>35</v>
          </cell>
        </row>
        <row r="1238">
          <cell r="A1238">
            <v>1234</v>
          </cell>
          <cell r="B1238">
            <v>5</v>
          </cell>
          <cell r="C1238" t="str">
            <v>MINI COOKIE-CUTTER GRANJA 6 PZAS.</v>
          </cell>
          <cell r="D1238" t="str">
            <v>HANDS</v>
          </cell>
          <cell r="E1238">
            <v>14.655172413793105</v>
          </cell>
          <cell r="F1238">
            <v>17</v>
          </cell>
        </row>
        <row r="1239">
          <cell r="A1239">
            <v>1235</v>
          </cell>
          <cell r="B1239">
            <v>6</v>
          </cell>
          <cell r="C1239" t="str">
            <v>MINI CORCHOLATA 100 PZAS.</v>
          </cell>
          <cell r="D1239" t="str">
            <v>HANDS</v>
          </cell>
          <cell r="E1239">
            <v>37.068965517241381</v>
          </cell>
          <cell r="F1239">
            <v>43</v>
          </cell>
        </row>
        <row r="1240">
          <cell r="A1240">
            <v>1236</v>
          </cell>
          <cell r="B1240">
            <v>8</v>
          </cell>
          <cell r="C1240" t="str">
            <v>MINI CUBI - MAX CON 6 PZAS.</v>
          </cell>
          <cell r="D1240" t="str">
            <v>HANDS</v>
          </cell>
          <cell r="E1240">
            <v>30.172413793103452</v>
          </cell>
          <cell r="F1240">
            <v>35</v>
          </cell>
        </row>
        <row r="1241">
          <cell r="A1241">
            <v>1237</v>
          </cell>
          <cell r="B1241">
            <v>9</v>
          </cell>
          <cell r="C1241" t="str">
            <v>MINI CUBO CON JGO. BASE 10 CON 113 PZAS.</v>
          </cell>
          <cell r="D1241" t="str">
            <v>HANDS</v>
          </cell>
          <cell r="E1241">
            <v>44.827586206896555</v>
          </cell>
          <cell r="F1241">
            <v>52</v>
          </cell>
        </row>
        <row r="1242">
          <cell r="A1242">
            <v>1238</v>
          </cell>
          <cell r="B1242">
            <v>11</v>
          </cell>
          <cell r="C1242" t="str">
            <v>MINI ESCALERAMA CON 14 PZAS.</v>
          </cell>
          <cell r="D1242" t="str">
            <v>HANDS</v>
          </cell>
          <cell r="E1242">
            <v>20.689655172413794</v>
          </cell>
          <cell r="F1242">
            <v>24</v>
          </cell>
        </row>
        <row r="1243">
          <cell r="A1243">
            <v>1239</v>
          </cell>
          <cell r="B1243">
            <v>12</v>
          </cell>
          <cell r="C1243" t="str">
            <v>MINI FORMA PELOTAS 1 JGO.</v>
          </cell>
          <cell r="D1243" t="str">
            <v>HANDS</v>
          </cell>
          <cell r="E1243">
            <v>25.862068965517242</v>
          </cell>
          <cell r="F1243">
            <v>30</v>
          </cell>
        </row>
        <row r="1244">
          <cell r="A1244">
            <v>1240</v>
          </cell>
          <cell r="B1244">
            <v>15</v>
          </cell>
          <cell r="C1244" t="str">
            <v>MINI GEOMETRIA DE ENSARTE CON 20 PZAS.</v>
          </cell>
          <cell r="D1244" t="str">
            <v>HANDS</v>
          </cell>
          <cell r="E1244">
            <v>19.827586206896552</v>
          </cell>
          <cell r="F1244">
            <v>23</v>
          </cell>
        </row>
        <row r="1245">
          <cell r="A1245">
            <v>1241</v>
          </cell>
          <cell r="B1245">
            <v>17</v>
          </cell>
          <cell r="C1245" t="str">
            <v>MINI GIROGRAFO LETRAS MAYUSCULAS 1 JGO.</v>
          </cell>
          <cell r="D1245" t="str">
            <v>HANDS</v>
          </cell>
          <cell r="E1245">
            <v>37.931034482758626</v>
          </cell>
          <cell r="F1245">
            <v>44</v>
          </cell>
        </row>
        <row r="1246">
          <cell r="A1246">
            <v>1242</v>
          </cell>
          <cell r="B1246">
            <v>18</v>
          </cell>
          <cell r="C1246" t="str">
            <v>MINI GIROGRAFO LETRAS MINUSCULAS 1 JGO.</v>
          </cell>
          <cell r="D1246" t="str">
            <v>HANDS</v>
          </cell>
          <cell r="E1246">
            <v>37.931034482758626</v>
          </cell>
          <cell r="F1246">
            <v>44</v>
          </cell>
        </row>
        <row r="1247">
          <cell r="A1247">
            <v>1243</v>
          </cell>
          <cell r="B1247">
            <v>20</v>
          </cell>
          <cell r="C1247" t="str">
            <v>MINI JGO. NUMERACION POSICIONAL</v>
          </cell>
          <cell r="D1247" t="str">
            <v>HANDS</v>
          </cell>
          <cell r="E1247">
            <v>47.413793103448278</v>
          </cell>
          <cell r="F1247">
            <v>55</v>
          </cell>
        </row>
        <row r="1248">
          <cell r="A1248">
            <v>1244</v>
          </cell>
          <cell r="B1248">
            <v>21</v>
          </cell>
          <cell r="C1248" t="str">
            <v>MINI JGO. PESCADOR 7 PZAS.</v>
          </cell>
          <cell r="D1248" t="str">
            <v>HANDS</v>
          </cell>
          <cell r="E1248">
            <v>24.137931034482762</v>
          </cell>
          <cell r="F1248">
            <v>28</v>
          </cell>
        </row>
        <row r="1249">
          <cell r="A1249">
            <v>1245</v>
          </cell>
          <cell r="B1249">
            <v>22</v>
          </cell>
          <cell r="C1249" t="str">
            <v>MINI MODELO MOLECULAR</v>
          </cell>
          <cell r="D1249" t="str">
            <v>HANDS</v>
          </cell>
          <cell r="E1249">
            <v>23.27586206896552</v>
          </cell>
          <cell r="F1249">
            <v>27</v>
          </cell>
        </row>
        <row r="1250">
          <cell r="A1250">
            <v>1246</v>
          </cell>
          <cell r="B1250">
            <v>23</v>
          </cell>
          <cell r="C1250" t="str">
            <v>MINI NUMEROS Y SIGNOS CONECTABLE 20 PZAS.</v>
          </cell>
          <cell r="D1250" t="str">
            <v>HANDS</v>
          </cell>
          <cell r="E1250">
            <v>37.068965517241381</v>
          </cell>
          <cell r="F1250">
            <v>43</v>
          </cell>
        </row>
        <row r="1251">
          <cell r="A1251">
            <v>1247</v>
          </cell>
          <cell r="B1251">
            <v>24</v>
          </cell>
          <cell r="C1251" t="str">
            <v>MINI ORUGA 7 PZAS.</v>
          </cell>
          <cell r="D1251" t="str">
            <v>HANDS</v>
          </cell>
          <cell r="E1251">
            <v>37.068965517241381</v>
          </cell>
          <cell r="F1251">
            <v>43</v>
          </cell>
        </row>
        <row r="1252">
          <cell r="A1252">
            <v>1248</v>
          </cell>
          <cell r="B1252">
            <v>25</v>
          </cell>
          <cell r="C1252" t="str">
            <v>MINI PAYASITO KINDIRELLO CON 6 PZAS.</v>
          </cell>
          <cell r="D1252" t="str">
            <v>HANDS</v>
          </cell>
          <cell r="E1252">
            <v>19.827586206896552</v>
          </cell>
          <cell r="F1252">
            <v>23</v>
          </cell>
        </row>
        <row r="1253">
          <cell r="A1253">
            <v>1249</v>
          </cell>
          <cell r="B1253">
            <v>32</v>
          </cell>
          <cell r="C1253" t="str">
            <v>MINI SOMBRERO APILABLE 10 PZAS.</v>
          </cell>
          <cell r="D1253" t="str">
            <v>HANDS</v>
          </cell>
          <cell r="E1253">
            <v>25</v>
          </cell>
          <cell r="F1253">
            <v>29</v>
          </cell>
        </row>
        <row r="1254">
          <cell r="A1254">
            <v>1250</v>
          </cell>
          <cell r="B1254">
            <v>1005</v>
          </cell>
          <cell r="C1254" t="str">
            <v>CASITA MAGICA 1 PZA. HANDS</v>
          </cell>
          <cell r="D1254" t="str">
            <v>HANDS</v>
          </cell>
          <cell r="E1254">
            <v>491.37931034482762</v>
          </cell>
          <cell r="F1254">
            <v>570</v>
          </cell>
        </row>
        <row r="1255">
          <cell r="A1255">
            <v>1251</v>
          </cell>
          <cell r="B1255">
            <v>1006</v>
          </cell>
          <cell r="C1255" t="str">
            <v>CASITA MAGICA IDEAS  1 PZA</v>
          </cell>
          <cell r="D1255" t="str">
            <v>HANDS</v>
          </cell>
          <cell r="E1255">
            <v>467.24137931034488</v>
          </cell>
          <cell r="F1255">
            <v>542</v>
          </cell>
        </row>
        <row r="1256">
          <cell r="A1256">
            <v>1252</v>
          </cell>
          <cell r="B1256">
            <v>1041</v>
          </cell>
          <cell r="C1256" t="str">
            <v>CORRALITO ENTRENADOR</v>
          </cell>
          <cell r="D1256" t="str">
            <v>HANDS</v>
          </cell>
          <cell r="E1256">
            <v>1034.4827586206898</v>
          </cell>
          <cell r="F1256">
            <v>1200</v>
          </cell>
        </row>
        <row r="1257">
          <cell r="A1257">
            <v>1253</v>
          </cell>
          <cell r="B1257">
            <v>2096</v>
          </cell>
          <cell r="C1257" t="str">
            <v>MEGA CURVA CON 32 PZAS EN CHAROLA JR. CON TAPA</v>
          </cell>
          <cell r="D1257" t="str">
            <v>HANDS</v>
          </cell>
          <cell r="E1257">
            <v>193.96551724137933</v>
          </cell>
          <cell r="F1257">
            <v>225</v>
          </cell>
        </row>
        <row r="1258">
          <cell r="A1258">
            <v>1254</v>
          </cell>
          <cell r="B1258">
            <v>2097</v>
          </cell>
          <cell r="C1258" t="str">
            <v>CONSTRUCTOR MOVIL CON 40 PZAS.</v>
          </cell>
          <cell r="D1258" t="str">
            <v>HANDS</v>
          </cell>
          <cell r="E1258">
            <v>193.96551724137933</v>
          </cell>
          <cell r="F1258">
            <v>225</v>
          </cell>
        </row>
        <row r="1259">
          <cell r="A1259">
            <v>1255</v>
          </cell>
          <cell r="B1259">
            <v>2098</v>
          </cell>
          <cell r="C1259" t="str">
            <v>ANILLOS CONECTABLES 30 PZAS.</v>
          </cell>
          <cell r="D1259" t="str">
            <v>HANDS</v>
          </cell>
          <cell r="E1259">
            <v>193.96551724137933</v>
          </cell>
          <cell r="F1259">
            <v>225</v>
          </cell>
        </row>
        <row r="1260">
          <cell r="A1260">
            <v>1256</v>
          </cell>
          <cell r="B1260">
            <v>2099</v>
          </cell>
          <cell r="C1260" t="str">
            <v>REGLETA BRAYLLE 1 PZA.</v>
          </cell>
          <cell r="D1260" t="str">
            <v>HANDS</v>
          </cell>
          <cell r="E1260">
            <v>215.51724137931035</v>
          </cell>
          <cell r="F1260">
            <v>250</v>
          </cell>
        </row>
        <row r="1261">
          <cell r="A1261">
            <v>1257</v>
          </cell>
          <cell r="B1261">
            <v>3022</v>
          </cell>
          <cell r="C1261" t="str">
            <v>CEPILLO JUEGO CON 60 PZAS.</v>
          </cell>
          <cell r="D1261" t="str">
            <v>HANDS</v>
          </cell>
          <cell r="E1261">
            <v>105.17241379310346</v>
          </cell>
          <cell r="F1261">
            <v>122</v>
          </cell>
        </row>
        <row r="1262">
          <cell r="A1262">
            <v>1258</v>
          </cell>
          <cell r="B1262">
            <v>3025</v>
          </cell>
          <cell r="C1262" t="str">
            <v>CHAROLA JUNIOR</v>
          </cell>
          <cell r="D1262" t="str">
            <v>HANDS</v>
          </cell>
          <cell r="E1262">
            <v>15.517241379310345</v>
          </cell>
          <cell r="F1262">
            <v>18</v>
          </cell>
        </row>
        <row r="1263">
          <cell r="A1263">
            <v>1259</v>
          </cell>
          <cell r="B1263">
            <v>3026</v>
          </cell>
          <cell r="C1263" t="str">
            <v>CHAROLA JR. CON TAPA</v>
          </cell>
          <cell r="D1263" t="str">
            <v>HANDS</v>
          </cell>
          <cell r="E1263">
            <v>18.103448275862071</v>
          </cell>
          <cell r="F1263">
            <v>21</v>
          </cell>
        </row>
        <row r="1264">
          <cell r="A1264">
            <v>1260</v>
          </cell>
          <cell r="B1264">
            <v>3035</v>
          </cell>
          <cell r="C1264" t="str">
            <v>COOKIE CUTTER GRANJA 12 PZAS.</v>
          </cell>
          <cell r="D1264" t="str">
            <v>HANDS</v>
          </cell>
          <cell r="E1264">
            <v>26.724137931034484</v>
          </cell>
          <cell r="F1264">
            <v>31</v>
          </cell>
        </row>
        <row r="1265">
          <cell r="A1265">
            <v>1261</v>
          </cell>
          <cell r="B1265">
            <v>3038</v>
          </cell>
          <cell r="C1265" t="str">
            <v>CORCHOLATAS CON 400 PZAS.</v>
          </cell>
          <cell r="D1265" t="str">
            <v>HANDS</v>
          </cell>
          <cell r="E1265">
            <v>160.34482758620692</v>
          </cell>
          <cell r="F1265">
            <v>186</v>
          </cell>
        </row>
        <row r="1266">
          <cell r="A1266">
            <v>1262</v>
          </cell>
          <cell r="B1266">
            <v>3077</v>
          </cell>
          <cell r="C1266" t="str">
            <v>PASA LISTON CONEJO Y BURRO 30 PZAS.</v>
          </cell>
          <cell r="D1266" t="str">
            <v>HANDS</v>
          </cell>
          <cell r="E1266">
            <v>232.75862068965517</v>
          </cell>
          <cell r="F1266">
            <v>270</v>
          </cell>
        </row>
        <row r="1267">
          <cell r="A1267">
            <v>1263</v>
          </cell>
          <cell r="B1267">
            <v>3083</v>
          </cell>
          <cell r="C1267" t="str">
            <v>PIJAS GIGANTES SOLAS 100  PZAS.</v>
          </cell>
          <cell r="D1267" t="str">
            <v>HANDS</v>
          </cell>
          <cell r="E1267">
            <v>129.31034482758622</v>
          </cell>
          <cell r="F1267">
            <v>150</v>
          </cell>
        </row>
        <row r="1268">
          <cell r="A1268">
            <v>1264</v>
          </cell>
          <cell r="B1268">
            <v>3084</v>
          </cell>
          <cell r="C1268" t="str">
            <v>PLANTILLAS NUMERICAS CON 10 PZAS.</v>
          </cell>
          <cell r="D1268" t="str">
            <v>HANDS</v>
          </cell>
          <cell r="E1268">
            <v>38.793103448275865</v>
          </cell>
          <cell r="F1268">
            <v>45</v>
          </cell>
        </row>
        <row r="1269">
          <cell r="A1269">
            <v>1265</v>
          </cell>
          <cell r="B1269">
            <v>3089</v>
          </cell>
          <cell r="C1269" t="str">
            <v>RESAQUE DE PLASTICO BARCO</v>
          </cell>
          <cell r="D1269" t="str">
            <v>HANDS</v>
          </cell>
          <cell r="E1269">
            <v>35.344827586206897</v>
          </cell>
          <cell r="F1269">
            <v>41</v>
          </cell>
        </row>
        <row r="1270">
          <cell r="A1270">
            <v>1266</v>
          </cell>
          <cell r="B1270">
            <v>3091</v>
          </cell>
          <cell r="C1270" t="str">
            <v>RESAQUE DE PLASTICO PEZ</v>
          </cell>
          <cell r="D1270" t="str">
            <v>HANDS</v>
          </cell>
          <cell r="E1270">
            <v>35.344827586206897</v>
          </cell>
          <cell r="F1270">
            <v>41</v>
          </cell>
        </row>
        <row r="1271">
          <cell r="A1271">
            <v>1267</v>
          </cell>
          <cell r="B1271">
            <v>3092</v>
          </cell>
          <cell r="C1271" t="str">
            <v>RUEDA ARITMETICA MULTIPLICACION Y DIVISION 10 PZAS.</v>
          </cell>
          <cell r="D1271" t="str">
            <v>HANDS</v>
          </cell>
          <cell r="E1271">
            <v>129.31034482758622</v>
          </cell>
          <cell r="F1271">
            <v>150</v>
          </cell>
        </row>
        <row r="1272">
          <cell r="A1272">
            <v>1268</v>
          </cell>
          <cell r="B1272">
            <v>3099</v>
          </cell>
          <cell r="C1272" t="str">
            <v>SET MOLDEA CON 48 PZAS Y  4 PLASTILINAS</v>
          </cell>
          <cell r="D1272" t="str">
            <v>HANDS</v>
          </cell>
          <cell r="E1272">
            <v>181.89655172413794</v>
          </cell>
          <cell r="F1272">
            <v>211</v>
          </cell>
        </row>
        <row r="1273">
          <cell r="A1273">
            <v>1269</v>
          </cell>
          <cell r="B1273">
            <v>3102</v>
          </cell>
          <cell r="C1273" t="str">
            <v>TABLERO CON 125 PIJAS MULTIFUNCION</v>
          </cell>
          <cell r="D1273" t="str">
            <v>HANDS</v>
          </cell>
          <cell r="E1273">
            <v>109.48275862068967</v>
          </cell>
          <cell r="F1273">
            <v>127</v>
          </cell>
        </row>
        <row r="1274">
          <cell r="A1274">
            <v>1270</v>
          </cell>
          <cell r="B1274">
            <v>3106</v>
          </cell>
          <cell r="C1274" t="str">
            <v>TANGRAM OVAL 10 JUEGOS</v>
          </cell>
          <cell r="D1274" t="str">
            <v>HANDS</v>
          </cell>
          <cell r="E1274">
            <v>137.06896551724139</v>
          </cell>
          <cell r="F1274">
            <v>159</v>
          </cell>
        </row>
        <row r="1275">
          <cell r="A1275">
            <v>1271</v>
          </cell>
          <cell r="B1275">
            <v>3127</v>
          </cell>
          <cell r="C1275" t="str">
            <v>FRIZZBY 1 PZA</v>
          </cell>
          <cell r="D1275" t="str">
            <v>HANDS</v>
          </cell>
          <cell r="E1275">
            <v>8.1896551724137936</v>
          </cell>
          <cell r="F1275">
            <v>9.5</v>
          </cell>
        </row>
        <row r="1276">
          <cell r="A1276">
            <v>1272</v>
          </cell>
          <cell r="B1276">
            <v>3138</v>
          </cell>
          <cell r="C1276" t="str">
            <v>ANIMALES DE LA JUNGLA CON 6 PZAS</v>
          </cell>
          <cell r="D1276" t="str">
            <v>HANDS</v>
          </cell>
          <cell r="E1276">
            <v>15.517241379310345</v>
          </cell>
          <cell r="F1276">
            <v>18</v>
          </cell>
        </row>
        <row r="1277">
          <cell r="A1277">
            <v>1273</v>
          </cell>
          <cell r="B1277">
            <v>3139</v>
          </cell>
          <cell r="C1277" t="str">
            <v>ANIMALES DE LA JUNGLA CON 18 PZAS. EN CHAVELIN</v>
          </cell>
          <cell r="D1277" t="str">
            <v>HANDS</v>
          </cell>
          <cell r="E1277">
            <v>55.172413793103452</v>
          </cell>
          <cell r="F1277">
            <v>64</v>
          </cell>
        </row>
        <row r="1278">
          <cell r="A1278">
            <v>1274</v>
          </cell>
          <cell r="B1278">
            <v>3168</v>
          </cell>
          <cell r="C1278" t="str">
            <v>BLOQUES DE CONSTRUCCION CON 64 PZAS.</v>
          </cell>
          <cell r="D1278" t="str">
            <v>HANDS</v>
          </cell>
          <cell r="E1278">
            <v>93.103448275862078</v>
          </cell>
          <cell r="F1278">
            <v>108</v>
          </cell>
        </row>
        <row r="1279">
          <cell r="A1279">
            <v>1275</v>
          </cell>
          <cell r="B1279">
            <v>3169</v>
          </cell>
          <cell r="C1279" t="str">
            <v>MOSAICO LOGICO CON 72 PZAS.</v>
          </cell>
          <cell r="D1279" t="str">
            <v>HANDS</v>
          </cell>
          <cell r="E1279">
            <v>29.31034482758621</v>
          </cell>
          <cell r="F1279">
            <v>34</v>
          </cell>
        </row>
        <row r="1280">
          <cell r="A1280">
            <v>1276</v>
          </cell>
          <cell r="B1280">
            <v>3170</v>
          </cell>
          <cell r="C1280" t="str">
            <v>SATELITE CHICO CON 68 PZAS.</v>
          </cell>
          <cell r="D1280" t="str">
            <v>HANDS</v>
          </cell>
          <cell r="E1280">
            <v>93.103448275862078</v>
          </cell>
          <cell r="F1280">
            <v>108</v>
          </cell>
        </row>
        <row r="1281">
          <cell r="A1281">
            <v>1277</v>
          </cell>
          <cell r="B1281">
            <v>3171</v>
          </cell>
          <cell r="C1281" t="str">
            <v>AGUJAS PAQUETE CON 100 PZAS.</v>
          </cell>
          <cell r="D1281" t="str">
            <v>HANDS</v>
          </cell>
          <cell r="E1281">
            <v>12.931034482758621</v>
          </cell>
          <cell r="F1281">
            <v>15</v>
          </cell>
        </row>
        <row r="1282">
          <cell r="A1282">
            <v>1278</v>
          </cell>
          <cell r="B1282">
            <v>3172</v>
          </cell>
          <cell r="C1282" t="str">
            <v>CUBIERTOS INFANTILES CON 12 PZAS.</v>
          </cell>
          <cell r="D1282" t="str">
            <v>HANDS</v>
          </cell>
          <cell r="E1282">
            <v>4.3103448275862073</v>
          </cell>
          <cell r="F1282">
            <v>5</v>
          </cell>
        </row>
        <row r="1283">
          <cell r="A1283">
            <v>1279</v>
          </cell>
          <cell r="B1283">
            <v>3173</v>
          </cell>
          <cell r="C1283" t="str">
            <v>TRIOMINO CON 56 PZAS.</v>
          </cell>
          <cell r="D1283" t="str">
            <v>HANDS</v>
          </cell>
          <cell r="E1283">
            <v>54.310344827586214</v>
          </cell>
          <cell r="F1283">
            <v>63</v>
          </cell>
        </row>
        <row r="1284">
          <cell r="A1284">
            <v>1280</v>
          </cell>
          <cell r="B1284">
            <v>3174</v>
          </cell>
          <cell r="C1284" t="str">
            <v>ABACO HORIZONTAL</v>
          </cell>
          <cell r="D1284" t="str">
            <v>HANDS</v>
          </cell>
          <cell r="E1284">
            <v>54.310344827586214</v>
          </cell>
          <cell r="F1284">
            <v>63</v>
          </cell>
        </row>
        <row r="1285">
          <cell r="A1285">
            <v>1281</v>
          </cell>
          <cell r="B1285">
            <v>3176</v>
          </cell>
          <cell r="C1285" t="str">
            <v>SELLOS LECTO ANIMALES 12 PZAS.</v>
          </cell>
          <cell r="D1285" t="str">
            <v>HANDS</v>
          </cell>
          <cell r="E1285">
            <v>206.89655172413794</v>
          </cell>
          <cell r="F1285">
            <v>240</v>
          </cell>
        </row>
        <row r="1286">
          <cell r="A1286">
            <v>1282</v>
          </cell>
          <cell r="B1286">
            <v>3177</v>
          </cell>
          <cell r="C1286" t="str">
            <v>SELLOS LECTO DIBUJOS 10 PZAS</v>
          </cell>
          <cell r="D1286" t="str">
            <v>HANDS</v>
          </cell>
          <cell r="E1286">
            <v>206.89655172413794</v>
          </cell>
          <cell r="F1286">
            <v>240</v>
          </cell>
        </row>
        <row r="1287">
          <cell r="A1287">
            <v>1283</v>
          </cell>
          <cell r="B1287">
            <v>3178</v>
          </cell>
          <cell r="C1287" t="str">
            <v>SELLOS LECTO EJERCICIOS 10 PZAS.</v>
          </cell>
          <cell r="D1287" t="str">
            <v>HANDS</v>
          </cell>
          <cell r="E1287">
            <v>206.89655172413794</v>
          </cell>
          <cell r="F1287">
            <v>240</v>
          </cell>
        </row>
        <row r="1288">
          <cell r="A1288">
            <v>1284</v>
          </cell>
          <cell r="B1288">
            <v>3179</v>
          </cell>
          <cell r="C1288" t="str">
            <v>SELLOS LECTO FIG. GEOMETRICAS 10 PZAS.</v>
          </cell>
          <cell r="D1288" t="str">
            <v>HANDS</v>
          </cell>
          <cell r="E1288">
            <v>206.89655172413794</v>
          </cell>
          <cell r="F1288">
            <v>240</v>
          </cell>
        </row>
        <row r="1289">
          <cell r="A1289">
            <v>1285</v>
          </cell>
          <cell r="B1289">
            <v>3180</v>
          </cell>
          <cell r="C1289" t="str">
            <v>SELLOS LECTO LINEAS 10 PZAS</v>
          </cell>
          <cell r="D1289" t="str">
            <v>HANDS</v>
          </cell>
          <cell r="E1289">
            <v>206.89655172413794</v>
          </cell>
          <cell r="F1289">
            <v>240</v>
          </cell>
        </row>
        <row r="1290">
          <cell r="A1290">
            <v>1286</v>
          </cell>
          <cell r="B1290">
            <v>3181</v>
          </cell>
          <cell r="C1290" t="str">
            <v>SELLOS LECTO NUMEROS</v>
          </cell>
          <cell r="D1290" t="str">
            <v>HANDS</v>
          </cell>
          <cell r="E1290">
            <v>206.89655172413794</v>
          </cell>
          <cell r="F1290">
            <v>240</v>
          </cell>
        </row>
        <row r="1291">
          <cell r="A1291">
            <v>1287</v>
          </cell>
          <cell r="B1291">
            <v>3182</v>
          </cell>
          <cell r="C1291" t="str">
            <v>SELLOS LECTO VOCALES 10 PZAS</v>
          </cell>
          <cell r="D1291" t="str">
            <v>HANDS</v>
          </cell>
          <cell r="E1291">
            <v>206.89655172413794</v>
          </cell>
          <cell r="F1291">
            <v>240</v>
          </cell>
        </row>
        <row r="1292">
          <cell r="A1292">
            <v>1288</v>
          </cell>
          <cell r="B1292">
            <v>3185</v>
          </cell>
          <cell r="C1292" t="str">
            <v>LETRAS ENGANCHABLES BRAILLE 90 PZAS.</v>
          </cell>
          <cell r="D1292" t="str">
            <v>HANDS</v>
          </cell>
          <cell r="E1292">
            <v>100</v>
          </cell>
          <cell r="F1292">
            <v>116</v>
          </cell>
        </row>
        <row r="1293">
          <cell r="A1293">
            <v>1289</v>
          </cell>
          <cell r="B1293">
            <v>3186</v>
          </cell>
          <cell r="C1293" t="str">
            <v>CARRETILLA INFANTIL</v>
          </cell>
          <cell r="D1293" t="str">
            <v>HANDS</v>
          </cell>
          <cell r="E1293">
            <v>64.65517241379311</v>
          </cell>
          <cell r="F1293">
            <v>75</v>
          </cell>
        </row>
        <row r="1294">
          <cell r="A1294">
            <v>1290</v>
          </cell>
          <cell r="B1294">
            <v>3187</v>
          </cell>
          <cell r="C1294" t="str">
            <v>ANIMALES PREHISTORICOS 36 PZAS.</v>
          </cell>
          <cell r="D1294" t="str">
            <v>HANDS</v>
          </cell>
          <cell r="E1294">
            <v>96.551724137931046</v>
          </cell>
          <cell r="F1294">
            <v>112</v>
          </cell>
        </row>
        <row r="1295">
          <cell r="A1295">
            <v>1291</v>
          </cell>
          <cell r="B1295">
            <v>3188</v>
          </cell>
          <cell r="C1295" t="str">
            <v>GATO MULTIPLE</v>
          </cell>
          <cell r="D1295" t="str">
            <v>HANDS</v>
          </cell>
          <cell r="E1295">
            <v>13.793103448275863</v>
          </cell>
          <cell r="F1295">
            <v>16</v>
          </cell>
        </row>
        <row r="1296">
          <cell r="A1296">
            <v>1292</v>
          </cell>
          <cell r="B1296">
            <v>3189</v>
          </cell>
          <cell r="C1296" t="str">
            <v>DOMINO JR. CAPITALES DE EUROPA CON 59 FICHAS</v>
          </cell>
          <cell r="D1296" t="str">
            <v>HANDS</v>
          </cell>
          <cell r="E1296">
            <v>188.79310344827587</v>
          </cell>
          <cell r="F1296">
            <v>219</v>
          </cell>
        </row>
        <row r="1297">
          <cell r="A1297">
            <v>1293</v>
          </cell>
          <cell r="B1297">
            <v>3190</v>
          </cell>
          <cell r="C1297" t="str">
            <v>DOMINO JR. CAPITALES DE ASIA CON 47 FICHAS</v>
          </cell>
          <cell r="D1297" t="str">
            <v>HANDS</v>
          </cell>
          <cell r="E1297">
            <v>150</v>
          </cell>
          <cell r="F1297">
            <v>174</v>
          </cell>
        </row>
        <row r="1298">
          <cell r="A1298">
            <v>1294</v>
          </cell>
          <cell r="B1298">
            <v>3191</v>
          </cell>
          <cell r="C1298" t="str">
            <v>DOMINO JR. CAPITALES DE AMERICA CON 35 FICHAS</v>
          </cell>
          <cell r="D1298" t="str">
            <v>HANDS</v>
          </cell>
          <cell r="E1298">
            <v>98.275862068965523</v>
          </cell>
          <cell r="F1298">
            <v>114</v>
          </cell>
        </row>
        <row r="1299">
          <cell r="A1299">
            <v>1295</v>
          </cell>
          <cell r="B1299">
            <v>3192</v>
          </cell>
          <cell r="C1299" t="str">
            <v>DOMINO JR. CAPITALES DE AFRICA CON 53 FICHAS</v>
          </cell>
          <cell r="D1299" t="str">
            <v>HANDS</v>
          </cell>
          <cell r="E1299">
            <v>173.27586206896552</v>
          </cell>
          <cell r="F1299">
            <v>201</v>
          </cell>
        </row>
        <row r="1300">
          <cell r="A1300">
            <v>1296</v>
          </cell>
          <cell r="B1300">
            <v>3193</v>
          </cell>
          <cell r="C1300" t="str">
            <v>DOMINO JR. AREAS CON 28 FICHAS</v>
          </cell>
          <cell r="D1300" t="str">
            <v>HANDS</v>
          </cell>
          <cell r="E1300">
            <v>89.65517241379311</v>
          </cell>
          <cell r="F1300">
            <v>104</v>
          </cell>
        </row>
        <row r="1301">
          <cell r="A1301">
            <v>1297</v>
          </cell>
          <cell r="B1301">
            <v>3194</v>
          </cell>
          <cell r="C1301" t="str">
            <v>DOMINO JR. NUMEROS ENTEROS CON 28 FICHAS</v>
          </cell>
          <cell r="D1301" t="str">
            <v>HANDS</v>
          </cell>
          <cell r="E1301">
            <v>89.65517241379311</v>
          </cell>
          <cell r="F1301">
            <v>104</v>
          </cell>
        </row>
        <row r="1302">
          <cell r="A1302">
            <v>1298</v>
          </cell>
          <cell r="B1302">
            <v>3195</v>
          </cell>
          <cell r="C1302" t="str">
            <v>DOMINO JR. FRACCIONES Y QUEBRADOS CON 28 FICHAS</v>
          </cell>
          <cell r="D1302" t="str">
            <v>HANDS</v>
          </cell>
          <cell r="E1302">
            <v>89.65517241379311</v>
          </cell>
          <cell r="F1302">
            <v>104</v>
          </cell>
        </row>
        <row r="1303">
          <cell r="A1303">
            <v>1299</v>
          </cell>
          <cell r="B1303">
            <v>3196</v>
          </cell>
          <cell r="C1303" t="str">
            <v>ABACO MINI - VERTICAL</v>
          </cell>
          <cell r="D1303" t="str">
            <v>HANDS</v>
          </cell>
          <cell r="E1303">
            <v>44.827586206896555</v>
          </cell>
          <cell r="F1303">
            <v>52</v>
          </cell>
        </row>
        <row r="1304">
          <cell r="A1304">
            <v>1300</v>
          </cell>
          <cell r="B1304">
            <v>3197</v>
          </cell>
          <cell r="C1304" t="str">
            <v>DOMINO JR. TEOREMA DE PITAGORAS CON 28 FICHAS</v>
          </cell>
          <cell r="D1304" t="str">
            <v>HANDS</v>
          </cell>
          <cell r="E1304">
            <v>89.65517241379311</v>
          </cell>
          <cell r="F1304">
            <v>104</v>
          </cell>
        </row>
        <row r="1305">
          <cell r="A1305">
            <v>1301</v>
          </cell>
          <cell r="B1305">
            <v>3198</v>
          </cell>
          <cell r="C1305" t="str">
            <v>DOMINO JR. NUMEROS ROMANOS Y ARABIGOS CON 28 FICHAS</v>
          </cell>
          <cell r="D1305" t="str">
            <v>HANDS</v>
          </cell>
          <cell r="E1305">
            <v>89.65517241379311</v>
          </cell>
          <cell r="F1305">
            <v>104</v>
          </cell>
        </row>
        <row r="1306">
          <cell r="A1306">
            <v>1302</v>
          </cell>
          <cell r="B1306">
            <v>3199</v>
          </cell>
          <cell r="C1306" t="str">
            <v>TANGRAM MEDIANO 20 x 20 CMS.</v>
          </cell>
          <cell r="D1306" t="str">
            <v>HANDS</v>
          </cell>
          <cell r="E1306">
            <v>27.586206896551726</v>
          </cell>
          <cell r="F1306">
            <v>32</v>
          </cell>
        </row>
        <row r="1307">
          <cell r="A1307">
            <v>1303</v>
          </cell>
          <cell r="B1307">
            <v>3200</v>
          </cell>
          <cell r="C1307" t="str">
            <v>PERROS CLASIFICADORES 18 PZAS.</v>
          </cell>
          <cell r="D1307" t="str">
            <v>HANDS</v>
          </cell>
          <cell r="E1307">
            <v>61.206896551724142</v>
          </cell>
          <cell r="F1307">
            <v>71</v>
          </cell>
        </row>
        <row r="1308">
          <cell r="A1308">
            <v>1304</v>
          </cell>
          <cell r="B1308">
            <v>3201</v>
          </cell>
          <cell r="C1308" t="str">
            <v>CAMINADORA EN EQUIPO 3 PARES</v>
          </cell>
          <cell r="D1308" t="str">
            <v>HANDS</v>
          </cell>
          <cell r="E1308">
            <v>423.27586206896552</v>
          </cell>
          <cell r="F1308">
            <v>491</v>
          </cell>
        </row>
        <row r="1309">
          <cell r="A1309">
            <v>1305</v>
          </cell>
          <cell r="B1309">
            <v>3202</v>
          </cell>
          <cell r="C1309" t="str">
            <v>ALCANCIA DE VALORES</v>
          </cell>
          <cell r="D1309" t="str">
            <v>HANDS</v>
          </cell>
          <cell r="E1309">
            <v>94.827586206896555</v>
          </cell>
          <cell r="F1309">
            <v>110</v>
          </cell>
        </row>
        <row r="1310">
          <cell r="A1310">
            <v>1306</v>
          </cell>
          <cell r="B1310">
            <v>3203</v>
          </cell>
          <cell r="C1310" t="str">
            <v>AVALANCHA DE LETRAS Y NUMEROS CON 316 PZAS</v>
          </cell>
          <cell r="D1310" t="str">
            <v>HANDS</v>
          </cell>
          <cell r="E1310">
            <v>336.20689655172418</v>
          </cell>
          <cell r="F1310">
            <v>390</v>
          </cell>
        </row>
        <row r="1311">
          <cell r="A1311">
            <v>1307</v>
          </cell>
          <cell r="B1311">
            <v>3204</v>
          </cell>
          <cell r="C1311" t="str">
            <v>PANDERO MINI MUSICAL 1 PZA.</v>
          </cell>
          <cell r="D1311" t="str">
            <v>HANDS</v>
          </cell>
          <cell r="E1311">
            <v>20.689655172413794</v>
          </cell>
          <cell r="F1311">
            <v>24</v>
          </cell>
        </row>
        <row r="1312">
          <cell r="A1312">
            <v>1308</v>
          </cell>
          <cell r="B1312">
            <v>3207</v>
          </cell>
          <cell r="C1312" t="str">
            <v>AROS GEOMETRICOS CIRCULOS 6 PZAS.</v>
          </cell>
          <cell r="D1312" t="str">
            <v>HANDS</v>
          </cell>
          <cell r="E1312">
            <v>85.344827586206904</v>
          </cell>
          <cell r="F1312">
            <v>99</v>
          </cell>
        </row>
        <row r="1313">
          <cell r="A1313">
            <v>1309</v>
          </cell>
          <cell r="B1313">
            <v>3210</v>
          </cell>
          <cell r="C1313" t="str">
            <v>GEOMATRIAS VOLUMETRICAS ENSARTABLES</v>
          </cell>
          <cell r="D1313" t="str">
            <v>HANDS</v>
          </cell>
          <cell r="E1313">
            <v>206.89655172413794</v>
          </cell>
          <cell r="F1313">
            <v>240</v>
          </cell>
        </row>
        <row r="1314">
          <cell r="A1314">
            <v>1310</v>
          </cell>
          <cell r="B1314">
            <v>3211</v>
          </cell>
          <cell r="C1314" t="str">
            <v>CONO TRUNCO CON 6 PZAS.</v>
          </cell>
          <cell r="D1314" t="str">
            <v>HANDS</v>
          </cell>
          <cell r="E1314">
            <v>51.724137931034484</v>
          </cell>
          <cell r="F1314">
            <v>60</v>
          </cell>
        </row>
        <row r="1315">
          <cell r="A1315">
            <v>1311</v>
          </cell>
          <cell r="B1315">
            <v>3212</v>
          </cell>
          <cell r="C1315" t="str">
            <v>AJEDREZ Y DAMAS EDUCATIVO</v>
          </cell>
          <cell r="D1315" t="str">
            <v>HANDS</v>
          </cell>
          <cell r="E1315">
            <v>0</v>
          </cell>
          <cell r="F1315">
            <v>0</v>
          </cell>
        </row>
        <row r="1316">
          <cell r="A1316">
            <v>1312</v>
          </cell>
          <cell r="B1316">
            <v>3213</v>
          </cell>
          <cell r="C1316" t="str">
            <v>CANICAS PLASTICAS CON 1000 PZAS.</v>
          </cell>
          <cell r="D1316" t="str">
            <v>HANDS</v>
          </cell>
          <cell r="E1316">
            <v>603.44827586206895</v>
          </cell>
          <cell r="F1316">
            <v>700</v>
          </cell>
        </row>
        <row r="1317">
          <cell r="A1317">
            <v>1313</v>
          </cell>
          <cell r="B1317">
            <v>3214</v>
          </cell>
          <cell r="C1317" t="str">
            <v>PIJA MIXTA CON TABLERO CON 240 PZAS.</v>
          </cell>
          <cell r="D1317" t="str">
            <v>HANDS</v>
          </cell>
          <cell r="E1317">
            <v>206.89655172413794</v>
          </cell>
          <cell r="F1317">
            <v>240</v>
          </cell>
        </row>
        <row r="1318">
          <cell r="A1318">
            <v>1314</v>
          </cell>
          <cell r="B1318">
            <v>3215</v>
          </cell>
          <cell r="C1318" t="str">
            <v>RESAQUE PLASTICO MEXICO</v>
          </cell>
          <cell r="D1318" t="str">
            <v>HANDS</v>
          </cell>
          <cell r="E1318">
            <v>0</v>
          </cell>
          <cell r="F1318">
            <v>0</v>
          </cell>
        </row>
        <row r="1319">
          <cell r="A1319">
            <v>1315</v>
          </cell>
          <cell r="B1319">
            <v>3216</v>
          </cell>
          <cell r="C1319" t="str">
            <v>RESAQUE PLASTICO VACA</v>
          </cell>
          <cell r="D1319" t="str">
            <v>HANDS</v>
          </cell>
          <cell r="E1319">
            <v>68.965517241379317</v>
          </cell>
          <cell r="F1319">
            <v>80</v>
          </cell>
        </row>
        <row r="1320">
          <cell r="A1320">
            <v>1316</v>
          </cell>
          <cell r="B1320">
            <v>3219</v>
          </cell>
          <cell r="C1320" t="str">
            <v>CUBO TOY JUEGO CON 3 PZAS.</v>
          </cell>
          <cell r="D1320" t="str">
            <v>HANDS</v>
          </cell>
          <cell r="E1320">
            <v>517.24137931034488</v>
          </cell>
          <cell r="F1320">
            <v>600</v>
          </cell>
        </row>
        <row r="1321">
          <cell r="A1321">
            <v>1317</v>
          </cell>
          <cell r="B1321">
            <v>3220</v>
          </cell>
          <cell r="C1321" t="str">
            <v>GALLETAS DE RELACCION GEOMTRICA CON 12 PZAS</v>
          </cell>
          <cell r="D1321" t="str">
            <v>HANDS</v>
          </cell>
          <cell r="E1321">
            <v>51.724137931034484</v>
          </cell>
          <cell r="F1321">
            <v>60</v>
          </cell>
        </row>
        <row r="1322">
          <cell r="A1322">
            <v>1318</v>
          </cell>
          <cell r="B1322">
            <v>3221</v>
          </cell>
          <cell r="C1322" t="str">
            <v>SELLOS LECTO MIS SELLITOS MOTIVACIONALES 28 PZAS</v>
          </cell>
          <cell r="D1322" t="str">
            <v>HANDS</v>
          </cell>
          <cell r="E1322">
            <v>193.96551724137933</v>
          </cell>
          <cell r="F1322">
            <v>225</v>
          </cell>
        </row>
        <row r="1323">
          <cell r="A1323">
            <v>1319</v>
          </cell>
          <cell r="B1323">
            <v>3222</v>
          </cell>
          <cell r="C1323" t="str">
            <v>SELLOS LECTO ABECEDARIO 28 PZAS.</v>
          </cell>
          <cell r="D1323" t="str">
            <v>HANDS</v>
          </cell>
          <cell r="E1323">
            <v>370.68965517241384</v>
          </cell>
          <cell r="F1323">
            <v>430</v>
          </cell>
        </row>
        <row r="1324">
          <cell r="A1324">
            <v>1320</v>
          </cell>
          <cell r="B1324">
            <v>5000</v>
          </cell>
          <cell r="C1324" t="str">
            <v>ALBERCA DE PELOTAS 1.50 MTS. IDEAS (LONA)</v>
          </cell>
          <cell r="D1324" t="str">
            <v>HANDS</v>
          </cell>
          <cell r="E1324">
            <v>724.13793103448279</v>
          </cell>
          <cell r="F1324">
            <v>840</v>
          </cell>
        </row>
        <row r="1325">
          <cell r="A1325">
            <v>1321</v>
          </cell>
          <cell r="B1325">
            <v>5001</v>
          </cell>
          <cell r="C1325" t="str">
            <v>ALBERCA DE PELOTAS 1.20 MTS HANDS (HULE ESPUMA)</v>
          </cell>
          <cell r="D1325" t="str">
            <v>HANDS</v>
          </cell>
          <cell r="E1325">
            <v>874.13793103448279</v>
          </cell>
          <cell r="F1325">
            <v>1014</v>
          </cell>
        </row>
        <row r="1326">
          <cell r="A1326">
            <v>1322</v>
          </cell>
          <cell r="B1326">
            <v>5002</v>
          </cell>
          <cell r="C1326" t="str">
            <v>BATITA PINTOR 1 PZA.</v>
          </cell>
          <cell r="D1326" t="str">
            <v>HANDS</v>
          </cell>
          <cell r="E1326">
            <v>52.58620689655173</v>
          </cell>
          <cell r="F1326">
            <v>61</v>
          </cell>
        </row>
        <row r="1327">
          <cell r="A1327">
            <v>1323</v>
          </cell>
          <cell r="B1327">
            <v>5003</v>
          </cell>
          <cell r="C1327" t="str">
            <v>COLCHONETA PLEGABLE 1.10 x .58 MTS</v>
          </cell>
          <cell r="D1327" t="str">
            <v>HANDS</v>
          </cell>
          <cell r="E1327">
            <v>362.06896551724139</v>
          </cell>
          <cell r="F1327">
            <v>420</v>
          </cell>
        </row>
        <row r="1328">
          <cell r="A1328">
            <v>1324</v>
          </cell>
          <cell r="B1328">
            <v>5004</v>
          </cell>
          <cell r="C1328" t="str">
            <v>CUBO MONTESSORI</v>
          </cell>
          <cell r="D1328" t="str">
            <v>HANDS</v>
          </cell>
          <cell r="E1328">
            <v>134.48275862068965</v>
          </cell>
          <cell r="F1328">
            <v>156</v>
          </cell>
        </row>
        <row r="1329">
          <cell r="A1329">
            <v>1325</v>
          </cell>
          <cell r="B1329">
            <v>5009</v>
          </cell>
          <cell r="C1329" t="str">
            <v>KIT GIMNASIO CON 3 PZAS.</v>
          </cell>
          <cell r="D1329" t="str">
            <v>HANDS</v>
          </cell>
          <cell r="E1329">
            <v>637.93103448275872</v>
          </cell>
          <cell r="F1329">
            <v>740</v>
          </cell>
        </row>
        <row r="1330">
          <cell r="A1330">
            <v>1326</v>
          </cell>
          <cell r="B1330">
            <v>5010</v>
          </cell>
          <cell r="C1330" t="str">
            <v>KIT GIMNASIO CON 4 PZAS.</v>
          </cell>
          <cell r="D1330" t="str">
            <v>HANDS</v>
          </cell>
          <cell r="E1330">
            <v>810.34482758620697</v>
          </cell>
          <cell r="F1330">
            <v>940</v>
          </cell>
        </row>
        <row r="1331">
          <cell r="A1331">
            <v>1327</v>
          </cell>
          <cell r="B1331">
            <v>5011</v>
          </cell>
          <cell r="C1331" t="str">
            <v>GRANJA EDUCATIVA CON 3 ANIMALITOS</v>
          </cell>
          <cell r="D1331" t="str">
            <v>HANDS</v>
          </cell>
          <cell r="E1331">
            <v>340.51724137931035</v>
          </cell>
          <cell r="F1331">
            <v>395</v>
          </cell>
        </row>
        <row r="1332">
          <cell r="A1332">
            <v>1328</v>
          </cell>
          <cell r="B1332">
            <v>5012</v>
          </cell>
          <cell r="C1332" t="str">
            <v>LIBRO DE JUEGOS DEL SABER</v>
          </cell>
          <cell r="D1332" t="str">
            <v>HANDS</v>
          </cell>
          <cell r="E1332">
            <v>340.51724137931035</v>
          </cell>
          <cell r="F1332">
            <v>395</v>
          </cell>
        </row>
        <row r="1333">
          <cell r="A1333">
            <v>1329</v>
          </cell>
          <cell r="B1333">
            <v>5013</v>
          </cell>
          <cell r="C1333" t="str">
            <v>PARACAIDAS CHICO C/HOYO</v>
          </cell>
          <cell r="D1333" t="str">
            <v>HANDS</v>
          </cell>
          <cell r="E1333">
            <v>327.58620689655174</v>
          </cell>
          <cell r="F1333">
            <v>380</v>
          </cell>
        </row>
        <row r="1334">
          <cell r="A1334">
            <v>1330</v>
          </cell>
          <cell r="B1334">
            <v>5014</v>
          </cell>
          <cell r="C1334" t="str">
            <v>PARACAIDAS CHICO S/HOYO</v>
          </cell>
          <cell r="D1334" t="str">
            <v>HANDS</v>
          </cell>
          <cell r="E1334">
            <v>310.34482758620692</v>
          </cell>
          <cell r="F1334">
            <v>360</v>
          </cell>
        </row>
        <row r="1335">
          <cell r="A1335">
            <v>1331</v>
          </cell>
          <cell r="B1335">
            <v>5015</v>
          </cell>
          <cell r="C1335" t="str">
            <v>PARACAIDAS GRANDE C/HOYO</v>
          </cell>
          <cell r="D1335" t="str">
            <v>HANDS</v>
          </cell>
          <cell r="E1335">
            <v>379.31034482758622</v>
          </cell>
          <cell r="F1335">
            <v>440</v>
          </cell>
        </row>
        <row r="1336">
          <cell r="A1336">
            <v>1332</v>
          </cell>
          <cell r="B1336">
            <v>5016</v>
          </cell>
          <cell r="C1336" t="str">
            <v>PARACAIDAS GRANDE S/HOYO</v>
          </cell>
          <cell r="D1336" t="str">
            <v>HANDS</v>
          </cell>
          <cell r="E1336">
            <v>362.06896551724139</v>
          </cell>
          <cell r="F1336">
            <v>420</v>
          </cell>
        </row>
        <row r="1337">
          <cell r="A1337">
            <v>1333</v>
          </cell>
          <cell r="B1337">
            <v>5018</v>
          </cell>
          <cell r="C1337" t="str">
            <v>TUNEL GUSANO</v>
          </cell>
          <cell r="D1337" t="str">
            <v>HANDS</v>
          </cell>
          <cell r="E1337">
            <v>396.55172413793105</v>
          </cell>
          <cell r="F1337">
            <v>460</v>
          </cell>
        </row>
        <row r="1338">
          <cell r="A1338">
            <v>1334</v>
          </cell>
          <cell r="B1338">
            <v>5020</v>
          </cell>
          <cell r="C1338" t="str">
            <v>COSTALITO SALTARIN 1 PZA.</v>
          </cell>
          <cell r="D1338" t="str">
            <v>HANDS</v>
          </cell>
          <cell r="E1338">
            <v>86.206896551724142</v>
          </cell>
          <cell r="F1338">
            <v>100</v>
          </cell>
        </row>
        <row r="1339">
          <cell r="A1339">
            <v>1335</v>
          </cell>
          <cell r="B1339">
            <v>5021</v>
          </cell>
          <cell r="C1339" t="str">
            <v>TAPETE IMITADOR CON CUBO DE PUNTOS</v>
          </cell>
          <cell r="D1339" t="str">
            <v>HANDS</v>
          </cell>
          <cell r="E1339">
            <v>534.48275862068965</v>
          </cell>
          <cell r="F1339">
            <v>620</v>
          </cell>
        </row>
        <row r="1340">
          <cell r="A1340">
            <v>1336</v>
          </cell>
          <cell r="B1340">
            <v>5023</v>
          </cell>
          <cell r="C1340" t="str">
            <v>COLCHONETA RECTA  1 PZA</v>
          </cell>
          <cell r="D1340" t="str">
            <v>HANDS</v>
          </cell>
          <cell r="E1340">
            <v>327.58620689655174</v>
          </cell>
          <cell r="F1340">
            <v>380</v>
          </cell>
        </row>
        <row r="1341">
          <cell r="A1341">
            <v>1337</v>
          </cell>
          <cell r="B1341">
            <v>5026</v>
          </cell>
          <cell r="C1341" t="str">
            <v>MOCHILA</v>
          </cell>
          <cell r="D1341" t="str">
            <v>HANDS</v>
          </cell>
          <cell r="E1341">
            <v>155.17241379310346</v>
          </cell>
          <cell r="F1341">
            <v>180</v>
          </cell>
        </row>
        <row r="1342">
          <cell r="A1342">
            <v>1338</v>
          </cell>
          <cell r="B1342">
            <v>5027</v>
          </cell>
          <cell r="C1342" t="str">
            <v>BATA PARA EDUCADORA</v>
          </cell>
          <cell r="D1342" t="str">
            <v>HANDS</v>
          </cell>
          <cell r="E1342">
            <v>155.17241379310346</v>
          </cell>
          <cell r="F1342">
            <v>180</v>
          </cell>
        </row>
        <row r="1343">
          <cell r="A1343">
            <v>1339</v>
          </cell>
          <cell r="B1343">
            <v>5028</v>
          </cell>
          <cell r="C1343" t="str">
            <v>TAPETE DE COORDINACION CARAS Y GESTOS</v>
          </cell>
          <cell r="D1343" t="str">
            <v>HANDS</v>
          </cell>
          <cell r="E1343">
            <v>534.48275862068965</v>
          </cell>
          <cell r="F1343">
            <v>620</v>
          </cell>
        </row>
        <row r="1344">
          <cell r="A1344">
            <v>1340</v>
          </cell>
          <cell r="B1344">
            <v>5029</v>
          </cell>
          <cell r="C1344" t="str">
            <v>CUBO DE TELA DE 20 X 20 DE PUNTOS</v>
          </cell>
          <cell r="D1344" t="str">
            <v>HANDS</v>
          </cell>
          <cell r="E1344">
            <v>103.44827586206897</v>
          </cell>
          <cell r="F1344">
            <v>120</v>
          </cell>
        </row>
        <row r="1345">
          <cell r="A1345">
            <v>1341</v>
          </cell>
          <cell r="B1345">
            <v>5030</v>
          </cell>
          <cell r="C1345" t="str">
            <v>CUBO DE TELA DE  20 X 20 DE VOCALES</v>
          </cell>
          <cell r="D1345" t="str">
            <v>HANDS</v>
          </cell>
          <cell r="E1345">
            <v>103.44827586206897</v>
          </cell>
          <cell r="F1345">
            <v>120</v>
          </cell>
        </row>
        <row r="1346">
          <cell r="A1346">
            <v>1342</v>
          </cell>
          <cell r="B1346">
            <v>5031</v>
          </cell>
          <cell r="C1346" t="str">
            <v>CUBO DE TELA 20 X 20 DE LOS SENTIDOS</v>
          </cell>
          <cell r="D1346" t="str">
            <v>HANDS</v>
          </cell>
          <cell r="E1346">
            <v>103.44827586206897</v>
          </cell>
          <cell r="F1346">
            <v>120</v>
          </cell>
        </row>
        <row r="1347">
          <cell r="A1347">
            <v>1343</v>
          </cell>
          <cell r="B1347">
            <v>5032</v>
          </cell>
          <cell r="C1347" t="str">
            <v>TAPETE DE COORDINACION No. 1 AL 6</v>
          </cell>
          <cell r="D1347" t="str">
            <v>HANDS</v>
          </cell>
          <cell r="E1347">
            <v>500.00000000000006</v>
          </cell>
          <cell r="F1347">
            <v>580</v>
          </cell>
        </row>
        <row r="1348">
          <cell r="A1348">
            <v>1344</v>
          </cell>
          <cell r="B1348">
            <v>5033</v>
          </cell>
          <cell r="C1348" t="str">
            <v>TAPETE DE COORDINACION No. 7 AL 12</v>
          </cell>
          <cell r="D1348" t="str">
            <v>HANDS</v>
          </cell>
          <cell r="E1348">
            <v>500.00000000000006</v>
          </cell>
          <cell r="F1348">
            <v>580</v>
          </cell>
        </row>
        <row r="1349">
          <cell r="A1349">
            <v>1345</v>
          </cell>
          <cell r="B1349">
            <v>5034</v>
          </cell>
          <cell r="C1349" t="str">
            <v>TAPETE DE COORDINACION DE VOCALES</v>
          </cell>
          <cell r="D1349" t="str">
            <v>HANDS</v>
          </cell>
          <cell r="E1349">
            <v>500.00000000000006</v>
          </cell>
          <cell r="F1349">
            <v>580</v>
          </cell>
        </row>
        <row r="1350">
          <cell r="A1350">
            <v>1346</v>
          </cell>
          <cell r="B1350">
            <v>5037</v>
          </cell>
          <cell r="C1350" t="str">
            <v>CUBO NUMERICO GIGANTE DE TELA</v>
          </cell>
          <cell r="D1350" t="str">
            <v>HANDS</v>
          </cell>
          <cell r="E1350">
            <v>189.65517241379311</v>
          </cell>
          <cell r="F1350">
            <v>220</v>
          </cell>
        </row>
        <row r="1351">
          <cell r="A1351">
            <v>1347</v>
          </cell>
          <cell r="B1351">
            <v>5048</v>
          </cell>
          <cell r="C1351" t="str">
            <v>ALBERCA DE PELOTAS HEXAGONAL 140 x 30 x 20 CM</v>
          </cell>
          <cell r="D1351" t="str">
            <v>HANDS</v>
          </cell>
          <cell r="E1351">
            <v>3587.9310344827591</v>
          </cell>
          <cell r="F1351">
            <v>4162</v>
          </cell>
        </row>
        <row r="1352">
          <cell r="A1352">
            <v>1348</v>
          </cell>
          <cell r="B1352">
            <v>5049</v>
          </cell>
          <cell r="C1352" t="str">
            <v>ALBERCA DE PELOTAS OCTAGONAL 210 x 50 x 20 CM</v>
          </cell>
          <cell r="D1352" t="str">
            <v>HANDS</v>
          </cell>
          <cell r="E1352">
            <v>5062.0689655172418</v>
          </cell>
          <cell r="F1352">
            <v>5872</v>
          </cell>
        </row>
        <row r="1353">
          <cell r="A1353">
            <v>1349</v>
          </cell>
          <cell r="B1353">
            <v>5050</v>
          </cell>
          <cell r="C1353" t="str">
            <v>ALBERCA DE PELOTAS REDONDA MEDIANA 130 x 20 x 20 CM</v>
          </cell>
          <cell r="D1353" t="str">
            <v>HANDS</v>
          </cell>
          <cell r="E1353">
            <v>1744.8275862068967</v>
          </cell>
          <cell r="F1353">
            <v>2024</v>
          </cell>
        </row>
        <row r="1354">
          <cell r="A1354">
            <v>1350</v>
          </cell>
          <cell r="B1354">
            <v>5051</v>
          </cell>
          <cell r="C1354" t="str">
            <v>ALBERCA DE PELOTAS REDONDA GRANDE 140 x 25 x 20 CM</v>
          </cell>
          <cell r="D1354" t="str">
            <v>HANDS</v>
          </cell>
          <cell r="E1354">
            <v>2580.1724137931037</v>
          </cell>
          <cell r="F1354">
            <v>2993</v>
          </cell>
        </row>
        <row r="1355">
          <cell r="A1355">
            <v>1351</v>
          </cell>
          <cell r="B1355">
            <v>5052</v>
          </cell>
          <cell r="C1355" t="str">
            <v>ALBERCA DE PELOTAS ARMABLE  120 x 120 x 30 CM</v>
          </cell>
          <cell r="D1355" t="str">
            <v>HANDS</v>
          </cell>
          <cell r="E1355">
            <v>911.63793103448279</v>
          </cell>
          <cell r="F1355">
            <v>1057.5</v>
          </cell>
        </row>
        <row r="1356">
          <cell r="A1356">
            <v>1352</v>
          </cell>
          <cell r="B1356">
            <v>5053</v>
          </cell>
          <cell r="C1356" t="str">
            <v>ABEJORROS 3 PZAS.EN VINIL</v>
          </cell>
          <cell r="D1356" t="str">
            <v>HANDS</v>
          </cell>
          <cell r="E1356">
            <v>1719.8275862068967</v>
          </cell>
          <cell r="F1356">
            <v>1995</v>
          </cell>
        </row>
        <row r="1357">
          <cell r="A1357">
            <v>1353</v>
          </cell>
          <cell r="B1357">
            <v>5054</v>
          </cell>
          <cell r="C1357" t="str">
            <v>BALLENITA MONTABLE EN LONA</v>
          </cell>
          <cell r="D1357" t="str">
            <v>HANDS</v>
          </cell>
          <cell r="E1357">
            <v>921.55172413793105</v>
          </cell>
          <cell r="F1357">
            <v>1069</v>
          </cell>
        </row>
        <row r="1358">
          <cell r="A1358">
            <v>1354</v>
          </cell>
          <cell r="B1358">
            <v>5055</v>
          </cell>
          <cell r="C1358" t="str">
            <v>CABALLITO MONTABLE EN LONA</v>
          </cell>
          <cell r="D1358" t="str">
            <v>HANDS</v>
          </cell>
          <cell r="E1358">
            <v>737.06896551724139</v>
          </cell>
          <cell r="F1358">
            <v>855</v>
          </cell>
        </row>
        <row r="1359">
          <cell r="A1359">
            <v>1355</v>
          </cell>
          <cell r="B1359">
            <v>5056</v>
          </cell>
          <cell r="C1359" t="str">
            <v>ELEFANTE MONTABLE EN LONA</v>
          </cell>
          <cell r="D1359" t="str">
            <v>HANDS</v>
          </cell>
          <cell r="E1359">
            <v>921.55172413793105</v>
          </cell>
          <cell r="F1359">
            <v>1069</v>
          </cell>
        </row>
        <row r="1360">
          <cell r="A1360">
            <v>1356</v>
          </cell>
          <cell r="B1360">
            <v>5057</v>
          </cell>
          <cell r="C1360" t="str">
            <v>CONEJITO MONTABLE EN LONA</v>
          </cell>
          <cell r="D1360" t="str">
            <v>HANDS</v>
          </cell>
          <cell r="E1360">
            <v>737.06896551724139</v>
          </cell>
          <cell r="F1360">
            <v>855</v>
          </cell>
        </row>
        <row r="1361">
          <cell r="A1361">
            <v>1357</v>
          </cell>
          <cell r="B1361">
            <v>5058</v>
          </cell>
          <cell r="C1361" t="str">
            <v>PERRITO MONTABLE EN LONA</v>
          </cell>
          <cell r="D1361" t="str">
            <v>HANDS</v>
          </cell>
          <cell r="E1361">
            <v>737.06896551724139</v>
          </cell>
          <cell r="F1361">
            <v>855</v>
          </cell>
        </row>
        <row r="1362">
          <cell r="A1362">
            <v>1358</v>
          </cell>
          <cell r="B1362">
            <v>5059</v>
          </cell>
          <cell r="C1362" t="str">
            <v>PATITO MONTABLE EN LONA</v>
          </cell>
          <cell r="D1362" t="str">
            <v>HANDS</v>
          </cell>
          <cell r="E1362">
            <v>737.06896551724139</v>
          </cell>
          <cell r="F1362">
            <v>855</v>
          </cell>
        </row>
        <row r="1363">
          <cell r="A1363">
            <v>1359</v>
          </cell>
          <cell r="B1363">
            <v>5060</v>
          </cell>
          <cell r="C1363" t="str">
            <v>BALANZA 120 x 60 CM EN VINIL</v>
          </cell>
          <cell r="D1363" t="str">
            <v>HANDS</v>
          </cell>
          <cell r="E1363">
            <v>1214.6551724137933</v>
          </cell>
          <cell r="F1363">
            <v>1409</v>
          </cell>
        </row>
        <row r="1364">
          <cell r="A1364">
            <v>1360</v>
          </cell>
          <cell r="B1364">
            <v>5061</v>
          </cell>
          <cell r="C1364" t="str">
            <v>BALON CHICO 50 CMS DIAMETRO</v>
          </cell>
          <cell r="D1364" t="str">
            <v>HANDS</v>
          </cell>
          <cell r="E1364">
            <v>809.48275862068976</v>
          </cell>
          <cell r="F1364">
            <v>939</v>
          </cell>
        </row>
        <row r="1365">
          <cell r="A1365">
            <v>1361</v>
          </cell>
          <cell r="B1365">
            <v>5062</v>
          </cell>
          <cell r="C1365" t="str">
            <v>BALON MEDIANO 80 CMS DIAMETRO</v>
          </cell>
          <cell r="D1365" t="str">
            <v>HANDS</v>
          </cell>
          <cell r="E1365">
            <v>1744.8275862068967</v>
          </cell>
          <cell r="F1365">
            <v>2024</v>
          </cell>
        </row>
        <row r="1366">
          <cell r="A1366">
            <v>1362</v>
          </cell>
          <cell r="B1366">
            <v>5063</v>
          </cell>
          <cell r="C1366" t="str">
            <v>BALON JUMBO150 CMS DIAMETRO</v>
          </cell>
          <cell r="D1366" t="str">
            <v>HANDS</v>
          </cell>
          <cell r="E1366">
            <v>5024.1379310344828</v>
          </cell>
          <cell r="F1366">
            <v>5828</v>
          </cell>
        </row>
        <row r="1367">
          <cell r="A1367">
            <v>1363</v>
          </cell>
          <cell r="B1367">
            <v>5064</v>
          </cell>
          <cell r="C1367" t="str">
            <v>BATITA PLASTICA</v>
          </cell>
          <cell r="D1367" t="str">
            <v>HANDS</v>
          </cell>
          <cell r="E1367">
            <v>36.206896551724142</v>
          </cell>
          <cell r="F1367">
            <v>42</v>
          </cell>
        </row>
        <row r="1368">
          <cell r="A1368">
            <v>1364</v>
          </cell>
          <cell r="B1368">
            <v>5065</v>
          </cell>
          <cell r="C1368" t="str">
            <v>BARRILACO No.1 EN LONA 95 x 80 CMS</v>
          </cell>
          <cell r="D1368" t="str">
            <v>HANDS</v>
          </cell>
          <cell r="E1368">
            <v>4467.2413793103451</v>
          </cell>
          <cell r="F1368">
            <v>5182</v>
          </cell>
        </row>
        <row r="1369">
          <cell r="A1369">
            <v>1365</v>
          </cell>
          <cell r="B1369">
            <v>5066</v>
          </cell>
          <cell r="C1369" t="str">
            <v>BARRILACO No.2 EN LONA 120 x100 80 CMS</v>
          </cell>
          <cell r="D1369" t="str">
            <v>HANDS</v>
          </cell>
          <cell r="E1369">
            <v>5444.8275862068967</v>
          </cell>
          <cell r="F1369">
            <v>6316</v>
          </cell>
        </row>
        <row r="1370">
          <cell r="A1370">
            <v>1366</v>
          </cell>
          <cell r="B1370">
            <v>5067</v>
          </cell>
          <cell r="C1370" t="str">
            <v>CUBO NUMERADO DEL 1-6 20 x 20 CMS</v>
          </cell>
          <cell r="D1370" t="str">
            <v>HANDS</v>
          </cell>
          <cell r="E1370">
            <v>103.44827586206897</v>
          </cell>
          <cell r="F1370">
            <v>120</v>
          </cell>
        </row>
        <row r="1371">
          <cell r="A1371">
            <v>1367</v>
          </cell>
          <cell r="B1371">
            <v>5068</v>
          </cell>
          <cell r="C1371" t="str">
            <v>CUBO NUMERADO DEL 7-12 20 x 20 CMS</v>
          </cell>
          <cell r="D1371" t="str">
            <v>HANDS</v>
          </cell>
          <cell r="E1371">
            <v>103.44827586206897</v>
          </cell>
          <cell r="F1371">
            <v>120</v>
          </cell>
        </row>
        <row r="1372">
          <cell r="A1372">
            <v>1368</v>
          </cell>
          <cell r="B1372">
            <v>5069</v>
          </cell>
          <cell r="C1372" t="str">
            <v>CUBO DE FRACCIONES 20 x 20 CMS</v>
          </cell>
          <cell r="D1372" t="str">
            <v>HANDS</v>
          </cell>
          <cell r="E1372">
            <v>103.44827586206897</v>
          </cell>
          <cell r="F1372">
            <v>120</v>
          </cell>
        </row>
        <row r="1373">
          <cell r="A1373">
            <v>1369</v>
          </cell>
          <cell r="B1373">
            <v>5070</v>
          </cell>
          <cell r="C1373" t="str">
            <v>GEOMETRICUBO CON ACTIVIDADES 20 x 20 CMS</v>
          </cell>
          <cell r="D1373" t="str">
            <v>HANDS</v>
          </cell>
          <cell r="E1373">
            <v>139.65517241379311</v>
          </cell>
          <cell r="F1373">
            <v>162</v>
          </cell>
        </row>
        <row r="1374">
          <cell r="A1374">
            <v>1370</v>
          </cell>
          <cell r="B1374">
            <v>5071</v>
          </cell>
          <cell r="C1374" t="str">
            <v>CUBO TEXTURAS CHICO 10 x 10 CMS</v>
          </cell>
          <cell r="D1374" t="str">
            <v>HANDS</v>
          </cell>
          <cell r="E1374">
            <v>42.241379310344833</v>
          </cell>
          <cell r="F1374">
            <v>49</v>
          </cell>
        </row>
        <row r="1375">
          <cell r="A1375">
            <v>1371</v>
          </cell>
          <cell r="B1375">
            <v>5072</v>
          </cell>
          <cell r="C1375" t="str">
            <v>CUBO TEXTURAS GRANDE 20 x 20 CMS</v>
          </cell>
          <cell r="D1375" t="str">
            <v>HANDS</v>
          </cell>
          <cell r="E1375">
            <v>69.827586206896555</v>
          </cell>
          <cell r="F1375">
            <v>81</v>
          </cell>
        </row>
        <row r="1376">
          <cell r="A1376">
            <v>1372</v>
          </cell>
          <cell r="B1376">
            <v>5074</v>
          </cell>
          <cell r="C1376" t="str">
            <v>COLCHONETA RECTA GRANDE 120 x 120 x 5</v>
          </cell>
          <cell r="D1376" t="str">
            <v>HANDS</v>
          </cell>
          <cell r="E1376">
            <v>502.58620689655174</v>
          </cell>
          <cell r="F1376">
            <v>583</v>
          </cell>
        </row>
        <row r="1377">
          <cell r="A1377">
            <v>1373</v>
          </cell>
          <cell r="B1377">
            <v>5075</v>
          </cell>
          <cell r="C1377" t="str">
            <v>COLCHONETA RECTA JUMBO 2 x 2 MTS</v>
          </cell>
          <cell r="D1377" t="str">
            <v>HANDS</v>
          </cell>
          <cell r="E1377">
            <v>1061.2068965517242</v>
          </cell>
          <cell r="F1377">
            <v>1231</v>
          </cell>
        </row>
        <row r="1378">
          <cell r="A1378">
            <v>1374</v>
          </cell>
          <cell r="B1378">
            <v>5076</v>
          </cell>
          <cell r="C1378" t="str">
            <v>COLCHONETA ADHERIBLE 100 x 80 x 5 (2 PZAS)</v>
          </cell>
          <cell r="D1378" t="str">
            <v>HANDS</v>
          </cell>
          <cell r="E1378">
            <v>418.96551724137936</v>
          </cell>
          <cell r="F1378">
            <v>486</v>
          </cell>
        </row>
        <row r="1379">
          <cell r="A1379">
            <v>1375</v>
          </cell>
          <cell r="B1379">
            <v>5077</v>
          </cell>
          <cell r="C1379" t="str">
            <v>COLCHONETA 2 CURVAS 120 x 60 x 5 (2 PZAS)</v>
          </cell>
          <cell r="D1379" t="str">
            <v>HANDS</v>
          </cell>
          <cell r="E1379">
            <v>1102.5862068965519</v>
          </cell>
          <cell r="F1379">
            <v>1279</v>
          </cell>
        </row>
        <row r="1380">
          <cell r="A1380">
            <v>1376</v>
          </cell>
          <cell r="B1380">
            <v>5078</v>
          </cell>
          <cell r="C1380" t="str">
            <v>COLCHONETA RIGIDA 120 x 60 x 5</v>
          </cell>
          <cell r="D1380" t="str">
            <v>HANDS</v>
          </cell>
          <cell r="E1380">
            <v>488.79310344827587</v>
          </cell>
          <cell r="F1380">
            <v>567</v>
          </cell>
        </row>
        <row r="1381">
          <cell r="A1381">
            <v>1377</v>
          </cell>
          <cell r="B1381">
            <v>5079</v>
          </cell>
          <cell r="C1381" t="str">
            <v>COLCHONETA RIGIDA 100 x 60 x 5</v>
          </cell>
          <cell r="D1381" t="str">
            <v>HANDS</v>
          </cell>
          <cell r="E1381">
            <v>418.96551724137936</v>
          </cell>
          <cell r="F1381">
            <v>486</v>
          </cell>
        </row>
        <row r="1382">
          <cell r="A1382">
            <v>1378</v>
          </cell>
          <cell r="B1382">
            <v>5080</v>
          </cell>
          <cell r="C1382" t="str">
            <v>COLCHONETA RIGIDA 120 x 120 x 5</v>
          </cell>
          <cell r="D1382" t="str">
            <v>HANDS</v>
          </cell>
          <cell r="E1382">
            <v>795.68965517241384</v>
          </cell>
          <cell r="F1382">
            <v>923</v>
          </cell>
        </row>
        <row r="1383">
          <cell r="A1383">
            <v>1379</v>
          </cell>
          <cell r="B1383">
            <v>5081</v>
          </cell>
          <cell r="C1383" t="str">
            <v>COLCHONETA RIGIDA 200 x 200 x 5</v>
          </cell>
          <cell r="D1383" t="str">
            <v>HANDS</v>
          </cell>
          <cell r="E1383">
            <v>1284.4827586206898</v>
          </cell>
          <cell r="F1383">
            <v>1490</v>
          </cell>
        </row>
        <row r="1384">
          <cell r="A1384">
            <v>1380</v>
          </cell>
          <cell r="B1384">
            <v>5082</v>
          </cell>
          <cell r="C1384" t="str">
            <v>COLCHONETA RIGIDA ADHERIBLE 2 PZAS 100 x 80 x 5</v>
          </cell>
          <cell r="D1384" t="str">
            <v>HANDS</v>
          </cell>
          <cell r="E1384">
            <v>720.68965517241384</v>
          </cell>
          <cell r="F1384">
            <v>836</v>
          </cell>
        </row>
        <row r="1385">
          <cell r="A1385">
            <v>1381</v>
          </cell>
          <cell r="B1385">
            <v>5083</v>
          </cell>
          <cell r="C1385" t="str">
            <v>CUÑA EN VINIL 60 x 40 x 15</v>
          </cell>
          <cell r="D1385" t="str">
            <v>HANDS</v>
          </cell>
          <cell r="E1385">
            <v>209.48275862068968</v>
          </cell>
          <cell r="F1385">
            <v>243</v>
          </cell>
        </row>
        <row r="1386">
          <cell r="A1386">
            <v>1382</v>
          </cell>
          <cell r="B1386">
            <v>5084</v>
          </cell>
          <cell r="C1386" t="str">
            <v>CUÑA EN VINIL 35 x 35 x 15</v>
          </cell>
          <cell r="D1386" t="str">
            <v>HANDS</v>
          </cell>
          <cell r="E1386">
            <v>125.86206896551725</v>
          </cell>
          <cell r="F1386">
            <v>146</v>
          </cell>
        </row>
        <row r="1387">
          <cell r="A1387">
            <v>1383</v>
          </cell>
          <cell r="B1387">
            <v>5085</v>
          </cell>
          <cell r="C1387" t="str">
            <v>CUÑA EN VINIL 70 x 40 x 15</v>
          </cell>
          <cell r="D1387" t="str">
            <v>HANDS</v>
          </cell>
          <cell r="E1387">
            <v>250.86206896551727</v>
          </cell>
          <cell r="F1387">
            <v>291</v>
          </cell>
        </row>
        <row r="1388">
          <cell r="A1388">
            <v>1384</v>
          </cell>
          <cell r="B1388">
            <v>5086</v>
          </cell>
          <cell r="C1388" t="str">
            <v>CUÑA EN VINIL 70 x 40 x 25</v>
          </cell>
          <cell r="D1388" t="str">
            <v>HANDS</v>
          </cell>
          <cell r="E1388">
            <v>293.10344827586209</v>
          </cell>
          <cell r="F1388">
            <v>340</v>
          </cell>
        </row>
        <row r="1389">
          <cell r="A1389">
            <v>1385</v>
          </cell>
          <cell r="B1389">
            <v>5087</v>
          </cell>
          <cell r="C1389" t="str">
            <v>CUÑA EN VINIL 50 x 40 x 30</v>
          </cell>
          <cell r="D1389" t="str">
            <v>HANDS</v>
          </cell>
          <cell r="E1389">
            <v>250.86206896551727</v>
          </cell>
          <cell r="F1389">
            <v>291</v>
          </cell>
        </row>
        <row r="1390">
          <cell r="A1390">
            <v>1386</v>
          </cell>
          <cell r="B1390">
            <v>5088</v>
          </cell>
          <cell r="C1390" t="str">
            <v>COJINES REDONDOS 3 PZAS</v>
          </cell>
          <cell r="D1390" t="str">
            <v>HANDS</v>
          </cell>
          <cell r="E1390">
            <v>2519.8275862068967</v>
          </cell>
          <cell r="F1390">
            <v>2923</v>
          </cell>
        </row>
        <row r="1391">
          <cell r="A1391">
            <v>1387</v>
          </cell>
          <cell r="B1391">
            <v>5089</v>
          </cell>
          <cell r="C1391" t="str">
            <v>DONA MINI 70 x 15 EN LONA</v>
          </cell>
          <cell r="D1391" t="str">
            <v>HANDS</v>
          </cell>
          <cell r="E1391">
            <v>543.9655172413793</v>
          </cell>
          <cell r="F1391">
            <v>631</v>
          </cell>
        </row>
        <row r="1392">
          <cell r="A1392">
            <v>1388</v>
          </cell>
          <cell r="B1392">
            <v>5090</v>
          </cell>
          <cell r="C1392" t="str">
            <v>DONA GRANDE 130 x 30 EN LONA</v>
          </cell>
          <cell r="D1392" t="str">
            <v>HANDS</v>
          </cell>
          <cell r="E1392">
            <v>3245.6896551724139</v>
          </cell>
          <cell r="F1392">
            <v>3765</v>
          </cell>
        </row>
        <row r="1393">
          <cell r="A1393">
            <v>1389</v>
          </cell>
          <cell r="B1393">
            <v>5091</v>
          </cell>
          <cell r="C1393" t="str">
            <v>TUNEL GUSANO MEDIANO 5 SECCIONES</v>
          </cell>
          <cell r="D1393" t="str">
            <v>HANDS</v>
          </cell>
          <cell r="E1393">
            <v>349.13793103448279</v>
          </cell>
          <cell r="F1393">
            <v>405</v>
          </cell>
        </row>
        <row r="1394">
          <cell r="A1394">
            <v>1390</v>
          </cell>
          <cell r="B1394">
            <v>5092</v>
          </cell>
          <cell r="C1394" t="str">
            <v>TUNEL GUSANO MEDIANO 7 SECCIONES</v>
          </cell>
          <cell r="D1394" t="str">
            <v>HANDS</v>
          </cell>
          <cell r="E1394">
            <v>488.79310344827587</v>
          </cell>
          <cell r="F1394">
            <v>567</v>
          </cell>
        </row>
        <row r="1395">
          <cell r="A1395">
            <v>1391</v>
          </cell>
          <cell r="B1395">
            <v>5093</v>
          </cell>
          <cell r="C1395" t="str">
            <v>KIT DE ESTIMULACION 14 PZAS</v>
          </cell>
          <cell r="D1395" t="str">
            <v>HANDS</v>
          </cell>
          <cell r="E1395">
            <v>6100.8620689655172</v>
          </cell>
          <cell r="F1395">
            <v>7077</v>
          </cell>
        </row>
        <row r="1396">
          <cell r="A1396">
            <v>1392</v>
          </cell>
          <cell r="B1396">
            <v>5094</v>
          </cell>
          <cell r="C1396" t="str">
            <v>KIT DE ESTIMULACION 8 PZAS</v>
          </cell>
          <cell r="D1396" t="str">
            <v>HANDS</v>
          </cell>
          <cell r="E1396">
            <v>1884.4827586206898</v>
          </cell>
          <cell r="F1396">
            <v>2186</v>
          </cell>
        </row>
        <row r="1397">
          <cell r="A1397">
            <v>1393</v>
          </cell>
          <cell r="B1397">
            <v>5095</v>
          </cell>
          <cell r="C1397" t="str">
            <v>KIT DE ESTIMULACION 3 PZAS</v>
          </cell>
          <cell r="D1397" t="str">
            <v>HANDS</v>
          </cell>
          <cell r="E1397">
            <v>2931.8965517241381</v>
          </cell>
          <cell r="F1397">
            <v>3401</v>
          </cell>
        </row>
        <row r="1398">
          <cell r="A1398">
            <v>1394</v>
          </cell>
          <cell r="B1398">
            <v>5096</v>
          </cell>
          <cell r="C1398" t="str">
            <v>KIT DE ESTIMULACION GDE. 7 PZAS</v>
          </cell>
          <cell r="D1398" t="str">
            <v>HANDS</v>
          </cell>
          <cell r="E1398">
            <v>3071.5517241379312</v>
          </cell>
          <cell r="F1398">
            <v>3563</v>
          </cell>
        </row>
        <row r="1399">
          <cell r="A1399">
            <v>1395</v>
          </cell>
          <cell r="B1399">
            <v>5097</v>
          </cell>
          <cell r="C1399" t="str">
            <v>KIT DE ESTIMULACION GDE. 11 PZAS</v>
          </cell>
          <cell r="D1399" t="str">
            <v>HANDS</v>
          </cell>
          <cell r="E1399">
            <v>8376.7241379310344</v>
          </cell>
          <cell r="F1399">
            <v>9717</v>
          </cell>
        </row>
        <row r="1400">
          <cell r="A1400">
            <v>1396</v>
          </cell>
          <cell r="B1400">
            <v>5098</v>
          </cell>
          <cell r="C1400" t="str">
            <v>KIT DE ESTIMULACION JUMBO 11 PZAS</v>
          </cell>
          <cell r="D1400" t="str">
            <v>HANDS</v>
          </cell>
          <cell r="E1400">
            <v>10051.724137931034</v>
          </cell>
          <cell r="F1400">
            <v>11660</v>
          </cell>
        </row>
        <row r="1401">
          <cell r="A1401">
            <v>1397</v>
          </cell>
          <cell r="B1401">
            <v>5099</v>
          </cell>
          <cell r="C1401" t="str">
            <v>KIT DE ESTIMULACION 6 PZAS CON TUNEL</v>
          </cell>
          <cell r="D1401" t="str">
            <v>HANDS</v>
          </cell>
          <cell r="E1401">
            <v>2512.9310344827586</v>
          </cell>
          <cell r="F1401">
            <v>2915</v>
          </cell>
        </row>
        <row r="1402">
          <cell r="A1402">
            <v>1398</v>
          </cell>
          <cell r="B1402">
            <v>5100</v>
          </cell>
          <cell r="C1402" t="str">
            <v>KIT DE ESTIMULACION CHICO 11 PZAS</v>
          </cell>
          <cell r="D1402" t="str">
            <v>HANDS</v>
          </cell>
          <cell r="E1402">
            <v>2931.8965517241381</v>
          </cell>
          <cell r="F1402">
            <v>3401</v>
          </cell>
        </row>
        <row r="1403">
          <cell r="A1403">
            <v>1399</v>
          </cell>
          <cell r="B1403">
            <v>5101</v>
          </cell>
          <cell r="C1403" t="str">
            <v>KIT DE ESTIMULACION GDE. 11 PZAS CON TRIANGULO</v>
          </cell>
          <cell r="D1403" t="str">
            <v>HANDS</v>
          </cell>
          <cell r="E1403">
            <v>6281.8965517241386</v>
          </cell>
          <cell r="F1403">
            <v>7287</v>
          </cell>
        </row>
        <row r="1404">
          <cell r="A1404">
            <v>1400</v>
          </cell>
          <cell r="B1404">
            <v>5102</v>
          </cell>
          <cell r="C1404" t="str">
            <v>PEQUEÑO PUF 60 x 45</v>
          </cell>
          <cell r="D1404" t="str">
            <v>HANDS</v>
          </cell>
          <cell r="E1404">
            <v>132.75862068965517</v>
          </cell>
          <cell r="F1404">
            <v>154</v>
          </cell>
        </row>
        <row r="1405">
          <cell r="A1405">
            <v>1401</v>
          </cell>
          <cell r="B1405">
            <v>5103</v>
          </cell>
          <cell r="C1405" t="str">
            <v>PENTAGONO 1 PZA 98 x 97 x 60 EN VINIL</v>
          </cell>
          <cell r="D1405" t="str">
            <v>HANDS</v>
          </cell>
          <cell r="E1405">
            <v>1186.2068965517242</v>
          </cell>
          <cell r="F1405">
            <v>1376</v>
          </cell>
        </row>
        <row r="1406">
          <cell r="A1406">
            <v>1402</v>
          </cell>
          <cell r="B1406">
            <v>5104</v>
          </cell>
          <cell r="C1406" t="str">
            <v>PENTAGONO 98 x 97 x 60 EN VINIL CON ACCESORIOS</v>
          </cell>
          <cell r="D1406" t="str">
            <v>HANDS</v>
          </cell>
          <cell r="E1406">
            <v>2443.1034482758623</v>
          </cell>
          <cell r="F1406">
            <v>2834</v>
          </cell>
        </row>
        <row r="1407">
          <cell r="A1407">
            <v>1403</v>
          </cell>
          <cell r="B1407">
            <v>5105</v>
          </cell>
          <cell r="C1407" t="str">
            <v>RAMPA CHICA 60 x 50 x 60</v>
          </cell>
          <cell r="D1407" t="str">
            <v>HANDS</v>
          </cell>
          <cell r="E1407">
            <v>642.24137931034488</v>
          </cell>
          <cell r="F1407">
            <v>745</v>
          </cell>
        </row>
        <row r="1408">
          <cell r="A1408">
            <v>1404</v>
          </cell>
          <cell r="B1408">
            <v>5106</v>
          </cell>
          <cell r="C1408" t="str">
            <v>RAMPA GRANDE 90 x 60 x 60</v>
          </cell>
          <cell r="D1408" t="str">
            <v>HANDS</v>
          </cell>
          <cell r="E1408">
            <v>921.55172413793105</v>
          </cell>
          <cell r="F1408">
            <v>1069</v>
          </cell>
        </row>
        <row r="1409">
          <cell r="A1409">
            <v>1405</v>
          </cell>
          <cell r="B1409">
            <v>5107</v>
          </cell>
          <cell r="C1409" t="str">
            <v>RAMPA MEDIANA 80 x 60 x 60</v>
          </cell>
          <cell r="D1409" t="str">
            <v>HANDS</v>
          </cell>
          <cell r="E1409">
            <v>879.31034482758628</v>
          </cell>
          <cell r="F1409">
            <v>1020</v>
          </cell>
        </row>
        <row r="1410">
          <cell r="A1410">
            <v>1406</v>
          </cell>
          <cell r="B1410">
            <v>5108</v>
          </cell>
          <cell r="C1410" t="str">
            <v>RAMPA JUMBO 120 x 100 x 100</v>
          </cell>
          <cell r="D1410" t="str">
            <v>HANDS</v>
          </cell>
          <cell r="E1410">
            <v>1200.8620689655174</v>
          </cell>
          <cell r="F1410">
            <v>1393</v>
          </cell>
        </row>
        <row r="1411">
          <cell r="A1411">
            <v>1407</v>
          </cell>
          <cell r="B1411">
            <v>5109</v>
          </cell>
          <cell r="C1411" t="str">
            <v>RODILLO COLGANTE TELA SUAVE 20 x 60</v>
          </cell>
          <cell r="D1411" t="str">
            <v>HANDS</v>
          </cell>
          <cell r="E1411">
            <v>209.48275862068968</v>
          </cell>
          <cell r="F1411">
            <v>243</v>
          </cell>
        </row>
        <row r="1412">
          <cell r="A1412">
            <v>1408</v>
          </cell>
          <cell r="B1412">
            <v>5110</v>
          </cell>
          <cell r="C1412" t="str">
            <v>RODILLO 20 x 60</v>
          </cell>
          <cell r="D1412" t="str">
            <v>HANDS</v>
          </cell>
          <cell r="E1412">
            <v>137.06896551724139</v>
          </cell>
          <cell r="F1412">
            <v>159</v>
          </cell>
        </row>
        <row r="1413">
          <cell r="A1413">
            <v>1409</v>
          </cell>
          <cell r="B1413">
            <v>5111</v>
          </cell>
          <cell r="C1413" t="str">
            <v>RODILLO 30 x 60</v>
          </cell>
          <cell r="D1413" t="str">
            <v>HANDS</v>
          </cell>
          <cell r="E1413">
            <v>320.68965517241384</v>
          </cell>
          <cell r="F1413">
            <v>372</v>
          </cell>
        </row>
        <row r="1414">
          <cell r="A1414">
            <v>1410</v>
          </cell>
          <cell r="B1414">
            <v>5112</v>
          </cell>
          <cell r="C1414" t="str">
            <v>SALCHICHA CON SOPORTE CHICA 150 x 40</v>
          </cell>
          <cell r="D1414" t="str">
            <v>HANDS</v>
          </cell>
          <cell r="E1414">
            <v>3043.1034482758623</v>
          </cell>
          <cell r="F1414">
            <v>3530</v>
          </cell>
        </row>
        <row r="1415">
          <cell r="A1415">
            <v>1411</v>
          </cell>
          <cell r="B1415">
            <v>5113</v>
          </cell>
          <cell r="C1415" t="str">
            <v>SALCHICHA CON SOPORTE MEDIANA 165 x 50</v>
          </cell>
          <cell r="D1415" t="str">
            <v>HANDS</v>
          </cell>
          <cell r="E1415">
            <v>3797.4137931034484</v>
          </cell>
          <cell r="F1415">
            <v>4405</v>
          </cell>
        </row>
        <row r="1416">
          <cell r="A1416">
            <v>1412</v>
          </cell>
          <cell r="B1416">
            <v>5114</v>
          </cell>
          <cell r="C1416" t="str">
            <v>SALCHICHA CON SOPORTE GRANDE 180 x 60</v>
          </cell>
          <cell r="D1416" t="str">
            <v>HANDS</v>
          </cell>
          <cell r="E1416">
            <v>4327.5862068965516</v>
          </cell>
          <cell r="F1416">
            <v>5020</v>
          </cell>
        </row>
        <row r="1417">
          <cell r="A1417">
            <v>1413</v>
          </cell>
          <cell r="B1417">
            <v>5115</v>
          </cell>
          <cell r="C1417" t="str">
            <v>SALCHICHA CON SOPORTE JUMBO 200 x 65</v>
          </cell>
          <cell r="D1417" t="str">
            <v>HANDS</v>
          </cell>
          <cell r="E1417">
            <v>5165.5172413793107</v>
          </cell>
          <cell r="F1417">
            <v>5992</v>
          </cell>
        </row>
        <row r="1418">
          <cell r="A1418">
            <v>1414</v>
          </cell>
          <cell r="B1418">
            <v>5116</v>
          </cell>
          <cell r="C1418" t="str">
            <v>TAPETE DE 6 TEXTURAS 120 x 60</v>
          </cell>
          <cell r="D1418" t="str">
            <v>HANDS</v>
          </cell>
          <cell r="E1418">
            <v>261.20689655172413</v>
          </cell>
          <cell r="F1418">
            <v>303</v>
          </cell>
        </row>
        <row r="1419">
          <cell r="A1419">
            <v>1415</v>
          </cell>
          <cell r="B1419">
            <v>5117</v>
          </cell>
          <cell r="C1419" t="str">
            <v>TAPETE CARITAS 120 x 60</v>
          </cell>
          <cell r="D1419" t="str">
            <v>HANDS</v>
          </cell>
          <cell r="E1419">
            <v>245.68965517241381</v>
          </cell>
          <cell r="F1419">
            <v>285</v>
          </cell>
        </row>
        <row r="1420">
          <cell r="A1420">
            <v>1416</v>
          </cell>
          <cell r="B1420">
            <v>5118</v>
          </cell>
          <cell r="C1420" t="str">
            <v>TAPETE NUMEROS 120 x 60</v>
          </cell>
          <cell r="D1420" t="str">
            <v>HANDS</v>
          </cell>
          <cell r="E1420">
            <v>245.68965517241381</v>
          </cell>
          <cell r="F1420">
            <v>285</v>
          </cell>
        </row>
        <row r="1421">
          <cell r="A1421">
            <v>1417</v>
          </cell>
          <cell r="B1421">
            <v>5119</v>
          </cell>
          <cell r="C1421" t="str">
            <v>TRENECITO CHICO 150 x 80</v>
          </cell>
          <cell r="D1421" t="str">
            <v>HANDS</v>
          </cell>
          <cell r="E1421">
            <v>6980.1724137931042</v>
          </cell>
          <cell r="F1421">
            <v>8097</v>
          </cell>
        </row>
        <row r="1422">
          <cell r="A1422">
            <v>1418</v>
          </cell>
          <cell r="B1422">
            <v>5120</v>
          </cell>
          <cell r="C1422" t="str">
            <v>TRENECITO MEDIANO 250 x 80</v>
          </cell>
          <cell r="D1422" t="str">
            <v>HANDS</v>
          </cell>
          <cell r="E1422">
            <v>9772.4137931034493</v>
          </cell>
          <cell r="F1422">
            <v>11336</v>
          </cell>
        </row>
        <row r="1423">
          <cell r="A1423">
            <v>1419</v>
          </cell>
          <cell r="B1423">
            <v>5121</v>
          </cell>
          <cell r="C1423" t="str">
            <v>TRENECITO GRANDE 300 x 80</v>
          </cell>
          <cell r="D1423" t="str">
            <v>HANDS</v>
          </cell>
          <cell r="E1423">
            <v>11866.379310344828</v>
          </cell>
          <cell r="F1423">
            <v>13765</v>
          </cell>
        </row>
        <row r="1424">
          <cell r="A1424">
            <v>1420</v>
          </cell>
          <cell r="B1424">
            <v>5122</v>
          </cell>
          <cell r="C1424" t="str">
            <v>VIGA DE EQUILIBRIO PLANA CON 2 SOPORTES 120 x 40</v>
          </cell>
          <cell r="D1424" t="str">
            <v>HANDS</v>
          </cell>
          <cell r="E1424">
            <v>1256.0344827586207</v>
          </cell>
          <cell r="F1424">
            <v>1457</v>
          </cell>
        </row>
        <row r="1425">
          <cell r="A1425">
            <v>1421</v>
          </cell>
          <cell r="B1425">
            <v>5123</v>
          </cell>
          <cell r="C1425" t="str">
            <v>VIGA DE EQUILIBRIO REDONDA 60 x 120 x 40</v>
          </cell>
          <cell r="D1425" t="str">
            <v>HANDS</v>
          </cell>
          <cell r="E1425">
            <v>2121.5517241379312</v>
          </cell>
          <cell r="F1425">
            <v>2461</v>
          </cell>
        </row>
        <row r="1426">
          <cell r="A1426">
            <v>1422</v>
          </cell>
          <cell r="B1426">
            <v>5124</v>
          </cell>
          <cell r="C1426" t="str">
            <v>CASTILLO VINIL</v>
          </cell>
          <cell r="D1426" t="str">
            <v>HANDS</v>
          </cell>
          <cell r="E1426">
            <v>3275.8620689655177</v>
          </cell>
          <cell r="F1426">
            <v>3800</v>
          </cell>
        </row>
        <row r="1427">
          <cell r="A1427">
            <v>1423</v>
          </cell>
          <cell r="B1427">
            <v>6005</v>
          </cell>
          <cell r="C1427" t="str">
            <v>SEÑAL BAJA LA PALANCA NIÑA 1 PZA.</v>
          </cell>
          <cell r="D1427" t="str">
            <v>HANDS</v>
          </cell>
          <cell r="E1427">
            <v>11.206896551724139</v>
          </cell>
          <cell r="F1427">
            <v>13</v>
          </cell>
        </row>
        <row r="1428">
          <cell r="A1428">
            <v>1424</v>
          </cell>
          <cell r="B1428">
            <v>6006</v>
          </cell>
          <cell r="C1428" t="str">
            <v>SEÑAL BAJA LA PALANCA NIÑO 1 PZA.</v>
          </cell>
          <cell r="D1428" t="str">
            <v>HANDS</v>
          </cell>
          <cell r="E1428">
            <v>11.206896551724139</v>
          </cell>
          <cell r="F1428">
            <v>13</v>
          </cell>
        </row>
        <row r="1429">
          <cell r="A1429">
            <v>1425</v>
          </cell>
          <cell r="B1429">
            <v>6007</v>
          </cell>
          <cell r="C1429" t="str">
            <v>SEÑALES DE VALORES PZA.</v>
          </cell>
          <cell r="D1429" t="str">
            <v>HANDS</v>
          </cell>
          <cell r="E1429">
            <v>7.7586206896551726</v>
          </cell>
          <cell r="F1429">
            <v>9</v>
          </cell>
        </row>
        <row r="1430">
          <cell r="A1430">
            <v>1426</v>
          </cell>
          <cell r="B1430">
            <v>6011</v>
          </cell>
          <cell r="C1430" t="str">
            <v>MEMORAMA DE VOCALES 20 PZAS.</v>
          </cell>
          <cell r="D1430" t="str">
            <v>HANDS</v>
          </cell>
          <cell r="E1430">
            <v>37.931034482758626</v>
          </cell>
          <cell r="F1430">
            <v>44</v>
          </cell>
        </row>
        <row r="1431">
          <cell r="A1431">
            <v>1427</v>
          </cell>
          <cell r="B1431">
            <v>6025</v>
          </cell>
          <cell r="C1431" t="str">
            <v>PINTURA DIGITAL 180 ML.</v>
          </cell>
          <cell r="D1431" t="str">
            <v>HANDS</v>
          </cell>
          <cell r="E1431">
            <v>20.689655172413794</v>
          </cell>
          <cell r="F1431">
            <v>24</v>
          </cell>
        </row>
        <row r="1432">
          <cell r="A1432">
            <v>1428</v>
          </cell>
          <cell r="B1432">
            <v>6027</v>
          </cell>
          <cell r="C1432" t="str">
            <v>LIBROS PARA ILUMINAR VARIOS MODELOS</v>
          </cell>
          <cell r="D1432" t="str">
            <v>HANDS</v>
          </cell>
          <cell r="E1432">
            <v>14.655172413793105</v>
          </cell>
          <cell r="F1432">
            <v>17</v>
          </cell>
        </row>
        <row r="1433">
          <cell r="A1433">
            <v>1429</v>
          </cell>
          <cell r="B1433">
            <v>6036</v>
          </cell>
          <cell r="C1433" t="str">
            <v>CUADERNILLO PARA JGO CUBO CONECTOR</v>
          </cell>
          <cell r="D1433" t="str">
            <v>HANDS</v>
          </cell>
          <cell r="E1433">
            <v>44.827586206896555</v>
          </cell>
          <cell r="F1433">
            <v>52</v>
          </cell>
        </row>
        <row r="1434">
          <cell r="A1434">
            <v>1430</v>
          </cell>
          <cell r="B1434">
            <v>6037</v>
          </cell>
          <cell r="C1434" t="str">
            <v>LIBRO DE LAS REGLETAS NUEVO</v>
          </cell>
          <cell r="D1434" t="str">
            <v>HANDS</v>
          </cell>
          <cell r="E1434">
            <v>15.517241379310345</v>
          </cell>
          <cell r="F1434">
            <v>18</v>
          </cell>
        </row>
        <row r="1435">
          <cell r="A1435">
            <v>1431</v>
          </cell>
          <cell r="B1435">
            <v>6038</v>
          </cell>
          <cell r="C1435" t="str">
            <v>TARJETAS DIDACTICAS ACCIONES C/30 PZAS</v>
          </cell>
          <cell r="D1435" t="str">
            <v>HANDS</v>
          </cell>
          <cell r="E1435">
            <v>21.551724137931036</v>
          </cell>
          <cell r="F1435">
            <v>25</v>
          </cell>
        </row>
        <row r="1436">
          <cell r="A1436">
            <v>1432</v>
          </cell>
          <cell r="B1436">
            <v>6040</v>
          </cell>
          <cell r="C1436" t="str">
            <v>TARJETAS DIDACTICAS LUGARES C/30 PZAS</v>
          </cell>
          <cell r="D1436" t="str">
            <v>HANDS</v>
          </cell>
          <cell r="E1436">
            <v>21.551724137931036</v>
          </cell>
          <cell r="F1436">
            <v>25</v>
          </cell>
        </row>
        <row r="1437">
          <cell r="A1437">
            <v>1433</v>
          </cell>
          <cell r="B1437">
            <v>6042</v>
          </cell>
          <cell r="C1437" t="str">
            <v>TARJETAS DIDACTICAS MEDIOS C/30 PZAS (TRANS. Y</v>
          </cell>
          <cell r="D1437" t="str">
            <v>HANDS</v>
          </cell>
          <cell r="E1437">
            <v>21.551724137931036</v>
          </cell>
          <cell r="F1437">
            <v>25</v>
          </cell>
        </row>
        <row r="1438">
          <cell r="A1438">
            <v>1434</v>
          </cell>
          <cell r="B1438">
            <v>6043</v>
          </cell>
          <cell r="C1438" t="str">
            <v>TEATRO MOVIL</v>
          </cell>
          <cell r="D1438" t="str">
            <v>HANDS</v>
          </cell>
          <cell r="E1438">
            <v>1206.8965517241379</v>
          </cell>
          <cell r="F1438">
            <v>1400</v>
          </cell>
        </row>
        <row r="1439">
          <cell r="A1439">
            <v>1435</v>
          </cell>
          <cell r="B1439">
            <v>6044</v>
          </cell>
          <cell r="C1439" t="str">
            <v>TARJETAS DIDACTICAS CLIMA C /30 PZAS</v>
          </cell>
          <cell r="D1439" t="str">
            <v>HANDS</v>
          </cell>
          <cell r="E1439">
            <v>21.551724137931036</v>
          </cell>
          <cell r="F1439">
            <v>25</v>
          </cell>
        </row>
        <row r="1440">
          <cell r="A1440">
            <v>1436</v>
          </cell>
          <cell r="B1440">
            <v>6046</v>
          </cell>
          <cell r="C1440" t="str">
            <v>TARJETAS DIDACTICAS VALORES C/30 PZAS</v>
          </cell>
          <cell r="D1440" t="str">
            <v>HANDS</v>
          </cell>
          <cell r="E1440">
            <v>21.551724137931036</v>
          </cell>
          <cell r="F1440">
            <v>25</v>
          </cell>
        </row>
        <row r="1441">
          <cell r="A1441">
            <v>1437</v>
          </cell>
          <cell r="B1441">
            <v>6048</v>
          </cell>
          <cell r="C1441" t="str">
            <v>TARJETAS DIDACTICAS OCUPACIONES C/30 PZAS</v>
          </cell>
          <cell r="D1441" t="str">
            <v>HANDS</v>
          </cell>
          <cell r="E1441">
            <v>21.551724137931036</v>
          </cell>
          <cell r="F1441">
            <v>25</v>
          </cell>
        </row>
        <row r="1442">
          <cell r="A1442">
            <v>1438</v>
          </cell>
          <cell r="B1442">
            <v>6049</v>
          </cell>
          <cell r="C1442" t="str">
            <v>LOTERIA DE CONJUGACIONES</v>
          </cell>
          <cell r="D1442" t="str">
            <v>HANDS</v>
          </cell>
          <cell r="E1442">
            <v>79.310344827586206</v>
          </cell>
          <cell r="F1442">
            <v>92</v>
          </cell>
        </row>
        <row r="1443">
          <cell r="A1443">
            <v>1439</v>
          </cell>
          <cell r="B1443">
            <v>6050</v>
          </cell>
          <cell r="C1443" t="str">
            <v>REVOLTIJO DE LETRAS OFICIOS</v>
          </cell>
          <cell r="D1443" t="str">
            <v>HANDS</v>
          </cell>
          <cell r="E1443">
            <v>241.37931034482762</v>
          </cell>
          <cell r="F1443">
            <v>280</v>
          </cell>
        </row>
        <row r="1444">
          <cell r="A1444">
            <v>1440</v>
          </cell>
          <cell r="B1444">
            <v>6051</v>
          </cell>
          <cell r="C1444" t="str">
            <v>KIT HIDROPONIA</v>
          </cell>
          <cell r="D1444" t="str">
            <v>HANDS</v>
          </cell>
          <cell r="E1444">
            <v>2586.2068965517242</v>
          </cell>
          <cell r="F1444">
            <v>3000</v>
          </cell>
        </row>
        <row r="1445">
          <cell r="A1445">
            <v>1441</v>
          </cell>
          <cell r="B1445">
            <v>6052</v>
          </cell>
          <cell r="C1445" t="str">
            <v>MEMORAMA NUMEROS ARABIGOS 30 PZAS.</v>
          </cell>
          <cell r="D1445" t="str">
            <v>HANDS</v>
          </cell>
          <cell r="E1445">
            <v>0</v>
          </cell>
          <cell r="F1445">
            <v>0</v>
          </cell>
        </row>
        <row r="1446">
          <cell r="A1446">
            <v>1442</v>
          </cell>
          <cell r="B1446">
            <v>6055</v>
          </cell>
          <cell r="C1446" t="str">
            <v>BANCO MATEMATICO</v>
          </cell>
          <cell r="D1446" t="str">
            <v>HANDS</v>
          </cell>
          <cell r="E1446">
            <v>137.93103448275863</v>
          </cell>
          <cell r="F1446">
            <v>160</v>
          </cell>
        </row>
        <row r="1447">
          <cell r="A1447">
            <v>1443</v>
          </cell>
          <cell r="B1447">
            <v>7008</v>
          </cell>
          <cell r="C1447" t="str">
            <v>PLASTILINA 125 GR 2 PZAS</v>
          </cell>
          <cell r="D1447" t="str">
            <v>HANDS</v>
          </cell>
          <cell r="E1447">
            <v>31.03448275862069</v>
          </cell>
          <cell r="F1447">
            <v>36</v>
          </cell>
        </row>
        <row r="1448">
          <cell r="A1448">
            <v>1444</v>
          </cell>
          <cell r="B1448">
            <v>7064</v>
          </cell>
          <cell r="C1448" t="str">
            <v>LIBRO DE REGLETAS</v>
          </cell>
          <cell r="D1448" t="str">
            <v>HANDS</v>
          </cell>
          <cell r="E1448">
            <v>112.06896551724138</v>
          </cell>
          <cell r="F1448">
            <v>130</v>
          </cell>
        </row>
        <row r="1449">
          <cell r="A1449">
            <v>1445</v>
          </cell>
          <cell r="B1449">
            <v>7066</v>
          </cell>
          <cell r="C1449" t="str">
            <v>SELLOS BILINGÜE DEL HOGAR 25 PZAS</v>
          </cell>
          <cell r="D1449" t="str">
            <v>HANDS</v>
          </cell>
          <cell r="E1449">
            <v>120.68965517241381</v>
          </cell>
          <cell r="F1449">
            <v>140</v>
          </cell>
        </row>
        <row r="1450">
          <cell r="A1450">
            <v>1446</v>
          </cell>
          <cell r="B1450">
            <v>7067</v>
          </cell>
          <cell r="C1450" t="str">
            <v>SELLOS BILINGÜE ANIMALES 25 PZAS</v>
          </cell>
          <cell r="D1450" t="str">
            <v>HANDS</v>
          </cell>
          <cell r="E1450">
            <v>120.68965517241381</v>
          </cell>
          <cell r="F1450">
            <v>140</v>
          </cell>
        </row>
        <row r="1451">
          <cell r="A1451">
            <v>1447</v>
          </cell>
          <cell r="B1451">
            <v>7068</v>
          </cell>
          <cell r="C1451" t="str">
            <v>FRUTAS No.1 CON 10 PZAS.</v>
          </cell>
          <cell r="D1451" t="str">
            <v>HANDS</v>
          </cell>
          <cell r="E1451">
            <v>109.48275862068967</v>
          </cell>
          <cell r="F1451">
            <v>127</v>
          </cell>
        </row>
        <row r="1452">
          <cell r="A1452">
            <v>1448</v>
          </cell>
          <cell r="B1452">
            <v>7069</v>
          </cell>
          <cell r="C1452" t="str">
            <v>FRUTAS No.2 CON 10 PZAS.</v>
          </cell>
          <cell r="D1452" t="str">
            <v>HANDS</v>
          </cell>
          <cell r="E1452">
            <v>109.48275862068967</v>
          </cell>
          <cell r="F1452">
            <v>127</v>
          </cell>
        </row>
        <row r="1453">
          <cell r="A1453">
            <v>1449</v>
          </cell>
          <cell r="B1453">
            <v>7070</v>
          </cell>
          <cell r="C1453" t="str">
            <v>PAN JUEGO CON 10 PZAS.</v>
          </cell>
          <cell r="D1453" t="str">
            <v>HANDS</v>
          </cell>
          <cell r="E1453">
            <v>109.48275862068967</v>
          </cell>
          <cell r="F1453">
            <v>127</v>
          </cell>
        </row>
        <row r="1454">
          <cell r="A1454">
            <v>1450</v>
          </cell>
          <cell r="B1454">
            <v>7071</v>
          </cell>
          <cell r="C1454" t="str">
            <v>VERDURAS CON 10 PZAS.</v>
          </cell>
          <cell r="D1454" t="str">
            <v>HANDS</v>
          </cell>
          <cell r="E1454">
            <v>109.48275862068967</v>
          </cell>
          <cell r="F1454">
            <v>127</v>
          </cell>
        </row>
        <row r="1455">
          <cell r="A1455">
            <v>1451</v>
          </cell>
          <cell r="B1455">
            <v>7072</v>
          </cell>
          <cell r="C1455" t="str">
            <v>SELLOS BILINGÜE ALIMENTOS, MEDIOS DE COMUNICACION Y</v>
          </cell>
          <cell r="D1455" t="str">
            <v>HANDS</v>
          </cell>
          <cell r="E1455">
            <v>120.68965517241381</v>
          </cell>
          <cell r="F1455">
            <v>140</v>
          </cell>
        </row>
        <row r="1456">
          <cell r="A1456">
            <v>1452</v>
          </cell>
          <cell r="B1456">
            <v>7073</v>
          </cell>
          <cell r="C1456" t="str">
            <v>CIRCULOS DEL CONOCIMIENTO TABLERO Y 12 PLANTILLAS</v>
          </cell>
          <cell r="D1456" t="str">
            <v>HANDS</v>
          </cell>
          <cell r="E1456">
            <v>181.0344827586207</v>
          </cell>
          <cell r="F1456">
            <v>210</v>
          </cell>
        </row>
        <row r="1457">
          <cell r="A1457">
            <v>1453</v>
          </cell>
          <cell r="B1457">
            <v>7074</v>
          </cell>
          <cell r="C1457" t="str">
            <v>JUEGO DEL GATO Y CUADROS MAGICOS</v>
          </cell>
          <cell r="D1457" t="str">
            <v>HANDS</v>
          </cell>
          <cell r="E1457">
            <v>28.448275862068968</v>
          </cell>
          <cell r="F1457">
            <v>33</v>
          </cell>
        </row>
        <row r="1458">
          <cell r="A1458">
            <v>1454</v>
          </cell>
          <cell r="B1458">
            <v>7075</v>
          </cell>
          <cell r="C1458" t="str">
            <v>LIBRO BANCO DE CUBOS No.1</v>
          </cell>
          <cell r="D1458" t="str">
            <v>HANDS</v>
          </cell>
          <cell r="E1458">
            <v>15.517241379310345</v>
          </cell>
          <cell r="F1458">
            <v>18</v>
          </cell>
        </row>
        <row r="1459">
          <cell r="A1459">
            <v>1455</v>
          </cell>
          <cell r="B1459">
            <v>7076</v>
          </cell>
          <cell r="C1459" t="str">
            <v>LIBRO DESARROLLO DE LA INTELIGENCIA No.1</v>
          </cell>
          <cell r="D1459" t="str">
            <v>HANDS</v>
          </cell>
          <cell r="E1459">
            <v>51.724137931034484</v>
          </cell>
          <cell r="F1459">
            <v>60</v>
          </cell>
        </row>
        <row r="1460">
          <cell r="A1460">
            <v>1456</v>
          </cell>
          <cell r="B1460">
            <v>7077</v>
          </cell>
          <cell r="C1460" t="str">
            <v>LIBRO DESARROLLO DE LA INTELIGENCIA No.2</v>
          </cell>
          <cell r="D1460" t="str">
            <v>HANDS</v>
          </cell>
          <cell r="E1460">
            <v>51.724137931034484</v>
          </cell>
          <cell r="F1460">
            <v>60</v>
          </cell>
        </row>
        <row r="1461">
          <cell r="A1461">
            <v>1457</v>
          </cell>
          <cell r="B1461">
            <v>7078</v>
          </cell>
          <cell r="C1461" t="str">
            <v xml:space="preserve">COMO ES EL CUERPO HUMANO </v>
          </cell>
          <cell r="D1461" t="str">
            <v>HANDS</v>
          </cell>
          <cell r="E1461">
            <v>0</v>
          </cell>
          <cell r="F1461">
            <v>0</v>
          </cell>
        </row>
        <row r="1462">
          <cell r="A1462">
            <v>1458</v>
          </cell>
          <cell r="B1462">
            <v>7079</v>
          </cell>
          <cell r="C1462" t="str">
            <v>TABLERO INTELIGENTE (LIBRO Y TABLERO CON 8 FICHAS)</v>
          </cell>
          <cell r="D1462" t="str">
            <v>HANDS</v>
          </cell>
          <cell r="E1462">
            <v>137.93103448275863</v>
          </cell>
          <cell r="F1462">
            <v>160</v>
          </cell>
        </row>
        <row r="1463">
          <cell r="A1463">
            <v>1459</v>
          </cell>
          <cell r="B1463">
            <v>7080</v>
          </cell>
          <cell r="C1463" t="str">
            <v>PASTEL DE FRACCIONES</v>
          </cell>
          <cell r="D1463" t="str">
            <v>HANDS</v>
          </cell>
          <cell r="E1463">
            <v>0</v>
          </cell>
          <cell r="F1463">
            <v>0</v>
          </cell>
        </row>
        <row r="1464">
          <cell r="A1464">
            <v>1460</v>
          </cell>
          <cell r="B1464">
            <v>7081</v>
          </cell>
          <cell r="C1464" t="str">
            <v>DADOS DE NUMEROS CON 6 PZAS</v>
          </cell>
          <cell r="D1464" t="str">
            <v>HANDS</v>
          </cell>
          <cell r="E1464">
            <v>31.03448275862069</v>
          </cell>
          <cell r="F1464">
            <v>36</v>
          </cell>
        </row>
        <row r="1465">
          <cell r="A1465">
            <v>1461</v>
          </cell>
          <cell r="B1465">
            <v>7082</v>
          </cell>
          <cell r="C1465" t="str">
            <v>DADOS DE SIGNOS CON 6 PZAS</v>
          </cell>
          <cell r="D1465" t="str">
            <v>HANDS</v>
          </cell>
          <cell r="E1465">
            <v>31.03448275862069</v>
          </cell>
          <cell r="F1465">
            <v>36</v>
          </cell>
        </row>
        <row r="1466">
          <cell r="A1466">
            <v>1462</v>
          </cell>
          <cell r="B1466">
            <v>7084</v>
          </cell>
          <cell r="C1466" t="str">
            <v>SELLOS MINI 50 PZAS (NUMEROS, LETRAS,SIGNOS Y</v>
          </cell>
          <cell r="D1466" t="str">
            <v>HANDS</v>
          </cell>
          <cell r="E1466">
            <v>73.275862068965523</v>
          </cell>
          <cell r="F1466">
            <v>85</v>
          </cell>
        </row>
        <row r="1467">
          <cell r="A1467">
            <v>1463</v>
          </cell>
          <cell r="B1467">
            <v>7085</v>
          </cell>
          <cell r="C1467" t="str">
            <v>SELLOS DE 6X6 ANIMALES</v>
          </cell>
          <cell r="D1467" t="str">
            <v>HANDS</v>
          </cell>
          <cell r="E1467">
            <v>51.724137931034484</v>
          </cell>
          <cell r="F1467">
            <v>60</v>
          </cell>
        </row>
        <row r="1468">
          <cell r="A1468">
            <v>1464</v>
          </cell>
          <cell r="B1468" t="str">
            <v xml:space="preserve">7501991806549   </v>
          </cell>
          <cell r="C1468" t="str">
            <v xml:space="preserve">BOTE OSO PLOMERO 24Pz                   </v>
          </cell>
          <cell r="D1468" t="str">
            <v xml:space="preserve">IPE  </v>
          </cell>
          <cell r="E1468">
            <v>117.15</v>
          </cell>
          <cell r="F1468">
            <v>135.89400000000001</v>
          </cell>
        </row>
        <row r="1469">
          <cell r="A1469">
            <v>1465</v>
          </cell>
          <cell r="B1469" t="str">
            <v xml:space="preserve">7501991806556   </v>
          </cell>
          <cell r="C1469" t="str">
            <v xml:space="preserve">BOTE OSO FORMA CIRCULOS 16Pz            </v>
          </cell>
          <cell r="D1469" t="str">
            <v xml:space="preserve">IPE  </v>
          </cell>
          <cell r="E1469">
            <v>117.15</v>
          </cell>
          <cell r="F1469">
            <v>135.89400000000001</v>
          </cell>
        </row>
        <row r="1470">
          <cell r="A1470">
            <v>1466</v>
          </cell>
          <cell r="B1470" t="str">
            <v xml:space="preserve">7501991806563   </v>
          </cell>
          <cell r="C1470" t="str">
            <v xml:space="preserve">BOTE OSO CONEJO JR 15 Pz                </v>
          </cell>
          <cell r="D1470" t="str">
            <v xml:space="preserve">IPE  </v>
          </cell>
          <cell r="E1470">
            <v>117.15</v>
          </cell>
          <cell r="F1470">
            <v>135.89400000000001</v>
          </cell>
        </row>
        <row r="1471">
          <cell r="A1471">
            <v>1467</v>
          </cell>
          <cell r="B1471" t="str">
            <v xml:space="preserve">7501991806587   </v>
          </cell>
          <cell r="C1471" t="str">
            <v xml:space="preserve">BOTE OSO BOTON DE FORMAS 22 PZAS        </v>
          </cell>
          <cell r="D1471" t="str">
            <v xml:space="preserve">IPE  </v>
          </cell>
          <cell r="E1471">
            <v>117.15</v>
          </cell>
          <cell r="F1471">
            <v>135.89400000000001</v>
          </cell>
        </row>
        <row r="1472">
          <cell r="A1472">
            <v>1468</v>
          </cell>
          <cell r="B1472" t="str">
            <v xml:space="preserve">7501991806600   </v>
          </cell>
          <cell r="C1472" t="str">
            <v xml:space="preserve">BOTE OSO MECANO BLOQUES 18Pz            </v>
          </cell>
          <cell r="D1472" t="str">
            <v xml:space="preserve">IPE  </v>
          </cell>
          <cell r="E1472">
            <v>117.15</v>
          </cell>
          <cell r="F1472">
            <v>135.89400000000001</v>
          </cell>
        </row>
        <row r="1473">
          <cell r="A1473">
            <v>1469</v>
          </cell>
          <cell r="B1473" t="str">
            <v xml:space="preserve">7501991806617   </v>
          </cell>
          <cell r="C1473" t="str">
            <v xml:space="preserve">BOTE OSO GRANJERO 14Pz                  </v>
          </cell>
          <cell r="D1473" t="str">
            <v xml:space="preserve">IPE  </v>
          </cell>
          <cell r="E1473">
            <v>117.15</v>
          </cell>
          <cell r="F1473">
            <v>135.89400000000001</v>
          </cell>
        </row>
        <row r="1474">
          <cell r="A1474">
            <v>1470</v>
          </cell>
          <cell r="B1474" t="str">
            <v xml:space="preserve">7501991806624   </v>
          </cell>
          <cell r="C1474" t="str">
            <v xml:space="preserve">BOTE OSO CEPILLO 60Pz                   </v>
          </cell>
          <cell r="D1474" t="str">
            <v xml:space="preserve">IPE  </v>
          </cell>
          <cell r="E1474">
            <v>117.15</v>
          </cell>
          <cell r="F1474">
            <v>135.89400000000001</v>
          </cell>
        </row>
        <row r="1475">
          <cell r="A1475">
            <v>1471</v>
          </cell>
          <cell r="B1475" t="str">
            <v xml:space="preserve">7501991806631   </v>
          </cell>
          <cell r="C1475" t="str">
            <v xml:space="preserve">BOTE OSO HERRADURA 17Pz                 </v>
          </cell>
          <cell r="D1475" t="str">
            <v xml:space="preserve">IPE  </v>
          </cell>
          <cell r="E1475">
            <v>117.15</v>
          </cell>
          <cell r="F1475">
            <v>135.89400000000001</v>
          </cell>
        </row>
        <row r="1476">
          <cell r="A1476">
            <v>1472</v>
          </cell>
          <cell r="B1476" t="str">
            <v xml:space="preserve">7501991806655   </v>
          </cell>
          <cell r="C1476" t="str">
            <v xml:space="preserve">BOTE OSO TORNILLOS Y TUERCAS 24Pz       </v>
          </cell>
          <cell r="D1476" t="str">
            <v xml:space="preserve">IPE  </v>
          </cell>
          <cell r="E1476">
            <v>117.15</v>
          </cell>
          <cell r="F1476">
            <v>135.89400000000001</v>
          </cell>
        </row>
        <row r="1477">
          <cell r="A1477">
            <v>1473</v>
          </cell>
          <cell r="B1477" t="str">
            <v xml:space="preserve">7501991806662   </v>
          </cell>
          <cell r="C1477" t="str">
            <v xml:space="preserve">BOTE OSO FAROLITOS 24Pz                 </v>
          </cell>
          <cell r="D1477" t="str">
            <v xml:space="preserve">IPE  </v>
          </cell>
          <cell r="E1477">
            <v>117.15</v>
          </cell>
          <cell r="F1477">
            <v>135.89400000000001</v>
          </cell>
        </row>
        <row r="1478">
          <cell r="A1478">
            <v>1474</v>
          </cell>
          <cell r="B1478" t="str">
            <v xml:space="preserve">7501991806679   </v>
          </cell>
          <cell r="C1478" t="str">
            <v xml:space="preserve">BOTE OSO FLOR IMPERIAL 12Pz             </v>
          </cell>
          <cell r="D1478" t="str">
            <v xml:space="preserve">IPE  </v>
          </cell>
          <cell r="E1478">
            <v>117.15</v>
          </cell>
          <cell r="F1478">
            <v>135.89400000000001</v>
          </cell>
        </row>
        <row r="1479">
          <cell r="A1479">
            <v>1475</v>
          </cell>
          <cell r="B1479" t="str">
            <v xml:space="preserve">7501991806686   </v>
          </cell>
          <cell r="C1479" t="str">
            <v xml:space="preserve">BOTE OSO TORNILLOS Y DESARMA 22Pz       </v>
          </cell>
          <cell r="D1479" t="str">
            <v xml:space="preserve">IPE  </v>
          </cell>
          <cell r="E1479">
            <v>117.15</v>
          </cell>
          <cell r="F1479">
            <v>135.89400000000001</v>
          </cell>
        </row>
        <row r="1480">
          <cell r="A1480">
            <v>1476</v>
          </cell>
          <cell r="B1480" t="str">
            <v xml:space="preserve">7501991806693   </v>
          </cell>
          <cell r="C1480" t="str">
            <v xml:space="preserve">BOTE OSO MINI ESTRELLA 25Pz             </v>
          </cell>
          <cell r="D1480" t="str">
            <v xml:space="preserve">IPE  </v>
          </cell>
          <cell r="E1480">
            <v>117.15</v>
          </cell>
          <cell r="F1480">
            <v>135.89400000000001</v>
          </cell>
        </row>
        <row r="1481">
          <cell r="A1481">
            <v>1477</v>
          </cell>
          <cell r="B1481" t="str">
            <v xml:space="preserve">7501991806709   </v>
          </cell>
          <cell r="C1481" t="str">
            <v xml:space="preserve">BOTE OSO MEGABLOCK 14Pz                 </v>
          </cell>
          <cell r="D1481" t="str">
            <v xml:space="preserve">IPE  </v>
          </cell>
          <cell r="E1481">
            <v>117.15</v>
          </cell>
          <cell r="F1481">
            <v>135.89400000000001</v>
          </cell>
        </row>
        <row r="1482">
          <cell r="A1482">
            <v>1478</v>
          </cell>
          <cell r="B1482" t="str">
            <v xml:space="preserve">7501991820446   </v>
          </cell>
          <cell r="C1482" t="str">
            <v xml:space="preserve">H46 CHAROLA SOLA 1Pz                    </v>
          </cell>
          <cell r="D1482" t="str">
            <v xml:space="preserve">IPE  </v>
          </cell>
          <cell r="E1482">
            <v>36.299999999999997</v>
          </cell>
          <cell r="F1482">
            <v>42.107999999999997</v>
          </cell>
        </row>
        <row r="1483">
          <cell r="A1483">
            <v>1479</v>
          </cell>
          <cell r="B1483" t="str">
            <v xml:space="preserve">7501991823539   </v>
          </cell>
          <cell r="C1483" t="str">
            <v xml:space="preserve">BOTE OSO FORMA PELOTAS 27Pz (B016)      </v>
          </cell>
          <cell r="D1483" t="str">
            <v xml:space="preserve">IPE  </v>
          </cell>
          <cell r="E1483">
            <v>117.15</v>
          </cell>
          <cell r="F1483">
            <v>135.89400000000001</v>
          </cell>
        </row>
        <row r="1484">
          <cell r="A1484">
            <v>1480</v>
          </cell>
          <cell r="B1484" t="str">
            <v xml:space="preserve">7501991823546   </v>
          </cell>
          <cell r="C1484" t="str">
            <v xml:space="preserve">BOTE OSO PESCA CONECTABLE 12Pz (B017)   </v>
          </cell>
          <cell r="D1484" t="str">
            <v xml:space="preserve">IPE  </v>
          </cell>
          <cell r="E1484">
            <v>117.15</v>
          </cell>
          <cell r="F1484">
            <v>135.89400000000001</v>
          </cell>
        </row>
        <row r="1485">
          <cell r="A1485">
            <v>1481</v>
          </cell>
          <cell r="B1485" t="str">
            <v xml:space="preserve">7501991834009   </v>
          </cell>
          <cell r="C1485" t="str">
            <v xml:space="preserve">FORMA PELOTAS EN CAJA 63Pz              </v>
          </cell>
          <cell r="D1485" t="str">
            <v xml:space="preserve">IPE  </v>
          </cell>
          <cell r="E1485">
            <v>224.4</v>
          </cell>
          <cell r="F1485">
            <v>260.30399999999997</v>
          </cell>
        </row>
        <row r="1486">
          <cell r="A1486">
            <v>1482</v>
          </cell>
          <cell r="B1486" t="str">
            <v xml:space="preserve">7501991834016   </v>
          </cell>
          <cell r="C1486" t="str">
            <v xml:space="preserve">JUEGO DE PLOMERO EN CAJA 60Pz           </v>
          </cell>
          <cell r="D1486" t="str">
            <v xml:space="preserve">IPE  </v>
          </cell>
          <cell r="E1486">
            <v>224.4</v>
          </cell>
          <cell r="F1486">
            <v>260.30399999999997</v>
          </cell>
        </row>
        <row r="1487">
          <cell r="A1487">
            <v>1483</v>
          </cell>
          <cell r="B1487" t="str">
            <v xml:space="preserve">7501991834023   </v>
          </cell>
          <cell r="C1487" t="str">
            <v xml:space="preserve">ARMANDO EL CONEJO EN CAJA 25Pz          </v>
          </cell>
          <cell r="D1487" t="str">
            <v xml:space="preserve">IPE  </v>
          </cell>
          <cell r="E1487">
            <v>181.5</v>
          </cell>
          <cell r="F1487">
            <v>210.54</v>
          </cell>
        </row>
        <row r="1488">
          <cell r="A1488">
            <v>1484</v>
          </cell>
          <cell r="B1488" t="str">
            <v xml:space="preserve">7501991834030   </v>
          </cell>
          <cell r="C1488" t="str">
            <v xml:space="preserve">ABACO VERTICAL CON UNA BASE             </v>
          </cell>
          <cell r="D1488" t="str">
            <v xml:space="preserve">IPE  </v>
          </cell>
          <cell r="E1488">
            <v>47.024999999999999</v>
          </cell>
          <cell r="F1488">
            <v>54.548999999999992</v>
          </cell>
        </row>
        <row r="1489">
          <cell r="A1489">
            <v>1485</v>
          </cell>
          <cell r="B1489" t="str">
            <v xml:space="preserve">7501991834047   </v>
          </cell>
          <cell r="C1489" t="str">
            <v xml:space="preserve">ABACO VERTICAL CON DOS BASES            </v>
          </cell>
          <cell r="D1489" t="str">
            <v xml:space="preserve">IPE  </v>
          </cell>
          <cell r="E1489">
            <v>59.4</v>
          </cell>
          <cell r="F1489">
            <v>68.903999999999996</v>
          </cell>
        </row>
        <row r="1490">
          <cell r="A1490">
            <v>1486</v>
          </cell>
          <cell r="B1490" t="str">
            <v xml:space="preserve">7501991834054   </v>
          </cell>
          <cell r="C1490" t="str">
            <v xml:space="preserve">ABACO HORIZONTAL GRANDE IPE             </v>
          </cell>
          <cell r="D1490" t="str">
            <v xml:space="preserve">IPE  </v>
          </cell>
          <cell r="E1490">
            <v>70.95</v>
          </cell>
          <cell r="F1490">
            <v>82.301999999999992</v>
          </cell>
        </row>
        <row r="1491">
          <cell r="A1491">
            <v>1487</v>
          </cell>
          <cell r="B1491" t="str">
            <v xml:space="preserve">7501991834061   </v>
          </cell>
          <cell r="C1491" t="str">
            <v xml:space="preserve">BLOQUIS "Y" EN CAJA 22Pz                </v>
          </cell>
          <cell r="D1491" t="str">
            <v xml:space="preserve">IPE  </v>
          </cell>
          <cell r="E1491">
            <v>224.4</v>
          </cell>
          <cell r="F1491">
            <v>260.30399999999997</v>
          </cell>
        </row>
        <row r="1492">
          <cell r="A1492">
            <v>1488</v>
          </cell>
          <cell r="B1492" t="str">
            <v xml:space="preserve">7501991834078   </v>
          </cell>
          <cell r="C1492" t="str">
            <v xml:space="preserve">CEPILLO SURTIDO 60Pz (IPE003) (3022)    </v>
          </cell>
          <cell r="D1492" t="str">
            <v xml:space="preserve">IPE  </v>
          </cell>
          <cell r="E1492">
            <v>99</v>
          </cell>
          <cell r="F1492">
            <v>114.83999999999999</v>
          </cell>
        </row>
        <row r="1493">
          <cell r="A1493">
            <v>1489</v>
          </cell>
          <cell r="B1493" t="str">
            <v xml:space="preserve">7501991834085   </v>
          </cell>
          <cell r="C1493" t="str">
            <v xml:space="preserve">JUEGO DE PATIO CHICO (IPE40)            </v>
          </cell>
          <cell r="D1493" t="str">
            <v xml:space="preserve">IPE  </v>
          </cell>
          <cell r="E1493">
            <v>1815.0000000000002</v>
          </cell>
          <cell r="F1493">
            <v>2105.4</v>
          </cell>
        </row>
        <row r="1494">
          <cell r="A1494">
            <v>1490</v>
          </cell>
          <cell r="B1494" t="str">
            <v xml:space="preserve">7501991834108   </v>
          </cell>
          <cell r="C1494" t="str">
            <v xml:space="preserve">BOTE OSO VACIO (PET)                    </v>
          </cell>
          <cell r="D1494" t="str">
            <v xml:space="preserve">IPE  </v>
          </cell>
          <cell r="E1494">
            <v>24.75</v>
          </cell>
          <cell r="F1494">
            <v>28.709999999999997</v>
          </cell>
        </row>
        <row r="1495">
          <cell r="A1495">
            <v>1491</v>
          </cell>
          <cell r="B1495" t="str">
            <v xml:space="preserve">7501991834115   </v>
          </cell>
          <cell r="C1495" t="str">
            <v xml:space="preserve">BOTON DE FORMAS EN CAJA 60Pz            </v>
          </cell>
          <cell r="D1495" t="str">
            <v xml:space="preserve">IPE  </v>
          </cell>
          <cell r="E1495">
            <v>224.4</v>
          </cell>
          <cell r="F1495">
            <v>260.30399999999997</v>
          </cell>
        </row>
        <row r="1496">
          <cell r="A1496">
            <v>1492</v>
          </cell>
          <cell r="B1496" t="str">
            <v xml:space="preserve">7501991834122   </v>
          </cell>
          <cell r="C1496" t="str">
            <v xml:space="preserve">REGLETAS PLASTICO 298Pz (E146)          </v>
          </cell>
          <cell r="D1496" t="str">
            <v xml:space="preserve">IPE  </v>
          </cell>
          <cell r="E1496">
            <v>237.6</v>
          </cell>
          <cell r="F1496">
            <v>275.61599999999999</v>
          </cell>
        </row>
        <row r="1497">
          <cell r="A1497">
            <v>1493</v>
          </cell>
          <cell r="B1497" t="str">
            <v xml:space="preserve">7501991834146   </v>
          </cell>
          <cell r="C1497" t="str">
            <v xml:space="preserve">IPE05 PANDERO DE PLASTICO EDU-CAR       </v>
          </cell>
          <cell r="D1497" t="str">
            <v xml:space="preserve">IPE  </v>
          </cell>
          <cell r="E1497">
            <v>41.25</v>
          </cell>
          <cell r="F1497">
            <v>47.849999999999994</v>
          </cell>
        </row>
        <row r="1498">
          <cell r="A1498">
            <v>1494</v>
          </cell>
          <cell r="B1498" t="str">
            <v xml:space="preserve">7501991834153   </v>
          </cell>
          <cell r="C1498" t="str">
            <v xml:space="preserve">ABACO GRANDE 5 HILERAS (IPE       )     </v>
          </cell>
          <cell r="D1498" t="str">
            <v xml:space="preserve">IPE  </v>
          </cell>
          <cell r="E1498">
            <v>51.15</v>
          </cell>
          <cell r="F1498">
            <v>59.333999999999996</v>
          </cell>
        </row>
        <row r="1499">
          <cell r="A1499">
            <v>1495</v>
          </cell>
          <cell r="B1499" t="str">
            <v xml:space="preserve">7501991834160   </v>
          </cell>
          <cell r="C1499" t="str">
            <v xml:space="preserve">HERRAMIENTAS EN CAJA 70Pz               </v>
          </cell>
          <cell r="D1499" t="str">
            <v xml:space="preserve">IPE  </v>
          </cell>
          <cell r="E1499">
            <v>224.4</v>
          </cell>
          <cell r="F1499">
            <v>260.30399999999997</v>
          </cell>
        </row>
        <row r="1500">
          <cell r="A1500">
            <v>1496</v>
          </cell>
          <cell r="B1500" t="str">
            <v xml:space="preserve">7501991834177   </v>
          </cell>
          <cell r="C1500" t="str">
            <v xml:space="preserve">TUNEL GUSANO CON CARITA 1Pz (IPE34)     </v>
          </cell>
          <cell r="D1500" t="str">
            <v xml:space="preserve">IPE  </v>
          </cell>
          <cell r="E1500">
            <v>495</v>
          </cell>
          <cell r="F1500">
            <v>574.19999999999993</v>
          </cell>
        </row>
        <row r="1501">
          <cell r="A1501">
            <v>1497</v>
          </cell>
          <cell r="B1501" t="str">
            <v xml:space="preserve">7501991834184   </v>
          </cell>
          <cell r="C1501" t="str">
            <v xml:space="preserve">BOTON GEOMETRICO EN CAJA 60Pz           </v>
          </cell>
          <cell r="D1501" t="str">
            <v xml:space="preserve">IPE  </v>
          </cell>
          <cell r="E1501">
            <v>224.4</v>
          </cell>
          <cell r="F1501">
            <v>260.30399999999997</v>
          </cell>
        </row>
        <row r="1502">
          <cell r="A1502">
            <v>1498</v>
          </cell>
          <cell r="B1502" t="str">
            <v xml:space="preserve">7501991834191   </v>
          </cell>
          <cell r="C1502" t="str">
            <v xml:space="preserve">ESTRELLA DE COLORES EN CAJA 30Pz        </v>
          </cell>
          <cell r="D1502" t="str">
            <v xml:space="preserve">IPE  </v>
          </cell>
          <cell r="E1502">
            <v>224.4</v>
          </cell>
          <cell r="F1502">
            <v>260.30399999999997</v>
          </cell>
        </row>
        <row r="1503">
          <cell r="A1503">
            <v>1499</v>
          </cell>
          <cell r="B1503" t="str">
            <v xml:space="preserve">7501991834207   </v>
          </cell>
          <cell r="C1503" t="str">
            <v xml:space="preserve">FAROLES EN CAJA 60Pz                    </v>
          </cell>
          <cell r="D1503" t="str">
            <v xml:space="preserve">IPE  </v>
          </cell>
          <cell r="E1503">
            <v>224.4</v>
          </cell>
          <cell r="F1503">
            <v>260.30399999999997</v>
          </cell>
        </row>
        <row r="1504">
          <cell r="A1504">
            <v>1500</v>
          </cell>
          <cell r="B1504" t="str">
            <v xml:space="preserve">7501991834214   </v>
          </cell>
          <cell r="C1504" t="str">
            <v xml:space="preserve">SENSODISCOS (IPE32)                     </v>
          </cell>
          <cell r="D1504" t="str">
            <v xml:space="preserve">IPE  </v>
          </cell>
          <cell r="E1504">
            <v>130.35</v>
          </cell>
          <cell r="F1504">
            <v>151.20599999999999</v>
          </cell>
        </row>
        <row r="1505">
          <cell r="A1505">
            <v>1501</v>
          </cell>
          <cell r="B1505" t="str">
            <v xml:space="preserve">7501991834221   </v>
          </cell>
          <cell r="C1505" t="str">
            <v xml:space="preserve">REGLA DE ALUMINIO 4 LINEAS (IPE33)      </v>
          </cell>
          <cell r="D1505" t="str">
            <v xml:space="preserve">IPE  </v>
          </cell>
          <cell r="E1505">
            <v>65.174999999999997</v>
          </cell>
          <cell r="F1505">
            <v>75.602999999999994</v>
          </cell>
        </row>
        <row r="1506">
          <cell r="A1506">
            <v>1502</v>
          </cell>
          <cell r="B1506" t="str">
            <v xml:space="preserve">7501991834238   </v>
          </cell>
          <cell r="C1506" t="str">
            <v xml:space="preserve">HERRAMIENTAS EN CAJA 36Pz               </v>
          </cell>
          <cell r="D1506" t="str">
            <v xml:space="preserve">IPE  </v>
          </cell>
          <cell r="E1506">
            <v>224.4</v>
          </cell>
          <cell r="F1506">
            <v>260.30399999999997</v>
          </cell>
        </row>
        <row r="1507">
          <cell r="A1507">
            <v>1503</v>
          </cell>
          <cell r="B1507" t="str">
            <v xml:space="preserve">7501991834245   </v>
          </cell>
          <cell r="C1507" t="str">
            <v xml:space="preserve">FORMA CIRCULOS EN CAJA 56 Pz            </v>
          </cell>
          <cell r="D1507" t="str">
            <v xml:space="preserve">IPE  </v>
          </cell>
          <cell r="E1507">
            <v>224.4</v>
          </cell>
          <cell r="F1507">
            <v>260.30399999999997</v>
          </cell>
        </row>
        <row r="1508">
          <cell r="A1508">
            <v>1504</v>
          </cell>
          <cell r="B1508" t="str">
            <v xml:space="preserve">7501991834252   </v>
          </cell>
          <cell r="C1508" t="str">
            <v xml:space="preserve">BOLSA DE MOSAICO   144 Pz               </v>
          </cell>
          <cell r="D1508" t="str">
            <v xml:space="preserve">IPE  </v>
          </cell>
          <cell r="E1508">
            <v>113.84999999999998</v>
          </cell>
          <cell r="F1508">
            <v>132.06599999999997</v>
          </cell>
        </row>
        <row r="1509">
          <cell r="A1509">
            <v>1505</v>
          </cell>
          <cell r="B1509" t="str">
            <v xml:space="preserve">7501991834269   </v>
          </cell>
          <cell r="C1509" t="str">
            <v xml:space="preserve">CIRCULOS FRACCIONARIOS 54Pz             </v>
          </cell>
          <cell r="D1509" t="str">
            <v xml:space="preserve">IPE  </v>
          </cell>
          <cell r="E1509">
            <v>70.95</v>
          </cell>
          <cell r="F1509">
            <v>82.301999999999992</v>
          </cell>
        </row>
        <row r="1510">
          <cell r="A1510">
            <v>1506</v>
          </cell>
          <cell r="B1510" t="str">
            <v xml:space="preserve">7501991834276   </v>
          </cell>
          <cell r="C1510" t="str">
            <v xml:space="preserve">FLOR IMPERIAL EN CAJA 35 Pz             </v>
          </cell>
          <cell r="D1510" t="str">
            <v xml:space="preserve">IPE  </v>
          </cell>
          <cell r="E1510">
            <v>224.4</v>
          </cell>
          <cell r="F1510">
            <v>260.30399999999997</v>
          </cell>
        </row>
        <row r="1511">
          <cell r="A1511">
            <v>1507</v>
          </cell>
          <cell r="B1511" t="str">
            <v xml:space="preserve">7501991834283   </v>
          </cell>
          <cell r="C1511" t="str">
            <v xml:space="preserve">H70 JUEGO DE PESCA NUMERICO 24Pz (H70)  </v>
          </cell>
          <cell r="D1511" t="str">
            <v xml:space="preserve">IPE  </v>
          </cell>
          <cell r="E1511">
            <v>424.05</v>
          </cell>
          <cell r="F1511">
            <v>491.89799999999997</v>
          </cell>
        </row>
        <row r="1512">
          <cell r="A1512">
            <v>1508</v>
          </cell>
          <cell r="B1512" t="str">
            <v xml:space="preserve">7501991834290   </v>
          </cell>
          <cell r="C1512" t="str">
            <v xml:space="preserve">PIRACOLOR 7-Juegos 49Pz (H72)           </v>
          </cell>
          <cell r="D1512" t="str">
            <v xml:space="preserve">IPE  </v>
          </cell>
          <cell r="E1512">
            <v>169.95</v>
          </cell>
          <cell r="F1512">
            <v>197.14199999999997</v>
          </cell>
        </row>
        <row r="1513">
          <cell r="A1513">
            <v>1509</v>
          </cell>
          <cell r="B1513" t="str">
            <v xml:space="preserve">7501991834306   </v>
          </cell>
          <cell r="C1513" t="str">
            <v xml:space="preserve">HEXAGONO ISRAELI EN CAJA 35Pz           </v>
          </cell>
          <cell r="D1513" t="str">
            <v xml:space="preserve">IPE  </v>
          </cell>
          <cell r="E1513">
            <v>224.4</v>
          </cell>
          <cell r="F1513">
            <v>260.30399999999997</v>
          </cell>
        </row>
        <row r="1514">
          <cell r="A1514">
            <v>1510</v>
          </cell>
          <cell r="B1514" t="str">
            <v xml:space="preserve">7501991834313   </v>
          </cell>
          <cell r="C1514" t="str">
            <v xml:space="preserve">CURVA MAGICA EN CAJA 35Pz               </v>
          </cell>
          <cell r="D1514" t="str">
            <v xml:space="preserve">IPE  </v>
          </cell>
          <cell r="E1514">
            <v>224.4</v>
          </cell>
          <cell r="F1514">
            <v>260.30399999999997</v>
          </cell>
        </row>
        <row r="1515">
          <cell r="A1515">
            <v>1511</v>
          </cell>
          <cell r="B1515" t="str">
            <v xml:space="preserve">7501991834320   </v>
          </cell>
          <cell r="C1515" t="str">
            <v xml:space="preserve">PAR DE ZANCOS (IPE31)                   </v>
          </cell>
          <cell r="D1515" t="str">
            <v xml:space="preserve">IPE  </v>
          </cell>
          <cell r="E1515">
            <v>49.5</v>
          </cell>
          <cell r="F1515">
            <v>57.419999999999995</v>
          </cell>
        </row>
        <row r="1516">
          <cell r="A1516">
            <v>1512</v>
          </cell>
          <cell r="B1516" t="str">
            <v xml:space="preserve">7501991834337   </v>
          </cell>
          <cell r="C1516" t="str">
            <v xml:space="preserve">CUBIMAX EN CAJA 36Pz                    </v>
          </cell>
          <cell r="D1516" t="str">
            <v xml:space="preserve">IPE  </v>
          </cell>
          <cell r="E1516">
            <v>224.4</v>
          </cell>
          <cell r="F1516">
            <v>260.30399999999997</v>
          </cell>
        </row>
        <row r="1517">
          <cell r="A1517">
            <v>1513</v>
          </cell>
          <cell r="B1517" t="str">
            <v xml:space="preserve">7501991834344   </v>
          </cell>
          <cell r="C1517" t="str">
            <v xml:space="preserve">MOLDE NUEVO BOLSA 90Pz (IPE23)          </v>
          </cell>
          <cell r="D1517" t="str">
            <v xml:space="preserve">IPE  </v>
          </cell>
          <cell r="E1517">
            <v>158.39999999999998</v>
          </cell>
          <cell r="F1517">
            <v>183.74399999999997</v>
          </cell>
        </row>
        <row r="1518">
          <cell r="A1518">
            <v>1514</v>
          </cell>
          <cell r="B1518" t="str">
            <v xml:space="preserve">7501991834351   </v>
          </cell>
          <cell r="C1518" t="str">
            <v xml:space="preserve">PASALISTON CONEJO / BURRO 30Pz (IPE15)  </v>
          </cell>
          <cell r="D1518" t="str">
            <v xml:space="preserve">IPE  </v>
          </cell>
          <cell r="E1518">
            <v>163.34999999999997</v>
          </cell>
          <cell r="F1518">
            <v>189.48599999999996</v>
          </cell>
        </row>
        <row r="1519">
          <cell r="A1519">
            <v>1515</v>
          </cell>
          <cell r="B1519" t="str">
            <v xml:space="preserve">7501991834368   </v>
          </cell>
          <cell r="C1519" t="str">
            <v xml:space="preserve">PASALISTON PANDA 6 AGUJETA 25Pz (IPE17) </v>
          </cell>
          <cell r="D1519" t="str">
            <v xml:space="preserve">IPE  </v>
          </cell>
          <cell r="E1519">
            <v>151.80000000000001</v>
          </cell>
          <cell r="F1519">
            <v>176.08799999999999</v>
          </cell>
        </row>
        <row r="1520">
          <cell r="A1520">
            <v>1516</v>
          </cell>
          <cell r="B1520" t="str">
            <v xml:space="preserve">7501991834382   </v>
          </cell>
          <cell r="C1520" t="str">
            <v xml:space="preserve">ABC DADOS EN CAJA 40Pz                  </v>
          </cell>
          <cell r="D1520" t="str">
            <v xml:space="preserve">IPE  </v>
          </cell>
          <cell r="E1520">
            <v>224.4</v>
          </cell>
          <cell r="F1520">
            <v>260.30399999999997</v>
          </cell>
        </row>
        <row r="1521">
          <cell r="A1521">
            <v>1517</v>
          </cell>
          <cell r="B1521" t="str">
            <v xml:space="preserve">7501991834399   </v>
          </cell>
          <cell r="C1521" t="str">
            <v xml:space="preserve">ABACO CHICO 1Pz CON SERIGRAFIA          </v>
          </cell>
          <cell r="D1521" t="str">
            <v xml:space="preserve">IPE  </v>
          </cell>
          <cell r="E1521">
            <v>59.4</v>
          </cell>
          <cell r="F1521">
            <v>68.903999999999996</v>
          </cell>
        </row>
        <row r="1522">
          <cell r="A1522">
            <v>1518</v>
          </cell>
          <cell r="B1522" t="str">
            <v xml:space="preserve">7501991834405   </v>
          </cell>
          <cell r="C1522" t="str">
            <v xml:space="preserve">BOLSA CON 50 SELLOS                     </v>
          </cell>
          <cell r="D1522" t="str">
            <v xml:space="preserve">IPE  </v>
          </cell>
          <cell r="E1522">
            <v>471.90000000000003</v>
          </cell>
          <cell r="F1522">
            <v>547.404</v>
          </cell>
        </row>
        <row r="1523">
          <cell r="A1523">
            <v>1519</v>
          </cell>
          <cell r="B1523" t="str">
            <v xml:space="preserve">7501991834412   </v>
          </cell>
          <cell r="C1523" t="str">
            <v xml:space="preserve">BASTON  INVIDENTE 1Pz                   </v>
          </cell>
          <cell r="D1523" t="str">
            <v xml:space="preserve">IPE  </v>
          </cell>
          <cell r="E1523">
            <v>306.89999999999998</v>
          </cell>
          <cell r="F1523">
            <v>356.00399999999996</v>
          </cell>
        </row>
        <row r="1524">
          <cell r="A1524">
            <v>1520</v>
          </cell>
          <cell r="B1524" t="str">
            <v xml:space="preserve">7501991834436   </v>
          </cell>
          <cell r="C1524" t="str">
            <v xml:space="preserve">BOLSA LEGO 60Pz                         </v>
          </cell>
          <cell r="D1524" t="str">
            <v xml:space="preserve">IPE  </v>
          </cell>
          <cell r="E1524">
            <v>141.9</v>
          </cell>
          <cell r="F1524">
            <v>164.60399999999998</v>
          </cell>
        </row>
        <row r="1525">
          <cell r="A1525">
            <v>1521</v>
          </cell>
          <cell r="B1525" t="str">
            <v xml:space="preserve">7501991834443   </v>
          </cell>
          <cell r="C1525" t="str">
            <v xml:space="preserve">BOLSA SATELITE 55Pz                     </v>
          </cell>
          <cell r="D1525" t="str">
            <v xml:space="preserve">IPE  </v>
          </cell>
          <cell r="E1525">
            <v>165</v>
          </cell>
          <cell r="F1525">
            <v>191.39999999999998</v>
          </cell>
        </row>
        <row r="1526">
          <cell r="A1526">
            <v>1522</v>
          </cell>
          <cell r="B1526" t="str">
            <v xml:space="preserve">7501991834450   </v>
          </cell>
          <cell r="C1526" t="str">
            <v xml:space="preserve">TUNEL (60x3) mts. 1Pz                   </v>
          </cell>
          <cell r="D1526" t="str">
            <v xml:space="preserve">IPE  </v>
          </cell>
          <cell r="E1526">
            <v>542.84999999999991</v>
          </cell>
          <cell r="F1526">
            <v>629.7059999999999</v>
          </cell>
        </row>
        <row r="1527">
          <cell r="A1527">
            <v>1523</v>
          </cell>
          <cell r="B1527" t="str">
            <v xml:space="preserve">7501991834474   </v>
          </cell>
          <cell r="C1527" t="str">
            <v xml:space="preserve">CORCHOLATAS 400Pz (IPE04, P023, 3038)   </v>
          </cell>
          <cell r="D1527" t="str">
            <v xml:space="preserve">IPE  </v>
          </cell>
          <cell r="E1527">
            <v>127.05</v>
          </cell>
          <cell r="F1527">
            <v>147.37799999999999</v>
          </cell>
        </row>
        <row r="1528">
          <cell r="A1528">
            <v>1524</v>
          </cell>
          <cell r="B1528" t="str">
            <v xml:space="preserve">7501991834481   </v>
          </cell>
          <cell r="C1528" t="str">
            <v xml:space="preserve">MUÑECA ARTICULADA 30Pz (IPE02) (3073)   </v>
          </cell>
          <cell r="D1528" t="str">
            <v xml:space="preserve">IPE  </v>
          </cell>
          <cell r="E1528">
            <v>188.1</v>
          </cell>
          <cell r="F1528">
            <v>218.19599999999997</v>
          </cell>
        </row>
        <row r="1529">
          <cell r="A1529">
            <v>1525</v>
          </cell>
          <cell r="B1529" t="str">
            <v xml:space="preserve">7501991834498   </v>
          </cell>
          <cell r="C1529" t="str">
            <v xml:space="preserve">TANGRAM OVAL 7Pz (IPE19)(3105)          </v>
          </cell>
          <cell r="D1529" t="str">
            <v xml:space="preserve">IPE  </v>
          </cell>
          <cell r="E1529">
            <v>11.549999999999999</v>
          </cell>
          <cell r="F1529">
            <v>13.397999999999998</v>
          </cell>
        </row>
        <row r="1530">
          <cell r="A1530">
            <v>1526</v>
          </cell>
          <cell r="B1530" t="str">
            <v xml:space="preserve">7501991834535   </v>
          </cell>
          <cell r="C1530" t="str">
            <v xml:space="preserve">ANILLOS EDUCAR BOTE 900Pz (IPE24)       </v>
          </cell>
          <cell r="D1530" t="str">
            <v xml:space="preserve">IPE  </v>
          </cell>
          <cell r="E1530">
            <v>232.64999999999998</v>
          </cell>
          <cell r="F1530">
            <v>269.87399999999997</v>
          </cell>
        </row>
        <row r="1531">
          <cell r="A1531">
            <v>1527</v>
          </cell>
          <cell r="B1531" t="str">
            <v xml:space="preserve">7501991834542   </v>
          </cell>
          <cell r="C1531" t="str">
            <v xml:space="preserve">ANILLOS 250Pz (P003)                    </v>
          </cell>
          <cell r="D1531" t="str">
            <v xml:space="preserve">IPE  </v>
          </cell>
          <cell r="E1531">
            <v>64.349999999999994</v>
          </cell>
          <cell r="F1531">
            <v>74.645999999999987</v>
          </cell>
        </row>
        <row r="1532">
          <cell r="A1532">
            <v>1528</v>
          </cell>
          <cell r="B1532" t="str">
            <v xml:space="preserve">7501991834559   </v>
          </cell>
          <cell r="C1532" t="str">
            <v xml:space="preserve">FICHA MATEMATICA 100Pz (P030)           </v>
          </cell>
          <cell r="D1532" t="str">
            <v xml:space="preserve">IPE  </v>
          </cell>
          <cell r="E1532">
            <v>29.7</v>
          </cell>
          <cell r="F1532">
            <v>34.451999999999998</v>
          </cell>
        </row>
        <row r="1533">
          <cell r="A1533">
            <v>1529</v>
          </cell>
          <cell r="B1533" t="str">
            <v xml:space="preserve">7501991834566   </v>
          </cell>
          <cell r="C1533" t="str">
            <v xml:space="preserve">FICHA PERFORADA 100Pz (P031) (IPE20)    </v>
          </cell>
          <cell r="D1533" t="str">
            <v xml:space="preserve">IPE  </v>
          </cell>
          <cell r="E1533">
            <v>29.7</v>
          </cell>
          <cell r="F1533">
            <v>34.451999999999998</v>
          </cell>
        </row>
        <row r="1534">
          <cell r="A1534">
            <v>1530</v>
          </cell>
          <cell r="B1534" t="str">
            <v xml:space="preserve">7501991834573   </v>
          </cell>
          <cell r="C1534" t="str">
            <v xml:space="preserve">GODETE 50Pz 5 COLORES (IPE022)          </v>
          </cell>
          <cell r="D1534" t="str">
            <v xml:space="preserve">IPE  </v>
          </cell>
          <cell r="E1534">
            <v>118.8</v>
          </cell>
          <cell r="F1534">
            <v>137.80799999999999</v>
          </cell>
        </row>
        <row r="1535">
          <cell r="A1535">
            <v>1531</v>
          </cell>
          <cell r="B1535" t="str">
            <v xml:space="preserve">7501991834580   </v>
          </cell>
          <cell r="C1535" t="str">
            <v xml:space="preserve">BOTE FICHA PERFORADA CON 1000PZ (IPE21) </v>
          </cell>
          <cell r="D1535" t="str">
            <v xml:space="preserve">IPE  </v>
          </cell>
          <cell r="E1535">
            <v>232.64999999999998</v>
          </cell>
          <cell r="F1535">
            <v>269.87399999999997</v>
          </cell>
        </row>
        <row r="1536">
          <cell r="A1536">
            <v>1532</v>
          </cell>
          <cell r="B1536" t="str">
            <v xml:space="preserve">7501991834597   </v>
          </cell>
          <cell r="C1536" t="str">
            <v xml:space="preserve">CIUDAD DE ENSAMBLE 64Pz (IPE41)         </v>
          </cell>
          <cell r="D1536" t="str">
            <v xml:space="preserve">IPE  </v>
          </cell>
          <cell r="E1536">
            <v>98.174999999999997</v>
          </cell>
          <cell r="F1536">
            <v>113.88299999999998</v>
          </cell>
        </row>
        <row r="1537">
          <cell r="A1537">
            <v>1533</v>
          </cell>
          <cell r="B1537" t="str">
            <v xml:space="preserve">7501991834603   </v>
          </cell>
          <cell r="C1537" t="str">
            <v xml:space="preserve">MOSAICO GEOMETRICO 72 Pz (IPE42)        </v>
          </cell>
          <cell r="D1537" t="str">
            <v xml:space="preserve">IPE  </v>
          </cell>
          <cell r="E1537">
            <v>28.05</v>
          </cell>
          <cell r="F1537">
            <v>32.537999999999997</v>
          </cell>
        </row>
        <row r="1538">
          <cell r="A1538">
            <v>1534</v>
          </cell>
          <cell r="B1538" t="str">
            <v xml:space="preserve">7501991834610   </v>
          </cell>
          <cell r="C1538" t="str">
            <v xml:space="preserve">SELLOS BILINGÜES ANIMALES 25 Pz (IPE43) </v>
          </cell>
          <cell r="D1538" t="str">
            <v xml:space="preserve">IPE  </v>
          </cell>
          <cell r="E1538">
            <v>117.97500000000001</v>
          </cell>
          <cell r="F1538">
            <v>136.851</v>
          </cell>
        </row>
        <row r="1539">
          <cell r="A1539">
            <v>1535</v>
          </cell>
          <cell r="B1539" t="str">
            <v xml:space="preserve">7501991834627   </v>
          </cell>
          <cell r="C1539" t="str">
            <v>SELLOS BILINGÜES ALIMENTOS 25 Pz (IPE44)</v>
          </cell>
          <cell r="D1539" t="str">
            <v xml:space="preserve">IPE  </v>
          </cell>
          <cell r="E1539">
            <v>117.97500000000001</v>
          </cell>
          <cell r="F1539">
            <v>136.851</v>
          </cell>
        </row>
        <row r="1540">
          <cell r="A1540">
            <v>1536</v>
          </cell>
          <cell r="B1540" t="str">
            <v xml:space="preserve">7501991834634   </v>
          </cell>
          <cell r="C1540" t="str">
            <v xml:space="preserve">SELLOS BILINGÜES HOGAR 25Pz (IPE45)     </v>
          </cell>
          <cell r="D1540" t="str">
            <v xml:space="preserve">IPE  </v>
          </cell>
          <cell r="E1540">
            <v>117.97500000000001</v>
          </cell>
          <cell r="F1540">
            <v>136.851</v>
          </cell>
        </row>
        <row r="1541">
          <cell r="A1541">
            <v>1537</v>
          </cell>
          <cell r="B1541" t="str">
            <v xml:space="preserve">7501991834641   </v>
          </cell>
          <cell r="C1541" t="str">
            <v xml:space="preserve">CADENA DE LETRAS BRAILE 92Pz (IPE46)    </v>
          </cell>
          <cell r="D1541" t="str">
            <v xml:space="preserve">IPE  </v>
          </cell>
          <cell r="E1541">
            <v>54.449999999999989</v>
          </cell>
          <cell r="F1541">
            <v>63.161999999999985</v>
          </cell>
        </row>
        <row r="1542">
          <cell r="A1542">
            <v>1538</v>
          </cell>
          <cell r="B1542" t="str">
            <v xml:space="preserve">7501991836386   </v>
          </cell>
          <cell r="C1542" t="str">
            <v xml:space="preserve">FICHA MATEMATICA 1000Pz (IPE01) (3058)  </v>
          </cell>
          <cell r="D1542" t="str">
            <v xml:space="preserve">IPE  </v>
          </cell>
          <cell r="E1542">
            <v>232.64999999999998</v>
          </cell>
          <cell r="F1542">
            <v>269.87399999999997</v>
          </cell>
        </row>
        <row r="1543">
          <cell r="A1543">
            <v>1539</v>
          </cell>
          <cell r="B1543" t="str">
            <v xml:space="preserve">7501991838205   </v>
          </cell>
          <cell r="C1543" t="str">
            <v xml:space="preserve">BOTE DE ANILLOS 400Pz (IPE25)           </v>
          </cell>
          <cell r="D1543" t="str">
            <v xml:space="preserve">IPE  </v>
          </cell>
          <cell r="E1543">
            <v>100.64999999999999</v>
          </cell>
          <cell r="F1543">
            <v>116.75399999999998</v>
          </cell>
        </row>
        <row r="1544">
          <cell r="A1544">
            <v>1540</v>
          </cell>
          <cell r="B1544" t="str">
            <v xml:space="preserve">9789709591903   </v>
          </cell>
          <cell r="C1544" t="str">
            <v xml:space="preserve">MANUAL PARA EL USO DE LAS REGLETAS (JM) </v>
          </cell>
          <cell r="D1544" t="str">
            <v xml:space="preserve">IPE  </v>
          </cell>
          <cell r="E1544">
            <v>133.65</v>
          </cell>
          <cell r="F1544">
            <v>155.03399999999999</v>
          </cell>
        </row>
        <row r="1545">
          <cell r="A1545">
            <v>1541</v>
          </cell>
          <cell r="B1545" t="str">
            <v xml:space="preserve">7501991818818   </v>
          </cell>
          <cell r="C1545" t="str">
            <v xml:space="preserve">(1041) CORRALITO ENTRENADOR (H255)      </v>
          </cell>
          <cell r="D1545" t="str">
            <v>ITEPS</v>
          </cell>
          <cell r="E1545">
            <v>990</v>
          </cell>
          <cell r="F1545">
            <v>1148.3999999999999</v>
          </cell>
        </row>
        <row r="1546">
          <cell r="A1546">
            <v>1542</v>
          </cell>
          <cell r="B1546" t="str">
            <v xml:space="preserve">7501991818856   </v>
          </cell>
          <cell r="C1546" t="str">
            <v xml:space="preserve">ATREVETE ASER VALIENTE                  </v>
          </cell>
          <cell r="D1546" t="str">
            <v>ITEPS</v>
          </cell>
          <cell r="E1546">
            <v>123.75</v>
          </cell>
          <cell r="F1546">
            <v>143.54999999999998</v>
          </cell>
        </row>
        <row r="1547">
          <cell r="A1547">
            <v>1543</v>
          </cell>
          <cell r="B1547" t="str">
            <v xml:space="preserve">7501991821115   </v>
          </cell>
          <cell r="C1547" t="str">
            <v xml:space="preserve">H120 CUBO MONTESSORI 1Pz (5004)         </v>
          </cell>
          <cell r="D1547" t="str">
            <v>ITEPS</v>
          </cell>
          <cell r="E1547">
            <v>153.44999999999999</v>
          </cell>
          <cell r="F1547">
            <v>178.00199999999998</v>
          </cell>
        </row>
        <row r="1548">
          <cell r="A1548">
            <v>1544</v>
          </cell>
          <cell r="B1548" t="str">
            <v xml:space="preserve">7501991821122   </v>
          </cell>
          <cell r="C1548" t="str">
            <v xml:space="preserve">H122 CASITA MAGICA 1Pz (1005)           </v>
          </cell>
          <cell r="D1548" t="str">
            <v>ITEPS</v>
          </cell>
          <cell r="E1548">
            <v>529.65</v>
          </cell>
          <cell r="F1548">
            <v>614.39399999999989</v>
          </cell>
        </row>
        <row r="1549">
          <cell r="A1549">
            <v>1545</v>
          </cell>
          <cell r="B1549" t="str">
            <v xml:space="preserve">7501991821283   </v>
          </cell>
          <cell r="C1549" t="str">
            <v>H142 DOMINO FRUTAS/VERDURAS/ANIMALES (30</v>
          </cell>
          <cell r="D1549" t="str">
            <v>ITEPS</v>
          </cell>
          <cell r="E1549">
            <v>249.14999999999998</v>
          </cell>
          <cell r="F1549">
            <v>289.01399999999995</v>
          </cell>
        </row>
        <row r="1550">
          <cell r="A1550">
            <v>1546</v>
          </cell>
          <cell r="B1550" t="str">
            <v xml:space="preserve">7501991823195   </v>
          </cell>
          <cell r="C1550" t="str">
            <v xml:space="preserve">H293 RESAQUE PLASTICO PERRO             </v>
          </cell>
          <cell r="D1550" t="str">
            <v>ITEPS</v>
          </cell>
          <cell r="E1550">
            <v>85.799999999999983</v>
          </cell>
          <cell r="F1550">
            <v>99.527999999999977</v>
          </cell>
        </row>
        <row r="1551">
          <cell r="A1551">
            <v>1547</v>
          </cell>
          <cell r="B1551" t="str">
            <v xml:space="preserve">CHACHA          </v>
          </cell>
          <cell r="C1551" t="str">
            <v xml:space="preserve">CHAROLA CHAVELIN SIN TAPA 4 COLORES 1Pz </v>
          </cell>
          <cell r="D1551" t="str">
            <v>ITEPS</v>
          </cell>
          <cell r="E1551">
            <v>16.5</v>
          </cell>
          <cell r="F1551">
            <v>19.139999999999997</v>
          </cell>
        </row>
        <row r="1552">
          <cell r="A1552">
            <v>1548</v>
          </cell>
          <cell r="B1552" t="str">
            <v xml:space="preserve">HIELERA         </v>
          </cell>
          <cell r="C1552" t="str">
            <v xml:space="preserve">CUBETA HIELERA HANDS 1Pz                </v>
          </cell>
          <cell r="D1552" t="str">
            <v>ITEPS</v>
          </cell>
          <cell r="E1552">
            <v>117.15</v>
          </cell>
          <cell r="F1552">
            <v>135.89400000000001</v>
          </cell>
        </row>
        <row r="1553">
          <cell r="A1553">
            <v>1549</v>
          </cell>
          <cell r="B1553" t="str">
            <v xml:space="preserve">7502212384174   </v>
          </cell>
          <cell r="C1553" t="str">
            <v xml:space="preserve">DAMAS INGLESAS (JEF-8417)               </v>
          </cell>
          <cell r="D1553" t="str">
            <v xml:space="preserve">JEF  </v>
          </cell>
          <cell r="E1553">
            <v>198</v>
          </cell>
          <cell r="F1553">
            <v>229.67999999999998</v>
          </cell>
        </row>
        <row r="1554">
          <cell r="A1554">
            <v>1550</v>
          </cell>
          <cell r="B1554" t="str">
            <v xml:space="preserve">7502212384181   </v>
          </cell>
          <cell r="C1554" t="str">
            <v xml:space="preserve">ABALONE (JEF-8418)                      </v>
          </cell>
          <cell r="D1554" t="str">
            <v xml:space="preserve">JEF  </v>
          </cell>
          <cell r="E1554">
            <v>198</v>
          </cell>
          <cell r="F1554">
            <v>229.67999999999998</v>
          </cell>
        </row>
        <row r="1555">
          <cell r="A1555">
            <v>1551</v>
          </cell>
          <cell r="B1555" t="str">
            <v xml:space="preserve">7502212388408   </v>
          </cell>
          <cell r="C1555" t="str">
            <v xml:space="preserve">DAMAS CHINAS (JEF-8408)                 </v>
          </cell>
          <cell r="D1555" t="str">
            <v xml:space="preserve">JEF  </v>
          </cell>
          <cell r="E1555">
            <v>198</v>
          </cell>
          <cell r="F1555">
            <v>229.67999999999998</v>
          </cell>
        </row>
        <row r="1556">
          <cell r="A1556">
            <v>1552</v>
          </cell>
          <cell r="B1556" t="str">
            <v xml:space="preserve">7501991833002   </v>
          </cell>
          <cell r="C1556" t="str">
            <v xml:space="preserve">BEBE MEDIANO SEXUADO NIÑA               </v>
          </cell>
          <cell r="D1556" t="str">
            <v xml:space="preserve">JML  </v>
          </cell>
          <cell r="E1556">
            <v>178.2</v>
          </cell>
          <cell r="F1556">
            <v>206.71199999999996</v>
          </cell>
        </row>
        <row r="1557">
          <cell r="A1557">
            <v>1553</v>
          </cell>
          <cell r="B1557" t="str">
            <v xml:space="preserve">7501991833019   </v>
          </cell>
          <cell r="C1557" t="str">
            <v xml:space="preserve">BEBE MEDIANO SEXUADO NIÑO               </v>
          </cell>
          <cell r="D1557" t="str">
            <v xml:space="preserve">JML  </v>
          </cell>
          <cell r="E1557">
            <v>178.2</v>
          </cell>
          <cell r="F1557">
            <v>206.71199999999996</v>
          </cell>
        </row>
        <row r="1558">
          <cell r="A1558">
            <v>1554</v>
          </cell>
          <cell r="B1558" t="str">
            <v xml:space="preserve">7501046099384   </v>
          </cell>
          <cell r="C1558" t="str">
            <v xml:space="preserve">ESTUCHE C/6 BARRAS DE MAQUILLAJE (190)  </v>
          </cell>
          <cell r="D1558" t="str">
            <v xml:space="preserve">JOVI </v>
          </cell>
          <cell r="E1558">
            <v>85.799999999999983</v>
          </cell>
          <cell r="F1558">
            <v>99.527999999999977</v>
          </cell>
        </row>
        <row r="1559">
          <cell r="A1559">
            <v>1555</v>
          </cell>
          <cell r="B1559" t="str">
            <v xml:space="preserve">8412027000017   </v>
          </cell>
          <cell r="C1559" t="str">
            <v xml:space="preserve">LAPIZ-HITO MINI COLORES 6Pz (959/6)     </v>
          </cell>
          <cell r="D1559" t="str">
            <v xml:space="preserve">JOVI </v>
          </cell>
          <cell r="E1559">
            <v>9.0749999999999993</v>
          </cell>
          <cell r="F1559">
            <v>10.526999999999999</v>
          </cell>
        </row>
        <row r="1560">
          <cell r="A1560">
            <v>1556</v>
          </cell>
          <cell r="B1560" t="str">
            <v xml:space="preserve">8412027000024   </v>
          </cell>
          <cell r="C1560" t="str">
            <v xml:space="preserve">LAPIZ-HITO MINI COLORES 12Pz (959/12)   </v>
          </cell>
          <cell r="D1560" t="str">
            <v xml:space="preserve">JOVI </v>
          </cell>
          <cell r="E1560">
            <v>16.5</v>
          </cell>
          <cell r="F1560">
            <v>19.139999999999997</v>
          </cell>
        </row>
        <row r="1561">
          <cell r="A1561">
            <v>1557</v>
          </cell>
          <cell r="B1561" t="str">
            <v xml:space="preserve">8412027000031   </v>
          </cell>
          <cell r="C1561" t="str">
            <v xml:space="preserve">PASTA BLANDA CON 3 BOTES (403)          </v>
          </cell>
          <cell r="D1561" t="str">
            <v xml:space="preserve">JOVI </v>
          </cell>
          <cell r="E1561">
            <v>53.624999999999993</v>
          </cell>
          <cell r="F1561">
            <v>62.204999999999991</v>
          </cell>
        </row>
        <row r="1562">
          <cell r="A1562">
            <v>1558</v>
          </cell>
          <cell r="B1562" t="str">
            <v xml:space="preserve">8412027000239   </v>
          </cell>
          <cell r="C1562" t="str">
            <v xml:space="preserve">CRAYONES HEXAGONAL 12Pz (912)           </v>
          </cell>
          <cell r="D1562" t="str">
            <v xml:space="preserve">JOVI </v>
          </cell>
          <cell r="E1562">
            <v>23.099999999999998</v>
          </cell>
          <cell r="F1562">
            <v>26.795999999999996</v>
          </cell>
        </row>
        <row r="1563">
          <cell r="A1563">
            <v>1559</v>
          </cell>
          <cell r="B1563" t="str">
            <v xml:space="preserve">8412027000253   </v>
          </cell>
          <cell r="C1563" t="str">
            <v xml:space="preserve">PASTA P/MOLDEAR TERRACOTTA 500gr (88)   </v>
          </cell>
          <cell r="D1563" t="str">
            <v xml:space="preserve">JOVI </v>
          </cell>
          <cell r="E1563">
            <v>30.524999999999995</v>
          </cell>
          <cell r="F1563">
            <v>35.408999999999992</v>
          </cell>
        </row>
        <row r="1564">
          <cell r="A1564">
            <v>1560</v>
          </cell>
          <cell r="B1564" t="str">
            <v xml:space="preserve">8412027000260   </v>
          </cell>
          <cell r="C1564" t="str">
            <v xml:space="preserve">CRAYONES HEXAGONAL CON 24 (924)         </v>
          </cell>
          <cell r="D1564" t="str">
            <v xml:space="preserve">JOVI </v>
          </cell>
          <cell r="E1564">
            <v>45.375</v>
          </cell>
          <cell r="F1564">
            <v>52.634999999999998</v>
          </cell>
        </row>
        <row r="1565">
          <cell r="A1565">
            <v>1561</v>
          </cell>
          <cell r="B1565" t="str">
            <v xml:space="preserve">8412027000413   </v>
          </cell>
          <cell r="C1565" t="str">
            <v xml:space="preserve">CRAYONES JOVICOLOR CAJA 6Pz (980/6)     </v>
          </cell>
          <cell r="D1565" t="str">
            <v xml:space="preserve">JOVI </v>
          </cell>
          <cell r="E1565">
            <v>18.149999999999999</v>
          </cell>
          <cell r="F1565">
            <v>21.053999999999998</v>
          </cell>
        </row>
        <row r="1566">
          <cell r="A1566">
            <v>1562</v>
          </cell>
          <cell r="B1566" t="str">
            <v xml:space="preserve">8412027000420   </v>
          </cell>
          <cell r="C1566" t="str">
            <v xml:space="preserve">CRAYONES JOVICOLOR CAJA 12Pz (980/12)   </v>
          </cell>
          <cell r="D1566" t="str">
            <v xml:space="preserve">JOVI </v>
          </cell>
          <cell r="E1566">
            <v>38.774999999999999</v>
          </cell>
          <cell r="F1566">
            <v>44.978999999999992</v>
          </cell>
        </row>
        <row r="1567">
          <cell r="A1567">
            <v>1563</v>
          </cell>
          <cell r="B1567" t="str">
            <v xml:space="preserve">8412027000437   </v>
          </cell>
          <cell r="C1567" t="str">
            <v xml:space="preserve">CRAYONES JOVICOLOR 18Pz (980/18)        </v>
          </cell>
          <cell r="D1567" t="str">
            <v xml:space="preserve">JOVI </v>
          </cell>
          <cell r="E1567">
            <v>54.449999999999989</v>
          </cell>
          <cell r="F1567">
            <v>63.161999999999985</v>
          </cell>
        </row>
        <row r="1568">
          <cell r="A1568">
            <v>1564</v>
          </cell>
          <cell r="B1568" t="str">
            <v xml:space="preserve">8412027000512   </v>
          </cell>
          <cell r="C1568" t="str">
            <v xml:space="preserve">ACUARELAS ESTUCHE 6Pz (800/6)           </v>
          </cell>
          <cell r="D1568" t="str">
            <v xml:space="preserve">JOVI </v>
          </cell>
          <cell r="E1568">
            <v>23.099999999999998</v>
          </cell>
          <cell r="F1568">
            <v>26.795999999999996</v>
          </cell>
        </row>
        <row r="1569">
          <cell r="A1569">
            <v>1565</v>
          </cell>
          <cell r="B1569" t="str">
            <v xml:space="preserve">8412027000529   </v>
          </cell>
          <cell r="C1569" t="str">
            <v xml:space="preserve">ACUARELAS ESTUCHE 12Pz (800/12)         </v>
          </cell>
          <cell r="D1569" t="str">
            <v xml:space="preserve">JOVI </v>
          </cell>
          <cell r="E1569">
            <v>32.174999999999997</v>
          </cell>
          <cell r="F1569">
            <v>37.322999999999993</v>
          </cell>
        </row>
        <row r="1570">
          <cell r="A1570">
            <v>1566</v>
          </cell>
          <cell r="B1570" t="str">
            <v xml:space="preserve">8412027000536   </v>
          </cell>
          <cell r="C1570" t="str">
            <v xml:space="preserve">ACUARELAS ESTUCHE 18Pz (800/18)         </v>
          </cell>
          <cell r="D1570" t="str">
            <v xml:space="preserve">JOVI </v>
          </cell>
          <cell r="E1570">
            <v>42.899999999999991</v>
          </cell>
          <cell r="F1570">
            <v>49.763999999999989</v>
          </cell>
        </row>
        <row r="1571">
          <cell r="A1571">
            <v>1567</v>
          </cell>
          <cell r="B1571" t="str">
            <v xml:space="preserve">8412027000543   </v>
          </cell>
          <cell r="C1571" t="str">
            <v xml:space="preserve">ACUARELAS ESTUCHE 24Pz (800/24)         </v>
          </cell>
          <cell r="D1571" t="str">
            <v xml:space="preserve">JOVI </v>
          </cell>
          <cell r="E1571">
            <v>56.1</v>
          </cell>
          <cell r="F1571">
            <v>65.075999999999993</v>
          </cell>
        </row>
        <row r="1572">
          <cell r="A1572">
            <v>1568</v>
          </cell>
          <cell r="B1572" t="str">
            <v xml:space="preserve">8412027000550   </v>
          </cell>
          <cell r="C1572" t="str">
            <v xml:space="preserve">PASTILLA DE PASTA TERRACOTA 1000gr (89) </v>
          </cell>
          <cell r="D1572" t="str">
            <v xml:space="preserve">JOVI </v>
          </cell>
          <cell r="E1572">
            <v>57.749999999999986</v>
          </cell>
          <cell r="F1572">
            <v>66.989999999999981</v>
          </cell>
        </row>
        <row r="1573">
          <cell r="A1573">
            <v>1569</v>
          </cell>
          <cell r="B1573" t="str">
            <v xml:space="preserve">8412027000567   </v>
          </cell>
          <cell r="C1573" t="str">
            <v xml:space="preserve">PASTILLONES (807)                       </v>
          </cell>
          <cell r="D1573" t="str">
            <v xml:space="preserve">JOVI </v>
          </cell>
          <cell r="E1573">
            <v>20.625</v>
          </cell>
          <cell r="F1573">
            <v>23.924999999999997</v>
          </cell>
        </row>
        <row r="1574">
          <cell r="A1574">
            <v>1570</v>
          </cell>
          <cell r="B1574" t="str">
            <v xml:space="preserve">8412027000628   </v>
          </cell>
          <cell r="C1574" t="str">
            <v xml:space="preserve">CAJA TEMPERA 5 BOTES (505)              </v>
          </cell>
          <cell r="D1574" t="str">
            <v xml:space="preserve">JOVI </v>
          </cell>
          <cell r="E1574">
            <v>64.349999999999994</v>
          </cell>
          <cell r="F1574">
            <v>74.645999999999987</v>
          </cell>
        </row>
        <row r="1575">
          <cell r="A1575">
            <v>1571</v>
          </cell>
          <cell r="B1575" t="str">
            <v xml:space="preserve">8412027000925   </v>
          </cell>
          <cell r="C1575" t="str">
            <v xml:space="preserve">CUBETA PASTA BLANDA PARA JUGAR (444)    </v>
          </cell>
          <cell r="D1575" t="str">
            <v xml:space="preserve">JOVI </v>
          </cell>
          <cell r="E1575">
            <v>102.3</v>
          </cell>
          <cell r="F1575">
            <v>118.66799999999999</v>
          </cell>
        </row>
        <row r="1576">
          <cell r="A1576">
            <v>1572</v>
          </cell>
          <cell r="B1576" t="str">
            <v xml:space="preserve">8412027001007   </v>
          </cell>
          <cell r="C1576" t="str">
            <v xml:space="preserve">BLISTER 6 MOLDES + 1 RODILLO (155)      </v>
          </cell>
          <cell r="D1576" t="str">
            <v xml:space="preserve">JOVI </v>
          </cell>
          <cell r="E1576">
            <v>70.124999999999986</v>
          </cell>
          <cell r="F1576">
            <v>81.344999999999985</v>
          </cell>
        </row>
        <row r="1577">
          <cell r="A1577">
            <v>1573</v>
          </cell>
          <cell r="B1577" t="str">
            <v xml:space="preserve">8412027001076   </v>
          </cell>
          <cell r="C1577" t="str">
            <v xml:space="preserve">ESPATULAS PARA MOLDEAR 5Pz. (5)         </v>
          </cell>
          <cell r="D1577" t="str">
            <v xml:space="preserve">JOVI </v>
          </cell>
          <cell r="E1577">
            <v>28.05</v>
          </cell>
          <cell r="F1577">
            <v>32.537999999999997</v>
          </cell>
        </row>
        <row r="1578">
          <cell r="A1578">
            <v>1574</v>
          </cell>
          <cell r="B1578" t="str">
            <v xml:space="preserve">8412027001267   </v>
          </cell>
          <cell r="C1578" t="str">
            <v xml:space="preserve">PASTILLA PASTA P/MOLDEAR 500grs. BCO 85 </v>
          </cell>
          <cell r="D1578" t="str">
            <v xml:space="preserve">JOVI </v>
          </cell>
          <cell r="E1578">
            <v>29.7</v>
          </cell>
          <cell r="F1578">
            <v>34.451999999999998</v>
          </cell>
        </row>
        <row r="1579">
          <cell r="A1579">
            <v>1575</v>
          </cell>
          <cell r="B1579" t="str">
            <v xml:space="preserve">8412027001274   </v>
          </cell>
          <cell r="C1579" t="str">
            <v xml:space="preserve">CAJA CON 5 BARRAS DE MAQUILLAJE (175)   </v>
          </cell>
          <cell r="D1579" t="str">
            <v xml:space="preserve">JOVI </v>
          </cell>
          <cell r="E1579">
            <v>31.35</v>
          </cell>
          <cell r="F1579">
            <v>36.366</v>
          </cell>
        </row>
        <row r="1580">
          <cell r="A1580">
            <v>1576</v>
          </cell>
          <cell r="B1580" t="str">
            <v xml:space="preserve">8412027001281   </v>
          </cell>
          <cell r="C1580" t="str">
            <v xml:space="preserve">BARRAS DE MAQUILLAJE ESTUCHE 10Pz (176) </v>
          </cell>
          <cell r="D1580" t="str">
            <v xml:space="preserve">JOVI </v>
          </cell>
          <cell r="E1580">
            <v>61.875</v>
          </cell>
          <cell r="F1580">
            <v>71.774999999999991</v>
          </cell>
        </row>
        <row r="1581">
          <cell r="A1581">
            <v>1577</v>
          </cell>
          <cell r="B1581" t="str">
            <v xml:space="preserve">8412027001298   </v>
          </cell>
          <cell r="C1581" t="str">
            <v>ESTUCHE CON 6 BARRAS DE MAQUILLAJE (190)</v>
          </cell>
          <cell r="D1581" t="str">
            <v xml:space="preserve">JOVI </v>
          </cell>
          <cell r="E1581">
            <v>85.799999999999983</v>
          </cell>
          <cell r="F1581">
            <v>99.527999999999977</v>
          </cell>
        </row>
        <row r="1582">
          <cell r="A1582">
            <v>1578</v>
          </cell>
          <cell r="B1582" t="str">
            <v xml:space="preserve">8412027001526   </v>
          </cell>
          <cell r="C1582" t="str">
            <v xml:space="preserve">ROTULADORES DELGADOS 12Pz (1612)        </v>
          </cell>
          <cell r="D1582" t="str">
            <v xml:space="preserve">JOVI </v>
          </cell>
          <cell r="E1582">
            <v>29.7</v>
          </cell>
          <cell r="F1582">
            <v>34.451999999999998</v>
          </cell>
        </row>
        <row r="1583">
          <cell r="A1583">
            <v>1579</v>
          </cell>
          <cell r="B1583" t="str">
            <v xml:space="preserve">8412027001533   </v>
          </cell>
          <cell r="C1583" t="str">
            <v xml:space="preserve">PASTILLA BLANCA P/MOLDEAR 1000gr (86)   </v>
          </cell>
          <cell r="D1583" t="str">
            <v xml:space="preserve">JOVI </v>
          </cell>
          <cell r="E1583">
            <v>57.749999999999986</v>
          </cell>
          <cell r="F1583">
            <v>66.989999999999981</v>
          </cell>
        </row>
        <row r="1584">
          <cell r="A1584">
            <v>1580</v>
          </cell>
          <cell r="B1584" t="str">
            <v xml:space="preserve">8412027001540   </v>
          </cell>
          <cell r="C1584" t="str">
            <v xml:space="preserve">JOVI ESTUCHE 24 ROTULADORES (1624)      </v>
          </cell>
          <cell r="D1584" t="str">
            <v xml:space="preserve">JOVI </v>
          </cell>
          <cell r="E1584">
            <v>59.4</v>
          </cell>
          <cell r="F1584">
            <v>68.903999999999996</v>
          </cell>
        </row>
        <row r="1585">
          <cell r="A1585">
            <v>1581</v>
          </cell>
          <cell r="B1585" t="str">
            <v xml:space="preserve">8412027001557   </v>
          </cell>
          <cell r="C1585" t="str">
            <v xml:space="preserve">MAXI ROTULADORES GRUESOS 6Pz (1706)     </v>
          </cell>
          <cell r="D1585" t="str">
            <v xml:space="preserve">JOVI </v>
          </cell>
          <cell r="E1585">
            <v>21.449999999999996</v>
          </cell>
          <cell r="F1585">
            <v>24.881999999999994</v>
          </cell>
        </row>
        <row r="1586">
          <cell r="A1586">
            <v>1582</v>
          </cell>
          <cell r="B1586" t="str">
            <v xml:space="preserve">8412027001564   </v>
          </cell>
          <cell r="C1586" t="str">
            <v xml:space="preserve">MAXI ROTULADORES GRUESOS 12Pz (1712)    </v>
          </cell>
          <cell r="D1586" t="str">
            <v xml:space="preserve">JOVI </v>
          </cell>
          <cell r="E1586">
            <v>42.899999999999991</v>
          </cell>
          <cell r="F1586">
            <v>49.763999999999989</v>
          </cell>
        </row>
        <row r="1587">
          <cell r="A1587">
            <v>1583</v>
          </cell>
          <cell r="B1587" t="str">
            <v xml:space="preserve">8412027002011   </v>
          </cell>
          <cell r="C1587" t="str">
            <v xml:space="preserve">PLASTILINA PAQ. C/6 BARRAS 25gr. (30)   </v>
          </cell>
          <cell r="D1587" t="str">
            <v xml:space="preserve">JOVI </v>
          </cell>
          <cell r="E1587">
            <v>29.7</v>
          </cell>
          <cell r="F1587">
            <v>34.451999999999998</v>
          </cell>
        </row>
        <row r="1588">
          <cell r="A1588">
            <v>1584</v>
          </cell>
          <cell r="B1588" t="str">
            <v xml:space="preserve">8412027002028   </v>
          </cell>
          <cell r="C1588" t="str">
            <v xml:space="preserve">BLISTER PLASTILINA + 2 MOLDES (32)      </v>
          </cell>
          <cell r="D1588" t="str">
            <v xml:space="preserve">JOVI </v>
          </cell>
          <cell r="E1588">
            <v>36.299999999999997</v>
          </cell>
          <cell r="F1588">
            <v>42.107999999999997</v>
          </cell>
        </row>
        <row r="1589">
          <cell r="A1589">
            <v>1585</v>
          </cell>
          <cell r="B1589" t="str">
            <v xml:space="preserve">8412027002035   </v>
          </cell>
          <cell r="C1589" t="str">
            <v xml:space="preserve">PLASTILINA PAQ. C/6 BARRAS 25gr. (33)   </v>
          </cell>
          <cell r="D1589" t="str">
            <v xml:space="preserve">JOVI </v>
          </cell>
          <cell r="E1589">
            <v>31.35</v>
          </cell>
          <cell r="F1589">
            <v>36.366</v>
          </cell>
        </row>
        <row r="1590">
          <cell r="A1590">
            <v>1586</v>
          </cell>
          <cell r="B1590" t="str">
            <v xml:space="preserve">8412027002042   </v>
          </cell>
          <cell r="C1590" t="str">
            <v xml:space="preserve">BLISTER PLASTILINA 3 BARRAS (703)       </v>
          </cell>
          <cell r="D1590" t="str">
            <v xml:space="preserve">JOVI </v>
          </cell>
          <cell r="E1590">
            <v>24.75</v>
          </cell>
          <cell r="F1590">
            <v>28.709999999999997</v>
          </cell>
        </row>
        <row r="1591">
          <cell r="A1591">
            <v>1587</v>
          </cell>
          <cell r="B1591" t="str">
            <v xml:space="preserve">8412027002080   </v>
          </cell>
          <cell r="C1591" t="str">
            <v xml:space="preserve">ACCESORIOS PARA MOLDEAR (7/6R)          </v>
          </cell>
          <cell r="D1591" t="str">
            <v xml:space="preserve">JOVI </v>
          </cell>
          <cell r="E1591">
            <v>38.774999999999999</v>
          </cell>
          <cell r="F1591">
            <v>44.978999999999992</v>
          </cell>
        </row>
        <row r="1592">
          <cell r="A1592">
            <v>1588</v>
          </cell>
          <cell r="B1592" t="str">
            <v xml:space="preserve">8412027002158   </v>
          </cell>
          <cell r="C1592" t="str">
            <v xml:space="preserve">BLISTER 8 BARRAS PLASTILINA (28)        </v>
          </cell>
          <cell r="D1592" t="str">
            <v xml:space="preserve">JOVI </v>
          </cell>
          <cell r="E1592">
            <v>29.7</v>
          </cell>
          <cell r="F1592">
            <v>34.451999999999998</v>
          </cell>
        </row>
        <row r="1593">
          <cell r="A1593">
            <v>1589</v>
          </cell>
          <cell r="B1593" t="str">
            <v xml:space="preserve">8412027002165   </v>
          </cell>
          <cell r="C1593" t="str">
            <v xml:space="preserve">BLISTER PLASTILINA 8 BARRAS (28F)       </v>
          </cell>
          <cell r="D1593" t="str">
            <v xml:space="preserve">JOVI </v>
          </cell>
          <cell r="E1593">
            <v>30.524999999999995</v>
          </cell>
          <cell r="F1593">
            <v>35.408999999999992</v>
          </cell>
        </row>
        <row r="1594">
          <cell r="A1594">
            <v>1590</v>
          </cell>
          <cell r="B1594" t="str">
            <v xml:space="preserve">8412027002202   </v>
          </cell>
          <cell r="C1594" t="str">
            <v xml:space="preserve">PINTURA DEDOS CON 5 BOTES (530)         </v>
          </cell>
          <cell r="D1594" t="str">
            <v xml:space="preserve">JOVI </v>
          </cell>
          <cell r="E1594">
            <v>39.599999999999994</v>
          </cell>
          <cell r="F1594">
            <v>45.935999999999993</v>
          </cell>
        </row>
        <row r="1595">
          <cell r="A1595">
            <v>1591</v>
          </cell>
          <cell r="B1595" t="str">
            <v xml:space="preserve">8412027002301   </v>
          </cell>
          <cell r="C1595" t="str">
            <v xml:space="preserve">ACUARELAS ESTUCHE 12Pz (830/12)         </v>
          </cell>
          <cell r="D1595" t="str">
            <v xml:space="preserve">JOVI </v>
          </cell>
          <cell r="E1595">
            <v>33</v>
          </cell>
          <cell r="F1595">
            <v>38.279999999999994</v>
          </cell>
        </row>
        <row r="1596">
          <cell r="A1596">
            <v>1592</v>
          </cell>
          <cell r="B1596" t="str">
            <v xml:space="preserve">8412027002318   </v>
          </cell>
          <cell r="C1596" t="str">
            <v xml:space="preserve">CAJA ACUARELAS 22 PASTILLAS (830/22)    </v>
          </cell>
          <cell r="D1596" t="str">
            <v xml:space="preserve">JOVI </v>
          </cell>
          <cell r="E1596">
            <v>67.649999999999991</v>
          </cell>
          <cell r="F1596">
            <v>78.47399999999999</v>
          </cell>
        </row>
        <row r="1597">
          <cell r="A1597">
            <v>1593</v>
          </cell>
          <cell r="B1597" t="str">
            <v xml:space="preserve">8412027002356   </v>
          </cell>
          <cell r="C1597" t="str">
            <v xml:space="preserve">CUBETA 6 BARRAS PLASTILINA/ACCE. (14)   </v>
          </cell>
          <cell r="D1597" t="str">
            <v xml:space="preserve">JOVI </v>
          </cell>
          <cell r="E1597">
            <v>102.3</v>
          </cell>
          <cell r="F1597">
            <v>118.66799999999999</v>
          </cell>
        </row>
        <row r="1598">
          <cell r="A1598">
            <v>1594</v>
          </cell>
          <cell r="B1598" t="str">
            <v xml:space="preserve">8412027002363   </v>
          </cell>
          <cell r="C1598" t="str">
            <v xml:space="preserve">BOTE DE CRAYOLAS C/SACAPUNTAS (980/16)  </v>
          </cell>
          <cell r="D1598" t="str">
            <v xml:space="preserve">JOVI </v>
          </cell>
          <cell r="E1598">
            <v>46.199999999999996</v>
          </cell>
          <cell r="F1598">
            <v>53.591999999999992</v>
          </cell>
        </row>
        <row r="1599">
          <cell r="A1599">
            <v>1595</v>
          </cell>
          <cell r="B1599" t="str">
            <v xml:space="preserve">8412027003087   </v>
          </cell>
          <cell r="C1599" t="str">
            <v>PASTA BLANDA FLUORESCENTE C/3 BOTES 403F</v>
          </cell>
          <cell r="D1599" t="str">
            <v xml:space="preserve">JOVI </v>
          </cell>
          <cell r="E1599">
            <v>57.749999999999986</v>
          </cell>
          <cell r="F1599">
            <v>66.989999999999981</v>
          </cell>
        </row>
        <row r="1600">
          <cell r="A1600">
            <v>1596</v>
          </cell>
          <cell r="B1600" t="str">
            <v xml:space="preserve">8412027003360   </v>
          </cell>
          <cell r="C1600" t="str">
            <v xml:space="preserve">CAJA DE PLASTINA CON 60Pz DE 50gr 70/60 </v>
          </cell>
          <cell r="D1600" t="str">
            <v xml:space="preserve">JOVI </v>
          </cell>
          <cell r="E1600">
            <v>349.8</v>
          </cell>
          <cell r="F1600">
            <v>405.76799999999997</v>
          </cell>
        </row>
        <row r="1601">
          <cell r="A1601">
            <v>1597</v>
          </cell>
          <cell r="B1601" t="str">
            <v xml:space="preserve">8412027003643   </v>
          </cell>
          <cell r="C1601" t="str">
            <v xml:space="preserve">PINTURA LIQ. BLANCO 500cm (50601)       </v>
          </cell>
          <cell r="D1601" t="str">
            <v xml:space="preserve">JOVI </v>
          </cell>
          <cell r="E1601">
            <v>61.04999999999999</v>
          </cell>
          <cell r="F1601">
            <v>70.817999999999984</v>
          </cell>
        </row>
        <row r="1602">
          <cell r="A1602">
            <v>1598</v>
          </cell>
          <cell r="B1602" t="str">
            <v xml:space="preserve">8412027003650   </v>
          </cell>
          <cell r="C1602" t="str">
            <v xml:space="preserve">PINTURA LIQ. AMARILLO 500cm (50602)     </v>
          </cell>
          <cell r="D1602" t="str">
            <v xml:space="preserve">JOVI </v>
          </cell>
          <cell r="E1602">
            <v>61.04999999999999</v>
          </cell>
          <cell r="F1602">
            <v>70.817999999999984</v>
          </cell>
        </row>
        <row r="1603">
          <cell r="A1603">
            <v>1599</v>
          </cell>
          <cell r="B1603" t="str">
            <v xml:space="preserve">8412027003667   </v>
          </cell>
          <cell r="C1603" t="str">
            <v xml:space="preserve">PINTURA LIQ. NARANJA 500cm (50606)      </v>
          </cell>
          <cell r="D1603" t="str">
            <v xml:space="preserve">JOVI </v>
          </cell>
          <cell r="E1603">
            <v>61.04999999999999</v>
          </cell>
          <cell r="F1603">
            <v>70.817999999999984</v>
          </cell>
        </row>
        <row r="1604">
          <cell r="A1604">
            <v>1600</v>
          </cell>
          <cell r="B1604" t="str">
            <v xml:space="preserve">8412027003674   </v>
          </cell>
          <cell r="C1604" t="str">
            <v xml:space="preserve">PINTURA LIQ. BERMELLON 500cm (50607)    </v>
          </cell>
          <cell r="D1604" t="str">
            <v xml:space="preserve">JOVI </v>
          </cell>
          <cell r="E1604">
            <v>61.04999999999999</v>
          </cell>
          <cell r="F1604">
            <v>70.817999999999984</v>
          </cell>
        </row>
        <row r="1605">
          <cell r="A1605">
            <v>1601</v>
          </cell>
          <cell r="B1605" t="str">
            <v xml:space="preserve">8412027003681   </v>
          </cell>
          <cell r="C1605" t="str">
            <v xml:space="preserve">PINTURA LIQ. MAGENTA 500cm (50608)      </v>
          </cell>
          <cell r="D1605" t="str">
            <v xml:space="preserve">JOVI </v>
          </cell>
          <cell r="E1605">
            <v>61.04999999999999</v>
          </cell>
          <cell r="F1605">
            <v>70.817999999999984</v>
          </cell>
        </row>
        <row r="1606">
          <cell r="A1606">
            <v>1602</v>
          </cell>
          <cell r="B1606" t="str">
            <v xml:space="preserve">8412027003698   </v>
          </cell>
          <cell r="C1606" t="str">
            <v xml:space="preserve">PINTURA LIQ. MARRON 500cm (50612)       </v>
          </cell>
          <cell r="D1606" t="str">
            <v xml:space="preserve">JOVI </v>
          </cell>
          <cell r="E1606">
            <v>61.04999999999999</v>
          </cell>
          <cell r="F1606">
            <v>70.817999999999984</v>
          </cell>
        </row>
        <row r="1607">
          <cell r="A1607">
            <v>1603</v>
          </cell>
          <cell r="B1607" t="str">
            <v xml:space="preserve">8412027003704   </v>
          </cell>
          <cell r="C1607" t="str">
            <v xml:space="preserve">PINTURA LIQ. VERDE MEDIO 500cm (50617)  </v>
          </cell>
          <cell r="D1607" t="str">
            <v xml:space="preserve">JOVI </v>
          </cell>
          <cell r="E1607">
            <v>61.04999999999999</v>
          </cell>
          <cell r="F1607">
            <v>70.817999999999984</v>
          </cell>
        </row>
        <row r="1608">
          <cell r="A1608">
            <v>1604</v>
          </cell>
          <cell r="B1608" t="str">
            <v xml:space="preserve">8412027003711   </v>
          </cell>
          <cell r="C1608" t="str">
            <v xml:space="preserve">PINTURA LIQ. VERDE OSCURO 500cm (50619) </v>
          </cell>
          <cell r="D1608" t="str">
            <v xml:space="preserve">JOVI </v>
          </cell>
          <cell r="E1608">
            <v>61.04999999999999</v>
          </cell>
          <cell r="F1608">
            <v>70.817999999999984</v>
          </cell>
        </row>
        <row r="1609">
          <cell r="A1609">
            <v>1605</v>
          </cell>
          <cell r="B1609" t="str">
            <v xml:space="preserve">8412027003728   </v>
          </cell>
          <cell r="C1609" t="str">
            <v xml:space="preserve">PINTURA LIQ. AZUL CYAN 500cm (50621)    </v>
          </cell>
          <cell r="D1609" t="str">
            <v xml:space="preserve">JOVI </v>
          </cell>
          <cell r="E1609">
            <v>61.04999999999999</v>
          </cell>
          <cell r="F1609">
            <v>70.817999999999984</v>
          </cell>
        </row>
        <row r="1610">
          <cell r="A1610">
            <v>1606</v>
          </cell>
          <cell r="B1610" t="str">
            <v xml:space="preserve">8412027003735   </v>
          </cell>
          <cell r="C1610" t="str">
            <v xml:space="preserve">PINTURA LIQ. AZUL ULTRA 500cm (50624)   </v>
          </cell>
          <cell r="D1610" t="str">
            <v xml:space="preserve">JOVI </v>
          </cell>
          <cell r="E1610">
            <v>61.04999999999999</v>
          </cell>
          <cell r="F1610">
            <v>70.817999999999984</v>
          </cell>
        </row>
        <row r="1611">
          <cell r="A1611">
            <v>1607</v>
          </cell>
          <cell r="B1611" t="str">
            <v xml:space="preserve">8412027003742   </v>
          </cell>
          <cell r="C1611" t="str">
            <v xml:space="preserve">PINTURA LIQ. NEGRO 500cm (50630)        </v>
          </cell>
          <cell r="D1611" t="str">
            <v xml:space="preserve">JOVI </v>
          </cell>
          <cell r="E1611">
            <v>61.04999999999999</v>
          </cell>
          <cell r="F1611">
            <v>70.817999999999984</v>
          </cell>
        </row>
        <row r="1612">
          <cell r="A1612">
            <v>1608</v>
          </cell>
          <cell r="B1612" t="str">
            <v xml:space="preserve">8412027004497   </v>
          </cell>
          <cell r="C1612" t="str">
            <v xml:space="preserve">CAJA CREMA MAQUILLAJE CON 5 BOTES (172) </v>
          </cell>
          <cell r="D1612" t="str">
            <v xml:space="preserve">JOVI </v>
          </cell>
          <cell r="E1612">
            <v>132</v>
          </cell>
          <cell r="F1612">
            <v>153.11999999999998</v>
          </cell>
        </row>
        <row r="1613">
          <cell r="A1613">
            <v>1609</v>
          </cell>
          <cell r="B1613" t="str">
            <v xml:space="preserve">8412027004657   </v>
          </cell>
          <cell r="C1613" t="str">
            <v xml:space="preserve">MALETIN  DE MODELAJE  (230)             </v>
          </cell>
          <cell r="D1613" t="str">
            <v xml:space="preserve">JOVI </v>
          </cell>
          <cell r="E1613">
            <v>126.22500000000001</v>
          </cell>
          <cell r="F1613">
            <v>146.42099999999999</v>
          </cell>
        </row>
        <row r="1614">
          <cell r="A1614">
            <v>1610</v>
          </cell>
          <cell r="B1614" t="str">
            <v xml:space="preserve">8412027005630   </v>
          </cell>
          <cell r="C1614" t="str">
            <v xml:space="preserve">PINTURA LIQ. VIOLETA 500cm (50623)      </v>
          </cell>
          <cell r="D1614" t="str">
            <v xml:space="preserve">JOVI </v>
          </cell>
          <cell r="E1614">
            <v>61.04999999999999</v>
          </cell>
          <cell r="F1614">
            <v>70.817999999999984</v>
          </cell>
        </row>
        <row r="1615">
          <cell r="A1615">
            <v>1611</v>
          </cell>
          <cell r="B1615" t="str">
            <v xml:space="preserve">8412027005692   </v>
          </cell>
          <cell r="C1615" t="str">
            <v xml:space="preserve">MODELA Y JUEGA 3 BOTES/ACCESORIOS (161) </v>
          </cell>
          <cell r="D1615" t="str">
            <v xml:space="preserve">JOVI </v>
          </cell>
          <cell r="E1615">
            <v>80.849999999999994</v>
          </cell>
          <cell r="F1615">
            <v>93.785999999999987</v>
          </cell>
        </row>
        <row r="1616">
          <cell r="A1616">
            <v>1612</v>
          </cell>
          <cell r="B1616" t="str">
            <v xml:space="preserve">8412027005777   </v>
          </cell>
          <cell r="C1616" t="str">
            <v xml:space="preserve">BOLSA 4 MINI PRENSAS FORMAS (424)       </v>
          </cell>
          <cell r="D1616" t="str">
            <v xml:space="preserve">JOVI </v>
          </cell>
          <cell r="E1616">
            <v>39.599999999999994</v>
          </cell>
          <cell r="F1616">
            <v>45.935999999999993</v>
          </cell>
        </row>
        <row r="1617">
          <cell r="A1617">
            <v>1613</v>
          </cell>
          <cell r="B1617" t="str">
            <v xml:space="preserve">8412027006156   </v>
          </cell>
          <cell r="C1617" t="str">
            <v xml:space="preserve">BLISTER PLASTILINA 10 BARRAS  (134/10)  </v>
          </cell>
          <cell r="D1617" t="str">
            <v xml:space="preserve">JOVI </v>
          </cell>
          <cell r="E1617">
            <v>27.224999999999994</v>
          </cell>
          <cell r="F1617">
            <v>31.580999999999992</v>
          </cell>
        </row>
        <row r="1618">
          <cell r="A1618">
            <v>1614</v>
          </cell>
          <cell r="B1618" t="str">
            <v xml:space="preserve">8412027006163   </v>
          </cell>
          <cell r="C1618" t="str">
            <v>BLISTER PLASTILINA FLUORESCENTE (134/10F</v>
          </cell>
          <cell r="D1618" t="str">
            <v xml:space="preserve">JOVI </v>
          </cell>
          <cell r="E1618">
            <v>28.874999999999993</v>
          </cell>
          <cell r="F1618">
            <v>33.49499999999999</v>
          </cell>
        </row>
        <row r="1619">
          <cell r="A1619">
            <v>1615</v>
          </cell>
          <cell r="B1619" t="str">
            <v xml:space="preserve">8412027006200   </v>
          </cell>
          <cell r="C1619" t="str">
            <v xml:space="preserve">HACER FIGURAS 4 BOTES/ACCESORIOS (165)  </v>
          </cell>
          <cell r="D1619" t="str">
            <v xml:space="preserve">JOVI </v>
          </cell>
          <cell r="E1619">
            <v>89.1</v>
          </cell>
          <cell r="F1619">
            <v>103.35599999999998</v>
          </cell>
        </row>
        <row r="1620">
          <cell r="A1620">
            <v>1616</v>
          </cell>
          <cell r="B1620" t="str">
            <v xml:space="preserve">8412027006224   </v>
          </cell>
          <cell r="C1620" t="str">
            <v xml:space="preserve">PINTAR C/PLANTILLAS 4 BOTE/ESPONJ.(167) </v>
          </cell>
          <cell r="D1620" t="str">
            <v xml:space="preserve">JOVI </v>
          </cell>
          <cell r="E1620">
            <v>120.44999999999999</v>
          </cell>
          <cell r="F1620">
            <v>139.72199999999998</v>
          </cell>
        </row>
        <row r="1621">
          <cell r="A1621">
            <v>1617</v>
          </cell>
          <cell r="B1621" t="str">
            <v xml:space="preserve">8412027006316   </v>
          </cell>
          <cell r="C1621" t="str">
            <v xml:space="preserve">CRAYONES METALICOS BOLSA 6Pz (916)      </v>
          </cell>
          <cell r="D1621" t="str">
            <v xml:space="preserve">JOVI </v>
          </cell>
          <cell r="E1621">
            <v>21.449999999999996</v>
          </cell>
          <cell r="F1621">
            <v>24.881999999999994</v>
          </cell>
        </row>
        <row r="1622">
          <cell r="A1622">
            <v>1618</v>
          </cell>
          <cell r="B1622" t="str">
            <v xml:space="preserve">8412027006699   </v>
          </cell>
          <cell r="C1622" t="str">
            <v xml:space="preserve">ESPATULAS JOVI PINTURA Y MODELAJE (2)   </v>
          </cell>
          <cell r="D1622" t="str">
            <v xml:space="preserve">JOVI </v>
          </cell>
          <cell r="E1622">
            <v>18.149999999999999</v>
          </cell>
          <cell r="F1622">
            <v>21.053999999999998</v>
          </cell>
        </row>
        <row r="1623">
          <cell r="A1623">
            <v>1619</v>
          </cell>
          <cell r="B1623" t="str">
            <v xml:space="preserve">8412027006873   </v>
          </cell>
          <cell r="C1623" t="str">
            <v xml:space="preserve">PLASTILINA BLANCA 50gr.                 </v>
          </cell>
          <cell r="D1623" t="str">
            <v xml:space="preserve">JOVI </v>
          </cell>
          <cell r="E1623">
            <v>5.7749999999999995</v>
          </cell>
          <cell r="F1623">
            <v>6.698999999999999</v>
          </cell>
        </row>
        <row r="1624">
          <cell r="A1624">
            <v>1620</v>
          </cell>
          <cell r="B1624" t="str">
            <v xml:space="preserve">8412027006880   </v>
          </cell>
          <cell r="C1624" t="str">
            <v xml:space="preserve">PLASTILINA CANARIO 50gr.                </v>
          </cell>
          <cell r="D1624" t="str">
            <v xml:space="preserve">JOVI </v>
          </cell>
          <cell r="E1624">
            <v>5.7749999999999995</v>
          </cell>
          <cell r="F1624">
            <v>6.698999999999999</v>
          </cell>
        </row>
        <row r="1625">
          <cell r="A1625">
            <v>1621</v>
          </cell>
          <cell r="B1625" t="str">
            <v xml:space="preserve">8412027006897   </v>
          </cell>
          <cell r="C1625" t="str">
            <v xml:space="preserve">PLASTILINA AMARILLO HUEVO 50gr.         </v>
          </cell>
          <cell r="D1625" t="str">
            <v xml:space="preserve">JOVI </v>
          </cell>
          <cell r="E1625">
            <v>5.7749999999999995</v>
          </cell>
          <cell r="F1625">
            <v>6.698999999999999</v>
          </cell>
        </row>
        <row r="1626">
          <cell r="A1626">
            <v>1622</v>
          </cell>
          <cell r="B1626" t="str">
            <v xml:space="preserve">8412027006903   </v>
          </cell>
          <cell r="C1626" t="str">
            <v xml:space="preserve">PLASTILINA NARANJA 50gr.                </v>
          </cell>
          <cell r="D1626" t="str">
            <v xml:space="preserve">JOVI </v>
          </cell>
          <cell r="E1626">
            <v>5.7749999999999995</v>
          </cell>
          <cell r="F1626">
            <v>6.698999999999999</v>
          </cell>
        </row>
        <row r="1627">
          <cell r="A1627">
            <v>1623</v>
          </cell>
          <cell r="B1627" t="str">
            <v xml:space="preserve">8412027006910   </v>
          </cell>
          <cell r="C1627" t="str">
            <v xml:space="preserve">PLASTILINA ROJO FUERTE 50gr.            </v>
          </cell>
          <cell r="D1627" t="str">
            <v xml:space="preserve">JOVI </v>
          </cell>
          <cell r="E1627">
            <v>5.7749999999999995</v>
          </cell>
          <cell r="F1627">
            <v>6.698999999999999</v>
          </cell>
        </row>
        <row r="1628">
          <cell r="A1628">
            <v>1624</v>
          </cell>
          <cell r="B1628" t="str">
            <v xml:space="preserve">8412027006927   </v>
          </cell>
          <cell r="C1628" t="str">
            <v xml:space="preserve">PLASTILINA ROJO CLARO 50gr.             </v>
          </cell>
          <cell r="D1628" t="str">
            <v xml:space="preserve">JOVI </v>
          </cell>
          <cell r="E1628">
            <v>5.7749999999999995</v>
          </cell>
          <cell r="F1628">
            <v>6.698999999999999</v>
          </cell>
        </row>
        <row r="1629">
          <cell r="A1629">
            <v>1625</v>
          </cell>
          <cell r="B1629" t="str">
            <v xml:space="preserve">8412027006934   </v>
          </cell>
          <cell r="C1629" t="str">
            <v xml:space="preserve">PLASTILINA ROSA 50gr.                   </v>
          </cell>
          <cell r="D1629" t="str">
            <v xml:space="preserve">JOVI </v>
          </cell>
          <cell r="E1629">
            <v>5.7749999999999995</v>
          </cell>
          <cell r="F1629">
            <v>6.698999999999999</v>
          </cell>
        </row>
        <row r="1630">
          <cell r="A1630">
            <v>1626</v>
          </cell>
          <cell r="B1630" t="str">
            <v xml:space="preserve">8412027006941   </v>
          </cell>
          <cell r="C1630" t="str">
            <v xml:space="preserve">PLASTILINA CARNE 50gr.                  </v>
          </cell>
          <cell r="D1630" t="str">
            <v xml:space="preserve">JOVI </v>
          </cell>
          <cell r="E1630">
            <v>5.7749999999999995</v>
          </cell>
          <cell r="F1630">
            <v>6.698999999999999</v>
          </cell>
        </row>
        <row r="1631">
          <cell r="A1631">
            <v>1627</v>
          </cell>
          <cell r="B1631" t="str">
            <v xml:space="preserve">8412027006958   </v>
          </cell>
          <cell r="C1631" t="str">
            <v xml:space="preserve">PLASTILINA CAFE 50gr.                   </v>
          </cell>
          <cell r="D1631" t="str">
            <v xml:space="preserve">JOVI </v>
          </cell>
          <cell r="E1631">
            <v>5.7749999999999995</v>
          </cell>
          <cell r="F1631">
            <v>6.698999999999999</v>
          </cell>
        </row>
        <row r="1632">
          <cell r="A1632">
            <v>1628</v>
          </cell>
          <cell r="B1632" t="str">
            <v xml:space="preserve">8412027006965   </v>
          </cell>
          <cell r="C1632" t="str">
            <v xml:space="preserve">PLASTILINA VERDE CLARO 50gr.            </v>
          </cell>
          <cell r="D1632" t="str">
            <v xml:space="preserve">JOVI </v>
          </cell>
          <cell r="E1632">
            <v>5.7749999999999995</v>
          </cell>
          <cell r="F1632">
            <v>6.698999999999999</v>
          </cell>
        </row>
        <row r="1633">
          <cell r="A1633">
            <v>1629</v>
          </cell>
          <cell r="B1633" t="str">
            <v xml:space="preserve">8412027006972   </v>
          </cell>
          <cell r="C1633" t="str">
            <v xml:space="preserve">PLASTILINA VERDE OBSCURO 50gr.          </v>
          </cell>
          <cell r="D1633" t="str">
            <v xml:space="preserve">JOVI </v>
          </cell>
          <cell r="E1633">
            <v>5.7749999999999995</v>
          </cell>
          <cell r="F1633">
            <v>6.698999999999999</v>
          </cell>
        </row>
        <row r="1634">
          <cell r="A1634">
            <v>1630</v>
          </cell>
          <cell r="B1634" t="str">
            <v xml:space="preserve">8412027006989   </v>
          </cell>
          <cell r="C1634" t="str">
            <v xml:space="preserve">PLASTILINA CYAN (azul) 50gr.            </v>
          </cell>
          <cell r="D1634" t="str">
            <v xml:space="preserve">JOVI </v>
          </cell>
          <cell r="E1634">
            <v>5.7749999999999995</v>
          </cell>
          <cell r="F1634">
            <v>6.698999999999999</v>
          </cell>
        </row>
        <row r="1635">
          <cell r="A1635">
            <v>1631</v>
          </cell>
          <cell r="B1635" t="str">
            <v xml:space="preserve">8412027006996   </v>
          </cell>
          <cell r="C1635" t="str">
            <v xml:space="preserve">PLASTILINA AZUL ULTRA 50gr.             </v>
          </cell>
          <cell r="D1635" t="str">
            <v xml:space="preserve">JOVI </v>
          </cell>
          <cell r="E1635">
            <v>5.7749999999999995</v>
          </cell>
          <cell r="F1635">
            <v>6.698999999999999</v>
          </cell>
        </row>
        <row r="1636">
          <cell r="A1636">
            <v>1632</v>
          </cell>
          <cell r="B1636" t="str">
            <v xml:space="preserve">8412027007009   </v>
          </cell>
          <cell r="C1636" t="str">
            <v xml:space="preserve">PLASTILINA VIOLETA 50gr.                </v>
          </cell>
          <cell r="D1636" t="str">
            <v xml:space="preserve">JOVI </v>
          </cell>
          <cell r="E1636">
            <v>5.7749999999999995</v>
          </cell>
          <cell r="F1636">
            <v>6.698999999999999</v>
          </cell>
        </row>
        <row r="1637">
          <cell r="A1637">
            <v>1633</v>
          </cell>
          <cell r="B1637" t="str">
            <v xml:space="preserve">8412027007016   </v>
          </cell>
          <cell r="C1637" t="str">
            <v xml:space="preserve">PLASTILINA NEGRA 50gr.                  </v>
          </cell>
          <cell r="D1637" t="str">
            <v xml:space="preserve">JOVI </v>
          </cell>
          <cell r="E1637">
            <v>5.7749999999999995</v>
          </cell>
          <cell r="F1637">
            <v>6.698999999999999</v>
          </cell>
        </row>
        <row r="1638">
          <cell r="A1638">
            <v>1634</v>
          </cell>
          <cell r="B1638" t="str">
            <v xml:space="preserve">8412027007917   </v>
          </cell>
          <cell r="C1638" t="str">
            <v xml:space="preserve">LAPICES DE CERA (980/12)                </v>
          </cell>
          <cell r="D1638" t="str">
            <v xml:space="preserve">JOVI </v>
          </cell>
          <cell r="E1638">
            <v>37.950000000000003</v>
          </cell>
          <cell r="F1638">
            <v>44.021999999999998</v>
          </cell>
        </row>
        <row r="1639">
          <cell r="A1639">
            <v>1635</v>
          </cell>
          <cell r="B1639" t="str">
            <v xml:space="preserve">8412027007931   </v>
          </cell>
          <cell r="C1639" t="str">
            <v xml:space="preserve">BLANDIVER CAJA 5 BOTES (405)            </v>
          </cell>
          <cell r="D1639" t="str">
            <v xml:space="preserve">JOVI </v>
          </cell>
          <cell r="E1639">
            <v>80.849999999999994</v>
          </cell>
          <cell r="F1639">
            <v>93.785999999999987</v>
          </cell>
        </row>
        <row r="1640">
          <cell r="A1640">
            <v>1636</v>
          </cell>
          <cell r="B1640" t="str">
            <v xml:space="preserve">8412027007948   </v>
          </cell>
          <cell r="C1640" t="str">
            <v xml:space="preserve">BLANDIVER FLOUR CAJA 5 BOTES (405F)     </v>
          </cell>
          <cell r="D1640" t="str">
            <v xml:space="preserve">JOVI </v>
          </cell>
          <cell r="E1640">
            <v>85.799999999999983</v>
          </cell>
          <cell r="F1640">
            <v>99.527999999999977</v>
          </cell>
        </row>
        <row r="1641">
          <cell r="A1641">
            <v>1637</v>
          </cell>
          <cell r="B1641" t="str">
            <v xml:space="preserve">8412027008112   </v>
          </cell>
          <cell r="C1641" t="str">
            <v xml:space="preserve">ROTULADORES 12Pz (1712/05)              </v>
          </cell>
          <cell r="D1641" t="str">
            <v xml:space="preserve">JOVI </v>
          </cell>
          <cell r="E1641">
            <v>29.7</v>
          </cell>
          <cell r="F1641">
            <v>34.451999999999998</v>
          </cell>
        </row>
        <row r="1642">
          <cell r="A1642">
            <v>1638</v>
          </cell>
          <cell r="B1642" t="str">
            <v xml:space="preserve">8412027008150   </v>
          </cell>
          <cell r="C1642" t="str">
            <v xml:space="preserve">GOMA SOTT (130B)                        </v>
          </cell>
          <cell r="D1642" t="str">
            <v xml:space="preserve">JOVI </v>
          </cell>
          <cell r="E1642">
            <v>13.2</v>
          </cell>
          <cell r="F1642">
            <v>15.311999999999998</v>
          </cell>
        </row>
        <row r="1643">
          <cell r="A1643">
            <v>1639</v>
          </cell>
          <cell r="B1643" t="str">
            <v xml:space="preserve">8412027008358   </v>
          </cell>
          <cell r="C1643" t="str">
            <v xml:space="preserve">ESTUCHE ROTULADORES CON 24 (1724)       </v>
          </cell>
          <cell r="D1643" t="str">
            <v xml:space="preserve">JOVI </v>
          </cell>
          <cell r="E1643">
            <v>84.149999999999991</v>
          </cell>
          <cell r="F1643">
            <v>97.61399999999999</v>
          </cell>
        </row>
        <row r="1644">
          <cell r="A1644">
            <v>1640</v>
          </cell>
          <cell r="B1644" t="str">
            <v xml:space="preserve">8412027008501   </v>
          </cell>
          <cell r="C1644" t="str">
            <v xml:space="preserve">CUBO ABECEDARIO (432)                   </v>
          </cell>
          <cell r="D1644" t="str">
            <v xml:space="preserve">JOVI </v>
          </cell>
          <cell r="E1644">
            <v>275.55</v>
          </cell>
          <cell r="F1644">
            <v>319.63799999999998</v>
          </cell>
        </row>
        <row r="1645">
          <cell r="A1645">
            <v>1641</v>
          </cell>
          <cell r="B1645" t="str">
            <v xml:space="preserve">8412027008549   </v>
          </cell>
          <cell r="C1645" t="str">
            <v xml:space="preserve">PINCEL ARTISTICO 5Pz (8185)             </v>
          </cell>
          <cell r="D1645" t="str">
            <v xml:space="preserve">JOVI </v>
          </cell>
          <cell r="E1645">
            <v>23.925000000000001</v>
          </cell>
          <cell r="F1645">
            <v>27.753</v>
          </cell>
        </row>
        <row r="1646">
          <cell r="A1646">
            <v>1642</v>
          </cell>
          <cell r="B1646" t="str">
            <v xml:space="preserve">8412027008556   </v>
          </cell>
          <cell r="C1646" t="str">
            <v xml:space="preserve">PINCEL ARTISTICO 2 Pz (8184)            </v>
          </cell>
          <cell r="D1646" t="str">
            <v xml:space="preserve">JOVI </v>
          </cell>
          <cell r="E1646">
            <v>23.925000000000001</v>
          </cell>
          <cell r="F1646">
            <v>27.753</v>
          </cell>
        </row>
        <row r="1647">
          <cell r="A1647">
            <v>1643</v>
          </cell>
          <cell r="B1647" t="str">
            <v xml:space="preserve">8412027008594   </v>
          </cell>
          <cell r="C1647" t="str">
            <v>JOVICOLOR 6 COL. SURT. METALICOS (982/6)</v>
          </cell>
          <cell r="D1647" t="str">
            <v xml:space="preserve">JOVI </v>
          </cell>
          <cell r="E1647">
            <v>32.174999999999997</v>
          </cell>
          <cell r="F1647">
            <v>37.322999999999993</v>
          </cell>
        </row>
        <row r="1648">
          <cell r="A1648">
            <v>1644</v>
          </cell>
          <cell r="B1648" t="str">
            <v xml:space="preserve">8412027008761   </v>
          </cell>
          <cell r="C1648" t="str">
            <v xml:space="preserve">PINTURA PALSTICA PACK 6 BOTES (670)     </v>
          </cell>
          <cell r="D1648" t="str">
            <v xml:space="preserve">JOVI </v>
          </cell>
          <cell r="E1648">
            <v>110.55000000000001</v>
          </cell>
          <cell r="F1648">
            <v>128.238</v>
          </cell>
        </row>
        <row r="1649">
          <cell r="A1649">
            <v>1645</v>
          </cell>
          <cell r="B1649" t="str">
            <v xml:space="preserve">8412027008785   </v>
          </cell>
          <cell r="C1649" t="str">
            <v xml:space="preserve">TEMPERA AMARILLO (51702)                </v>
          </cell>
          <cell r="D1649" t="str">
            <v xml:space="preserve">JOVI </v>
          </cell>
          <cell r="E1649">
            <v>70.95</v>
          </cell>
          <cell r="F1649">
            <v>82.301999999999992</v>
          </cell>
        </row>
        <row r="1650">
          <cell r="A1650">
            <v>1646</v>
          </cell>
          <cell r="B1650" t="str">
            <v xml:space="preserve">8412027008792   </v>
          </cell>
          <cell r="C1650" t="str">
            <v xml:space="preserve">TEMPERA NARANJA (51706)                 </v>
          </cell>
          <cell r="D1650" t="str">
            <v xml:space="preserve">JOVI </v>
          </cell>
          <cell r="E1650">
            <v>70.95</v>
          </cell>
          <cell r="F1650">
            <v>82.301999999999992</v>
          </cell>
        </row>
        <row r="1651">
          <cell r="A1651">
            <v>1647</v>
          </cell>
          <cell r="B1651" t="str">
            <v xml:space="preserve">8412027008815   </v>
          </cell>
          <cell r="C1651" t="str">
            <v xml:space="preserve">TEMPERA ROSA (51708)                    </v>
          </cell>
          <cell r="D1651" t="str">
            <v xml:space="preserve">JOVI </v>
          </cell>
          <cell r="E1651">
            <v>70.95</v>
          </cell>
          <cell r="F1651">
            <v>82.301999999999992</v>
          </cell>
        </row>
        <row r="1652">
          <cell r="A1652">
            <v>1648</v>
          </cell>
          <cell r="B1652" t="str">
            <v xml:space="preserve">8412027008822   </v>
          </cell>
          <cell r="C1652" t="str">
            <v xml:space="preserve">TEMPERA VERDE (51717)                   </v>
          </cell>
          <cell r="D1652" t="str">
            <v xml:space="preserve">JOVI </v>
          </cell>
          <cell r="E1652">
            <v>70.95</v>
          </cell>
          <cell r="F1652">
            <v>82.301999999999992</v>
          </cell>
        </row>
        <row r="1653">
          <cell r="A1653">
            <v>1649</v>
          </cell>
          <cell r="B1653" t="str">
            <v xml:space="preserve">8412027008839   </v>
          </cell>
          <cell r="C1653" t="str">
            <v xml:space="preserve">TEMPERA AZUL (51721)                    </v>
          </cell>
          <cell r="D1653" t="str">
            <v xml:space="preserve">JOVI </v>
          </cell>
          <cell r="E1653">
            <v>70.95</v>
          </cell>
          <cell r="F1653">
            <v>82.301999999999992</v>
          </cell>
        </row>
        <row r="1654">
          <cell r="A1654">
            <v>1650</v>
          </cell>
          <cell r="B1654" t="str">
            <v xml:space="preserve">8412027008846   </v>
          </cell>
          <cell r="C1654" t="str">
            <v xml:space="preserve">TEMPERA VIOLETA (51723)                 </v>
          </cell>
          <cell r="D1654" t="str">
            <v xml:space="preserve">JOVI </v>
          </cell>
          <cell r="E1654">
            <v>70.95</v>
          </cell>
          <cell r="F1654">
            <v>82.301999999999992</v>
          </cell>
        </row>
        <row r="1655">
          <cell r="A1655">
            <v>1651</v>
          </cell>
          <cell r="B1655" t="str">
            <v xml:space="preserve">8412027024297   </v>
          </cell>
          <cell r="C1655" t="str">
            <v xml:space="preserve">BOLSA MOLDES ABECEDARIO (7A)            </v>
          </cell>
          <cell r="D1655" t="str">
            <v xml:space="preserve">JOVI </v>
          </cell>
          <cell r="E1655">
            <v>37.950000000000003</v>
          </cell>
          <cell r="F1655">
            <v>44.021999999999998</v>
          </cell>
        </row>
        <row r="1656">
          <cell r="A1656">
            <v>1652</v>
          </cell>
          <cell r="B1656" t="str">
            <v xml:space="preserve">8412027024303   </v>
          </cell>
          <cell r="C1656" t="str">
            <v xml:space="preserve">BOLSA MOLDES NUMEROS 11Pz (7N)          </v>
          </cell>
          <cell r="D1656" t="str">
            <v xml:space="preserve">JOVI </v>
          </cell>
          <cell r="E1656">
            <v>23.099999999999998</v>
          </cell>
          <cell r="F1656">
            <v>26.795999999999996</v>
          </cell>
        </row>
        <row r="1657">
          <cell r="A1657">
            <v>1653</v>
          </cell>
          <cell r="B1657" t="str">
            <v xml:space="preserve">8412027024372   </v>
          </cell>
          <cell r="C1657" t="str">
            <v xml:space="preserve">PINTURA PLASTICA BLANCO 250 mL.(68001)  </v>
          </cell>
          <cell r="D1657" t="str">
            <v xml:space="preserve">JOVI </v>
          </cell>
          <cell r="E1657">
            <v>66</v>
          </cell>
          <cell r="F1657">
            <v>76.559999999999988</v>
          </cell>
        </row>
        <row r="1658">
          <cell r="A1658">
            <v>1654</v>
          </cell>
          <cell r="B1658" t="str">
            <v xml:space="preserve">8412027024389   </v>
          </cell>
          <cell r="C1658" t="str">
            <v>PINTURA PLASTICA AMARILLO 250 mL.(68002)</v>
          </cell>
          <cell r="D1658" t="str">
            <v xml:space="preserve">JOVI </v>
          </cell>
          <cell r="E1658">
            <v>66</v>
          </cell>
          <cell r="F1658">
            <v>76.559999999999988</v>
          </cell>
        </row>
        <row r="1659">
          <cell r="A1659">
            <v>1655</v>
          </cell>
          <cell r="B1659" t="str">
            <v xml:space="preserve">8412027024396   </v>
          </cell>
          <cell r="C1659" t="str">
            <v xml:space="preserve">PINTURA PALSTICA NARAJJA 250 mL.(68006) </v>
          </cell>
          <cell r="D1659" t="str">
            <v xml:space="preserve">JOVI </v>
          </cell>
          <cell r="E1659">
            <v>66</v>
          </cell>
          <cell r="F1659">
            <v>76.559999999999988</v>
          </cell>
        </row>
        <row r="1660">
          <cell r="A1660">
            <v>1656</v>
          </cell>
          <cell r="B1660" t="str">
            <v xml:space="preserve">8412027024402   </v>
          </cell>
          <cell r="C1660" t="str">
            <v>PINTURA PLASTICA BERMELLON 250 mL.(68007</v>
          </cell>
          <cell r="D1660" t="str">
            <v xml:space="preserve">JOVI </v>
          </cell>
          <cell r="E1660">
            <v>66</v>
          </cell>
          <cell r="F1660">
            <v>76.559999999999988</v>
          </cell>
        </row>
        <row r="1661">
          <cell r="A1661">
            <v>1657</v>
          </cell>
          <cell r="B1661" t="str">
            <v xml:space="preserve">8412027024419   </v>
          </cell>
          <cell r="C1661" t="str">
            <v xml:space="preserve">PINTURA PLASTICA MAGENTA 250 mL.(68008) </v>
          </cell>
          <cell r="D1661" t="str">
            <v xml:space="preserve">JOVI </v>
          </cell>
          <cell r="E1661">
            <v>66</v>
          </cell>
          <cell r="F1661">
            <v>76.559999999999988</v>
          </cell>
        </row>
        <row r="1662">
          <cell r="A1662">
            <v>1658</v>
          </cell>
          <cell r="B1662" t="str">
            <v xml:space="preserve">8412027024426   </v>
          </cell>
          <cell r="C1662" t="str">
            <v xml:space="preserve">PINTURA PLASTICA MARRON 250 mL.(68012)  </v>
          </cell>
          <cell r="D1662" t="str">
            <v xml:space="preserve">JOVI </v>
          </cell>
          <cell r="E1662">
            <v>66</v>
          </cell>
          <cell r="F1662">
            <v>76.559999999999988</v>
          </cell>
        </row>
        <row r="1663">
          <cell r="A1663">
            <v>1659</v>
          </cell>
          <cell r="B1663" t="str">
            <v xml:space="preserve">8412027024433   </v>
          </cell>
          <cell r="C1663" t="str">
            <v>PINTURA PLASTICA VERDE MEDIO 250 mL68017</v>
          </cell>
          <cell r="D1663" t="str">
            <v xml:space="preserve">JOVI </v>
          </cell>
          <cell r="E1663">
            <v>66</v>
          </cell>
          <cell r="F1663">
            <v>76.559999999999988</v>
          </cell>
        </row>
        <row r="1664">
          <cell r="A1664">
            <v>1660</v>
          </cell>
          <cell r="B1664" t="str">
            <v xml:space="preserve">8412027024440   </v>
          </cell>
          <cell r="C1664" t="str">
            <v>PINTURA PLASTICA VERDE OSC  250 mL(68019</v>
          </cell>
          <cell r="D1664" t="str">
            <v xml:space="preserve">JOVI </v>
          </cell>
          <cell r="E1664">
            <v>66</v>
          </cell>
          <cell r="F1664">
            <v>76.559999999999988</v>
          </cell>
        </row>
        <row r="1665">
          <cell r="A1665">
            <v>1661</v>
          </cell>
          <cell r="B1665" t="str">
            <v xml:space="preserve">8412027024457   </v>
          </cell>
          <cell r="C1665" t="str">
            <v xml:space="preserve">PINTURA PLASTICA AZUL CYAN 250 mL68021  </v>
          </cell>
          <cell r="D1665" t="str">
            <v xml:space="preserve">JOVI </v>
          </cell>
          <cell r="E1665">
            <v>66</v>
          </cell>
          <cell r="F1665">
            <v>76.559999999999988</v>
          </cell>
        </row>
        <row r="1666">
          <cell r="A1666">
            <v>1662</v>
          </cell>
          <cell r="B1666" t="str">
            <v xml:space="preserve">8412027024464   </v>
          </cell>
          <cell r="C1666" t="str">
            <v xml:space="preserve">PINTURA PLASTICA VIOLETA 250 mL.(68023) </v>
          </cell>
          <cell r="D1666" t="str">
            <v xml:space="preserve">JOVI </v>
          </cell>
          <cell r="E1666">
            <v>66</v>
          </cell>
          <cell r="F1666">
            <v>76.559999999999988</v>
          </cell>
        </row>
        <row r="1667">
          <cell r="A1667">
            <v>1663</v>
          </cell>
          <cell r="B1667" t="str">
            <v xml:space="preserve">8412027024471   </v>
          </cell>
          <cell r="C1667" t="str">
            <v>PINTURA PLASTICA AZUL ULTRA 250 mL(68024</v>
          </cell>
          <cell r="D1667" t="str">
            <v xml:space="preserve">JOVI </v>
          </cell>
          <cell r="E1667">
            <v>66</v>
          </cell>
          <cell r="F1667">
            <v>76.559999999999988</v>
          </cell>
        </row>
        <row r="1668">
          <cell r="A1668">
            <v>1664</v>
          </cell>
          <cell r="B1668" t="str">
            <v xml:space="preserve">8412027024488   </v>
          </cell>
          <cell r="C1668" t="str">
            <v xml:space="preserve">PINTURA PLASTICA NEGRO 250 mL.(68030)   </v>
          </cell>
          <cell r="D1668" t="str">
            <v xml:space="preserve">JOVI </v>
          </cell>
          <cell r="E1668">
            <v>66</v>
          </cell>
          <cell r="F1668">
            <v>76.559999999999988</v>
          </cell>
        </row>
        <row r="1669">
          <cell r="A1669">
            <v>1665</v>
          </cell>
          <cell r="B1669" t="str">
            <v xml:space="preserve">8412027024495   </v>
          </cell>
          <cell r="C1669" t="str">
            <v xml:space="preserve">JOVICOLOR TRIWAX ESTUCHE (973/12)       </v>
          </cell>
          <cell r="D1669" t="str">
            <v xml:space="preserve">JOVI </v>
          </cell>
          <cell r="E1669">
            <v>46.199999999999996</v>
          </cell>
          <cell r="F1669">
            <v>53.591999999999992</v>
          </cell>
        </row>
        <row r="1670">
          <cell r="A1670">
            <v>1666</v>
          </cell>
          <cell r="B1670" t="str">
            <v xml:space="preserve">8412027024761   </v>
          </cell>
          <cell r="C1670" t="str">
            <v xml:space="preserve">GLITER JOVI TEMPERA (518)               </v>
          </cell>
          <cell r="D1670" t="str">
            <v xml:space="preserve">JOVI </v>
          </cell>
          <cell r="E1670">
            <v>125.4</v>
          </cell>
          <cell r="F1670">
            <v>145.464</v>
          </cell>
        </row>
        <row r="1671">
          <cell r="A1671">
            <v>1667</v>
          </cell>
          <cell r="B1671" t="str">
            <v xml:space="preserve">8412027024808   </v>
          </cell>
          <cell r="C1671" t="str">
            <v xml:space="preserve">PASTA PARA MOLDEAR ENDURECIBLE (83)     </v>
          </cell>
          <cell r="D1671" t="str">
            <v xml:space="preserve">JOVI </v>
          </cell>
          <cell r="E1671">
            <v>18.149999999999999</v>
          </cell>
          <cell r="F1671">
            <v>21.053999999999998</v>
          </cell>
        </row>
        <row r="1672">
          <cell r="A1672">
            <v>1668</v>
          </cell>
          <cell r="B1672" t="str">
            <v xml:space="preserve">8412027024815   </v>
          </cell>
          <cell r="C1672" t="str">
            <v xml:space="preserve">PASTA PARA MOLDEAR (84)                 </v>
          </cell>
          <cell r="D1672" t="str">
            <v xml:space="preserve">JOVI </v>
          </cell>
          <cell r="E1672">
            <v>18.149999999999999</v>
          </cell>
          <cell r="F1672">
            <v>21.053999999999998</v>
          </cell>
        </row>
        <row r="1673">
          <cell r="A1673">
            <v>1669</v>
          </cell>
          <cell r="B1673" t="str">
            <v xml:space="preserve">8412027024921   </v>
          </cell>
          <cell r="C1673" t="str">
            <v xml:space="preserve">PAT COLOR BLANCO 100gr.                 </v>
          </cell>
          <cell r="D1673" t="str">
            <v xml:space="preserve">JOVI </v>
          </cell>
          <cell r="E1673">
            <v>21.449999999999996</v>
          </cell>
          <cell r="F1673">
            <v>24.881999999999994</v>
          </cell>
        </row>
        <row r="1674">
          <cell r="A1674">
            <v>1670</v>
          </cell>
          <cell r="B1674" t="str">
            <v xml:space="preserve">8412027024938   </v>
          </cell>
          <cell r="C1674" t="str">
            <v xml:space="preserve">PAT COLOR AMARILLO 100gr.               </v>
          </cell>
          <cell r="D1674" t="str">
            <v xml:space="preserve">JOVI </v>
          </cell>
          <cell r="E1674">
            <v>21.449999999999996</v>
          </cell>
          <cell r="F1674">
            <v>24.881999999999994</v>
          </cell>
        </row>
        <row r="1675">
          <cell r="A1675">
            <v>1671</v>
          </cell>
          <cell r="B1675" t="str">
            <v xml:space="preserve">8412027024945   </v>
          </cell>
          <cell r="C1675" t="str">
            <v xml:space="preserve">PAT COLOR ROJO 100gr.                   </v>
          </cell>
          <cell r="D1675" t="str">
            <v xml:space="preserve">JOVI </v>
          </cell>
          <cell r="E1675">
            <v>21.449999999999996</v>
          </cell>
          <cell r="F1675">
            <v>24.881999999999994</v>
          </cell>
        </row>
        <row r="1676">
          <cell r="A1676">
            <v>1672</v>
          </cell>
          <cell r="B1676" t="str">
            <v xml:space="preserve">8412027024952   </v>
          </cell>
          <cell r="C1676" t="str">
            <v xml:space="preserve">PAT COLOR VERDE 100gr.                  </v>
          </cell>
          <cell r="D1676" t="str">
            <v xml:space="preserve">JOVI </v>
          </cell>
          <cell r="E1676">
            <v>21.449999999999996</v>
          </cell>
          <cell r="F1676">
            <v>24.881999999999994</v>
          </cell>
        </row>
        <row r="1677">
          <cell r="A1677">
            <v>1673</v>
          </cell>
          <cell r="B1677" t="str">
            <v xml:space="preserve">8412027024969   </v>
          </cell>
          <cell r="C1677" t="str">
            <v xml:space="preserve">PAT COLOR AZUL 100gr.                   </v>
          </cell>
          <cell r="D1677" t="str">
            <v xml:space="preserve">JOVI </v>
          </cell>
          <cell r="E1677">
            <v>21.449999999999996</v>
          </cell>
          <cell r="F1677">
            <v>24.881999999999994</v>
          </cell>
        </row>
        <row r="1678">
          <cell r="A1678">
            <v>1674</v>
          </cell>
          <cell r="B1678" t="str">
            <v xml:space="preserve">8412027024976   </v>
          </cell>
          <cell r="C1678" t="str">
            <v xml:space="preserve">PAT COLOR NEGRO 100gr.                  </v>
          </cell>
          <cell r="D1678" t="str">
            <v xml:space="preserve">JOVI </v>
          </cell>
          <cell r="E1678">
            <v>21.449999999999996</v>
          </cell>
          <cell r="F1678">
            <v>24.881999999999994</v>
          </cell>
        </row>
        <row r="1679">
          <cell r="A1679">
            <v>1675</v>
          </cell>
          <cell r="B1679" t="str">
            <v xml:space="preserve">8412027024983   </v>
          </cell>
          <cell r="C1679" t="str">
            <v xml:space="preserve">PAT COLOR 24 PASTILLAS (365)            </v>
          </cell>
          <cell r="D1679" t="str">
            <v xml:space="preserve">JOVI </v>
          </cell>
          <cell r="E1679">
            <v>514.79999999999995</v>
          </cell>
          <cell r="F1679">
            <v>597.16799999999989</v>
          </cell>
        </row>
        <row r="1680">
          <cell r="A1680">
            <v>1676</v>
          </cell>
          <cell r="B1680" t="str">
            <v xml:space="preserve">8412027025041   </v>
          </cell>
          <cell r="C1680" t="str">
            <v xml:space="preserve">PAT MACHE PASTILLA (380)                </v>
          </cell>
          <cell r="D1680" t="str">
            <v xml:space="preserve">JOVI </v>
          </cell>
          <cell r="E1680">
            <v>95.7</v>
          </cell>
          <cell r="F1680">
            <v>111.012</v>
          </cell>
        </row>
        <row r="1681">
          <cell r="A1681">
            <v>1677</v>
          </cell>
          <cell r="B1681" t="str">
            <v xml:space="preserve">8412027025195   </v>
          </cell>
          <cell r="C1681" t="str">
            <v xml:space="preserve">BOLSA 12 MOLDES FIGURAS (8)             </v>
          </cell>
          <cell r="D1681" t="str">
            <v xml:space="preserve">JOVI </v>
          </cell>
          <cell r="E1681">
            <v>34.65</v>
          </cell>
          <cell r="F1681">
            <v>40.193999999999996</v>
          </cell>
        </row>
        <row r="1682">
          <cell r="A1682">
            <v>1678</v>
          </cell>
          <cell r="B1682" t="str">
            <v xml:space="preserve">8412027025249   </v>
          </cell>
          <cell r="C1682" t="str">
            <v xml:space="preserve">KIDS HOBBY MASK (250)                   </v>
          </cell>
          <cell r="D1682" t="str">
            <v xml:space="preserve">JOVI </v>
          </cell>
          <cell r="E1682">
            <v>123.75</v>
          </cell>
          <cell r="F1682">
            <v>143.54999999999998</v>
          </cell>
        </row>
        <row r="1683">
          <cell r="A1683">
            <v>1679</v>
          </cell>
          <cell r="B1683" t="str">
            <v xml:space="preserve">8412027025256   </v>
          </cell>
          <cell r="C1683" t="str">
            <v xml:space="preserve">KIDS HOBBY CERAMIC (251)                </v>
          </cell>
          <cell r="D1683" t="str">
            <v xml:space="preserve">JOVI </v>
          </cell>
          <cell r="E1683">
            <v>79.199999999999989</v>
          </cell>
          <cell r="F1683">
            <v>91.871999999999986</v>
          </cell>
        </row>
        <row r="1684">
          <cell r="A1684">
            <v>1680</v>
          </cell>
          <cell r="B1684" t="str">
            <v xml:space="preserve">8412027025263   </v>
          </cell>
          <cell r="C1684" t="str">
            <v xml:space="preserve">KIDS HOBBY MAGNETS (252)                </v>
          </cell>
          <cell r="D1684" t="str">
            <v xml:space="preserve">JOVI </v>
          </cell>
          <cell r="E1684">
            <v>92.399999999999991</v>
          </cell>
          <cell r="F1684">
            <v>107.18399999999998</v>
          </cell>
        </row>
        <row r="1685">
          <cell r="A1685">
            <v>1681</v>
          </cell>
          <cell r="B1685" t="str">
            <v xml:space="preserve">8412027025287   </v>
          </cell>
          <cell r="C1685" t="str">
            <v xml:space="preserve">EXPOSITOR PATMACHE 18 PASTILLAS (382)   </v>
          </cell>
          <cell r="D1685" t="str">
            <v xml:space="preserve">JOVI </v>
          </cell>
          <cell r="E1685">
            <v>567.6</v>
          </cell>
          <cell r="F1685">
            <v>658.41599999999994</v>
          </cell>
        </row>
        <row r="1686">
          <cell r="A1686">
            <v>1682</v>
          </cell>
          <cell r="B1686" t="str">
            <v xml:space="preserve">8412027025300   </v>
          </cell>
          <cell r="C1686" t="str">
            <v xml:space="preserve">KIDS MINI ARTISKIT ZOO (145)            </v>
          </cell>
          <cell r="D1686" t="str">
            <v xml:space="preserve">JOVI </v>
          </cell>
          <cell r="E1686">
            <v>84.149999999999991</v>
          </cell>
          <cell r="F1686">
            <v>97.61399999999999</v>
          </cell>
        </row>
        <row r="1687">
          <cell r="A1687">
            <v>1683</v>
          </cell>
          <cell r="B1687" t="str">
            <v xml:space="preserve">8412027025317   </v>
          </cell>
          <cell r="C1687" t="str">
            <v xml:space="preserve">KIDS MINI ARTISKIT ZOO (146)            </v>
          </cell>
          <cell r="D1687" t="str">
            <v xml:space="preserve">JOVI </v>
          </cell>
          <cell r="E1687">
            <v>84.149999999999991</v>
          </cell>
          <cell r="F1687">
            <v>97.61399999999999</v>
          </cell>
        </row>
        <row r="1688">
          <cell r="A1688">
            <v>1684</v>
          </cell>
          <cell r="B1688" t="str">
            <v xml:space="preserve">8412027025324   </v>
          </cell>
          <cell r="C1688" t="str">
            <v xml:space="preserve">KIDS MINI ARTISKIT ZOO (147)            </v>
          </cell>
          <cell r="D1688" t="str">
            <v xml:space="preserve">JOVI </v>
          </cell>
          <cell r="E1688">
            <v>84.149999999999991</v>
          </cell>
          <cell r="F1688">
            <v>97.61399999999999</v>
          </cell>
        </row>
        <row r="1689">
          <cell r="A1689">
            <v>1685</v>
          </cell>
          <cell r="B1689" t="str">
            <v xml:space="preserve">8412027025331   </v>
          </cell>
          <cell r="C1689" t="str">
            <v xml:space="preserve">KIDS MINI ARTISKIT ZOO (148)            </v>
          </cell>
          <cell r="D1689" t="str">
            <v xml:space="preserve">JOVI </v>
          </cell>
          <cell r="E1689">
            <v>84.149999999999991</v>
          </cell>
          <cell r="F1689">
            <v>97.61399999999999</v>
          </cell>
        </row>
        <row r="1690">
          <cell r="A1690">
            <v>1686</v>
          </cell>
          <cell r="B1690" t="str">
            <v xml:space="preserve">8412027025447   </v>
          </cell>
          <cell r="C1690" t="str">
            <v xml:space="preserve">HOBBY KIT PATWOOD (255                  </v>
          </cell>
          <cell r="D1690" t="str">
            <v xml:space="preserve">JOVI </v>
          </cell>
          <cell r="E1690">
            <v>74.249999999999986</v>
          </cell>
          <cell r="F1690">
            <v>86.129999999999981</v>
          </cell>
        </row>
        <row r="1691">
          <cell r="A1691">
            <v>1687</v>
          </cell>
          <cell r="B1691" t="str">
            <v xml:space="preserve">8412027025454   </v>
          </cell>
          <cell r="C1691" t="str">
            <v xml:space="preserve">HOBBY KIT MARIONETTES (256)             </v>
          </cell>
          <cell r="D1691" t="str">
            <v xml:space="preserve">JOVI </v>
          </cell>
          <cell r="E1691">
            <v>104.77499999999999</v>
          </cell>
          <cell r="F1691">
            <v>121.53899999999999</v>
          </cell>
        </row>
        <row r="1692">
          <cell r="A1692">
            <v>1688</v>
          </cell>
          <cell r="B1692" t="str">
            <v xml:space="preserve">8412027025461   </v>
          </cell>
          <cell r="C1692" t="str">
            <v xml:space="preserve">HOBBY KIT PLANETS MACHE (257)           </v>
          </cell>
          <cell r="D1692" t="str">
            <v xml:space="preserve">JOVI </v>
          </cell>
          <cell r="E1692">
            <v>100.64999999999999</v>
          </cell>
          <cell r="F1692">
            <v>116.75399999999998</v>
          </cell>
        </row>
        <row r="1693">
          <cell r="A1693">
            <v>1689</v>
          </cell>
          <cell r="B1693" t="str">
            <v xml:space="preserve">8412027025508   </v>
          </cell>
          <cell r="C1693" t="str">
            <v xml:space="preserve">MOLDES FORMAS DIVERSAS (23)             </v>
          </cell>
          <cell r="D1693" t="str">
            <v xml:space="preserve">JOVI </v>
          </cell>
          <cell r="E1693">
            <v>21.449999999999996</v>
          </cell>
          <cell r="F1693">
            <v>24.881999999999994</v>
          </cell>
        </row>
        <row r="1694">
          <cell r="A1694">
            <v>1690</v>
          </cell>
          <cell r="B1694" t="str">
            <v xml:space="preserve">8412027025515   </v>
          </cell>
          <cell r="C1694" t="str">
            <v xml:space="preserve">MOLDES FORMAS GEOMETRICAS (21)          </v>
          </cell>
          <cell r="D1694" t="str">
            <v xml:space="preserve">JOVI </v>
          </cell>
          <cell r="E1694">
            <v>21.449999999999996</v>
          </cell>
          <cell r="F1694">
            <v>24.881999999999994</v>
          </cell>
        </row>
        <row r="1695">
          <cell r="A1695">
            <v>1691</v>
          </cell>
          <cell r="B1695" t="str">
            <v xml:space="preserve">8412027248082   </v>
          </cell>
          <cell r="C1695" t="str">
            <v xml:space="preserve">PASTA PARA MODELAR (83)                 </v>
          </cell>
          <cell r="D1695" t="str">
            <v xml:space="preserve">JOVI </v>
          </cell>
          <cell r="E1695">
            <v>18.149999999999999</v>
          </cell>
          <cell r="F1695">
            <v>21.053999999999998</v>
          </cell>
        </row>
        <row r="1696">
          <cell r="A1696">
            <v>1692</v>
          </cell>
          <cell r="B1696" t="str">
            <v xml:space="preserve">8412027248150   </v>
          </cell>
          <cell r="C1696" t="str">
            <v>PASTA PARA MODELAR TERRACOTA 250gr. (84)</v>
          </cell>
          <cell r="D1696" t="str">
            <v xml:space="preserve">JOVI </v>
          </cell>
          <cell r="E1696">
            <v>18.149999999999999</v>
          </cell>
          <cell r="F1696">
            <v>21.053999999999998</v>
          </cell>
        </row>
        <row r="1697">
          <cell r="A1697">
            <v>1693</v>
          </cell>
          <cell r="B1697" t="str">
            <v xml:space="preserve">0050743600067   </v>
          </cell>
          <cell r="C1697" t="str">
            <v xml:space="preserve">SHOP AND GROW WALKER                    </v>
          </cell>
          <cell r="D1697" t="str">
            <v>JULIO</v>
          </cell>
          <cell r="E1697">
            <v>1229.25</v>
          </cell>
          <cell r="F1697">
            <v>1425.9299999999998</v>
          </cell>
        </row>
        <row r="1698">
          <cell r="A1698">
            <v>1694</v>
          </cell>
          <cell r="B1698" t="str">
            <v xml:space="preserve">032244047930    </v>
          </cell>
          <cell r="C1698" t="str">
            <v xml:space="preserve">JUEGO JENGA                             </v>
          </cell>
          <cell r="D1698" t="str">
            <v>JULIO</v>
          </cell>
          <cell r="E1698">
            <v>470.24999999999994</v>
          </cell>
          <cell r="F1698">
            <v>545.4899999999999</v>
          </cell>
        </row>
        <row r="1699">
          <cell r="A1699">
            <v>1695</v>
          </cell>
          <cell r="B1699" t="str">
            <v xml:space="preserve">032244048005    </v>
          </cell>
          <cell r="C1699" t="str">
            <v xml:space="preserve">ADIVINA QUIEN ES?                       </v>
          </cell>
          <cell r="D1699" t="str">
            <v>JULIO</v>
          </cell>
          <cell r="E1699">
            <v>354.74999999999994</v>
          </cell>
          <cell r="F1699">
            <v>411.50999999999993</v>
          </cell>
        </row>
        <row r="1700">
          <cell r="A1700">
            <v>1696</v>
          </cell>
          <cell r="B1700" t="str">
            <v xml:space="preserve">05000445        </v>
          </cell>
          <cell r="C1700" t="str">
            <v xml:space="preserve">DOBLE DECKER SUPER                      </v>
          </cell>
          <cell r="D1700" t="str">
            <v>JULIO</v>
          </cell>
          <cell r="E1700">
            <v>11611.05</v>
          </cell>
          <cell r="F1700">
            <v>13468.817999999997</v>
          </cell>
        </row>
        <row r="1701">
          <cell r="A1701">
            <v>1697</v>
          </cell>
          <cell r="B1701" t="str">
            <v xml:space="preserve">050743043703    </v>
          </cell>
          <cell r="C1701" t="str">
            <v xml:space="preserve">JUEGO ESCALADOR CON RESBALADEROS        </v>
          </cell>
          <cell r="D1701" t="str">
            <v>JULIO</v>
          </cell>
          <cell r="E1701">
            <v>17650.05</v>
          </cell>
          <cell r="F1701">
            <v>20474.057999999997</v>
          </cell>
        </row>
        <row r="1702">
          <cell r="A1702">
            <v>1698</v>
          </cell>
          <cell r="B1702" t="str">
            <v xml:space="preserve">050743045134    </v>
          </cell>
          <cell r="C1702" t="str">
            <v xml:space="preserve">MESA DE DEPORTES                        </v>
          </cell>
          <cell r="D1702" t="str">
            <v>JULIO</v>
          </cell>
          <cell r="E1702">
            <v>2874.2999999999997</v>
          </cell>
          <cell r="F1702">
            <v>3334.1879999999996</v>
          </cell>
        </row>
        <row r="1703">
          <cell r="A1703">
            <v>1699</v>
          </cell>
          <cell r="B1703" t="str">
            <v xml:space="preserve">074299558627    </v>
          </cell>
          <cell r="C1703" t="str">
            <v xml:space="preserve">PICTIONARY CLASICO                      </v>
          </cell>
          <cell r="D1703" t="str">
            <v>JULIO</v>
          </cell>
          <cell r="E1703">
            <v>377.84999999999997</v>
          </cell>
          <cell r="F1703">
            <v>438.30599999999993</v>
          </cell>
        </row>
        <row r="1704">
          <cell r="A1704">
            <v>1700</v>
          </cell>
          <cell r="B1704" t="str">
            <v xml:space="preserve">09304157        </v>
          </cell>
          <cell r="C1704" t="str">
            <v xml:space="preserve">CARRO PARA EMPUJAR Y CONDUCIR           </v>
          </cell>
          <cell r="D1704" t="str">
            <v>JULIO</v>
          </cell>
          <cell r="E1704">
            <v>2569.0499999999997</v>
          </cell>
          <cell r="F1704">
            <v>2980.0979999999995</v>
          </cell>
        </row>
        <row r="1705">
          <cell r="A1705">
            <v>1701</v>
          </cell>
          <cell r="B1705" t="str">
            <v xml:space="preserve">09304331        </v>
          </cell>
          <cell r="C1705" t="str">
            <v xml:space="preserve">JUEGO ESCALADOR 8 EN 1                  </v>
          </cell>
          <cell r="D1705" t="str">
            <v>JULIO</v>
          </cell>
          <cell r="E1705">
            <v>20413.8</v>
          </cell>
          <cell r="F1705">
            <v>23680.007999999998</v>
          </cell>
        </row>
        <row r="1706">
          <cell r="A1706">
            <v>1702</v>
          </cell>
          <cell r="B1706" t="str">
            <v xml:space="preserve">09304855        </v>
          </cell>
          <cell r="C1706" t="str">
            <v xml:space="preserve">CARRO COZY COUPE II                     </v>
          </cell>
          <cell r="D1706" t="str">
            <v>JULIO</v>
          </cell>
          <cell r="E1706">
            <v>1885.95</v>
          </cell>
          <cell r="F1706">
            <v>2187.7019999999998</v>
          </cell>
        </row>
        <row r="1707">
          <cell r="A1707">
            <v>1703</v>
          </cell>
          <cell r="B1707" t="str">
            <v xml:space="preserve">09360084        </v>
          </cell>
          <cell r="C1707" t="str">
            <v xml:space="preserve">BUILDIN TO LEARN WORKSHOP               </v>
          </cell>
          <cell r="D1707" t="str">
            <v>JULIO</v>
          </cell>
          <cell r="E1707">
            <v>2750.5499999999997</v>
          </cell>
          <cell r="F1707">
            <v>3190.6379999999995</v>
          </cell>
        </row>
        <row r="1708">
          <cell r="A1708">
            <v>1704</v>
          </cell>
          <cell r="B1708">
            <v>9381538</v>
          </cell>
          <cell r="C1708" t="str">
            <v xml:space="preserve">PICNIC DE PATIO PLAYHOUSE               </v>
          </cell>
          <cell r="D1708" t="str">
            <v>JULIO</v>
          </cell>
          <cell r="E1708">
            <v>8302.8000000000011</v>
          </cell>
          <cell r="F1708">
            <v>9631.2479999999996</v>
          </cell>
        </row>
        <row r="1709">
          <cell r="A1709">
            <v>1705</v>
          </cell>
          <cell r="B1709" t="str">
            <v xml:space="preserve">10050743041638  </v>
          </cell>
          <cell r="C1709" t="str">
            <v xml:space="preserve">PUSH AND RIDE RACER                     </v>
          </cell>
          <cell r="D1709" t="str">
            <v>JULIO</v>
          </cell>
          <cell r="E1709">
            <v>1089</v>
          </cell>
          <cell r="F1709">
            <v>1263.2399999999998</v>
          </cell>
        </row>
        <row r="1710">
          <cell r="A1710">
            <v>1706</v>
          </cell>
          <cell r="B1710" t="str">
            <v xml:space="preserve">12400112        </v>
          </cell>
          <cell r="C1710" t="str">
            <v xml:space="preserve">PELOTA BRINCA CHAMPION                  </v>
          </cell>
          <cell r="D1710" t="str">
            <v>JULIO</v>
          </cell>
          <cell r="E1710">
            <v>577.5</v>
          </cell>
          <cell r="F1710">
            <v>669.9</v>
          </cell>
        </row>
        <row r="1711">
          <cell r="A1711">
            <v>1707</v>
          </cell>
          <cell r="B1711" t="str">
            <v xml:space="preserve">12400239        </v>
          </cell>
          <cell r="C1711" t="str">
            <v xml:space="preserve">MICROSCOPIO CON ESTUCHE 1200X           </v>
          </cell>
          <cell r="D1711" t="str">
            <v>JULIO</v>
          </cell>
          <cell r="E1711">
            <v>993.3</v>
          </cell>
          <cell r="F1711">
            <v>1152.2279999999998</v>
          </cell>
        </row>
        <row r="1712">
          <cell r="A1712">
            <v>1708</v>
          </cell>
          <cell r="B1712" t="str">
            <v xml:space="preserve">53200893        </v>
          </cell>
          <cell r="C1712" t="str">
            <v xml:space="preserve">SURTIDO DE VEHICULOS CON SONIDO LP      </v>
          </cell>
          <cell r="D1712" t="str">
            <v>JULIO</v>
          </cell>
          <cell r="E1712">
            <v>740.84999999999991</v>
          </cell>
          <cell r="F1712">
            <v>859.38599999999985</v>
          </cell>
        </row>
        <row r="1713">
          <cell r="A1713">
            <v>1709</v>
          </cell>
          <cell r="B1713" t="str">
            <v xml:space="preserve">53201800        </v>
          </cell>
          <cell r="C1713" t="str">
            <v xml:space="preserve">BASIC BALONCESTO ACTIVIDADES DIVERTIDAS </v>
          </cell>
          <cell r="D1713" t="str">
            <v>JULIO</v>
          </cell>
          <cell r="E1713">
            <v>778.8</v>
          </cell>
          <cell r="F1713">
            <v>903.4079999999999</v>
          </cell>
        </row>
        <row r="1714">
          <cell r="A1714">
            <v>1710</v>
          </cell>
          <cell r="B1714" t="str">
            <v xml:space="preserve">53204511        </v>
          </cell>
          <cell r="C1714" t="str">
            <v xml:space="preserve">FP GO BABY GO LEON PRIMEROS PASOS       </v>
          </cell>
          <cell r="D1714" t="str">
            <v>JULIO</v>
          </cell>
          <cell r="E1714">
            <v>1453.6499999999999</v>
          </cell>
          <cell r="F1714">
            <v>1686.2339999999997</v>
          </cell>
        </row>
        <row r="1715">
          <cell r="A1715">
            <v>1711</v>
          </cell>
          <cell r="B1715" t="str">
            <v xml:space="preserve">53205066        </v>
          </cell>
          <cell r="C1715" t="str">
            <v xml:space="preserve">F-P GO BABY GO GIMNASIO PATADITAS D     </v>
          </cell>
          <cell r="D1715" t="str">
            <v>JULIO</v>
          </cell>
          <cell r="E1715">
            <v>2004.75</v>
          </cell>
          <cell r="F1715">
            <v>2325.5099999999998</v>
          </cell>
        </row>
        <row r="1716">
          <cell r="A1716">
            <v>1712</v>
          </cell>
          <cell r="B1716" t="str">
            <v xml:space="preserve">53206556        </v>
          </cell>
          <cell r="C1716" t="str">
            <v xml:space="preserve">MALETIN MEDICO                          </v>
          </cell>
          <cell r="D1716" t="str">
            <v>JULIO</v>
          </cell>
          <cell r="E1716">
            <v>382.8</v>
          </cell>
          <cell r="F1716">
            <v>444.048</v>
          </cell>
        </row>
        <row r="1717">
          <cell r="A1717">
            <v>1713</v>
          </cell>
          <cell r="B1717" t="str">
            <v xml:space="preserve">53209447        </v>
          </cell>
          <cell r="C1717" t="str">
            <v xml:space="preserve">PEQUENO SNOOPY                          </v>
          </cell>
          <cell r="D1717" t="str">
            <v>JULIO</v>
          </cell>
          <cell r="E1717">
            <v>348.15000000000003</v>
          </cell>
          <cell r="F1717">
            <v>403.85399999999998</v>
          </cell>
        </row>
        <row r="1718">
          <cell r="A1718">
            <v>1714</v>
          </cell>
          <cell r="B1718" t="str">
            <v xml:space="preserve">53243205        </v>
          </cell>
          <cell r="C1718" t="str">
            <v xml:space="preserve">ANDADERA VAGON                          </v>
          </cell>
          <cell r="D1718" t="str">
            <v>JULIO</v>
          </cell>
          <cell r="E1718">
            <v>1037.8500000000001</v>
          </cell>
          <cell r="F1718">
            <v>1203.9059999999999</v>
          </cell>
        </row>
        <row r="1719">
          <cell r="A1719">
            <v>1715</v>
          </cell>
          <cell r="B1719" t="str">
            <v xml:space="preserve">53272774        </v>
          </cell>
          <cell r="C1719" t="str">
            <v xml:space="preserve">TELEFONO PARLACHIN                      </v>
          </cell>
          <cell r="D1719" t="str">
            <v>JULIO</v>
          </cell>
          <cell r="E1719">
            <v>470.24999999999994</v>
          </cell>
          <cell r="F1719">
            <v>545.4899999999999</v>
          </cell>
        </row>
        <row r="1720">
          <cell r="A1720">
            <v>1716</v>
          </cell>
          <cell r="B1720" t="str">
            <v xml:space="preserve">57404102        </v>
          </cell>
          <cell r="C1720" t="str">
            <v xml:space="preserve">JUGUETERO GRANDE COLOR MORADO           </v>
          </cell>
          <cell r="D1720" t="str">
            <v>JULIO</v>
          </cell>
          <cell r="E1720">
            <v>544.5</v>
          </cell>
          <cell r="F1720">
            <v>631.61999999999989</v>
          </cell>
        </row>
        <row r="1721">
          <cell r="A1721">
            <v>1717</v>
          </cell>
          <cell r="B1721" t="str">
            <v xml:space="preserve">57407363        </v>
          </cell>
          <cell r="C1721" t="str">
            <v xml:space="preserve">LIFESTYLE COCINA DE LOS SUEÑOS          </v>
          </cell>
          <cell r="D1721" t="str">
            <v>JULIO</v>
          </cell>
          <cell r="E1721">
            <v>4775.1000000000004</v>
          </cell>
          <cell r="F1721">
            <v>5539.116</v>
          </cell>
        </row>
        <row r="1722">
          <cell r="A1722">
            <v>1718</v>
          </cell>
          <cell r="B1722" t="str">
            <v xml:space="preserve">57407372        </v>
          </cell>
          <cell r="C1722" t="str">
            <v xml:space="preserve">COCINA CON ACCESORIOS                   </v>
          </cell>
          <cell r="D1722" t="str">
            <v>JULIO</v>
          </cell>
          <cell r="E1722">
            <v>3176.25</v>
          </cell>
          <cell r="F1722">
            <v>3684.45</v>
          </cell>
        </row>
        <row r="1723">
          <cell r="A1723">
            <v>1719</v>
          </cell>
          <cell r="B1723" t="str">
            <v xml:space="preserve">57407488        </v>
          </cell>
          <cell r="C1723" t="str">
            <v xml:space="preserve">COLUMPIO                                </v>
          </cell>
          <cell r="D1723" t="str">
            <v>JULIO</v>
          </cell>
          <cell r="E1723">
            <v>714.45</v>
          </cell>
          <cell r="F1723">
            <v>828.76199999999994</v>
          </cell>
        </row>
        <row r="1724">
          <cell r="A1724">
            <v>1720</v>
          </cell>
          <cell r="B1724" t="str">
            <v xml:space="preserve">57407818        </v>
          </cell>
          <cell r="C1724" t="str">
            <v xml:space="preserve">CENTRO DEPORTIVO CON RESBALADERO        </v>
          </cell>
          <cell r="D1724" t="str">
            <v>JULIO</v>
          </cell>
          <cell r="E1724">
            <v>3126.7499999999995</v>
          </cell>
          <cell r="F1724">
            <v>3627.0299999999993</v>
          </cell>
        </row>
        <row r="1725">
          <cell r="A1725">
            <v>1721</v>
          </cell>
          <cell r="B1725" t="str">
            <v xml:space="preserve">57407822        </v>
          </cell>
          <cell r="C1725" t="str">
            <v xml:space="preserve">MONTAÑA PARA TREPAR                     </v>
          </cell>
          <cell r="D1725" t="str">
            <v>JULIO</v>
          </cell>
          <cell r="E1725">
            <v>14209.8</v>
          </cell>
          <cell r="F1725">
            <v>16483.367999999999</v>
          </cell>
        </row>
        <row r="1726">
          <cell r="A1726">
            <v>1722</v>
          </cell>
          <cell r="B1726" t="str">
            <v xml:space="preserve">57408866        </v>
          </cell>
          <cell r="C1726" t="str">
            <v xml:space="preserve">CABALLO MECEDOR                         </v>
          </cell>
          <cell r="D1726" t="str">
            <v>JULIO</v>
          </cell>
          <cell r="E1726">
            <v>975.14999999999986</v>
          </cell>
          <cell r="F1726">
            <v>1131.1739999999998</v>
          </cell>
        </row>
        <row r="1727">
          <cell r="A1727">
            <v>1723</v>
          </cell>
          <cell r="B1727" t="str">
            <v xml:space="preserve">71808855        </v>
          </cell>
          <cell r="C1727" t="str">
            <v xml:space="preserve">NUEVO GIMNASIO ARCO MAGICO              </v>
          </cell>
          <cell r="D1727" t="str">
            <v>JULIO</v>
          </cell>
          <cell r="E1727">
            <v>1201.2</v>
          </cell>
          <cell r="F1727">
            <v>1393.3919999999998</v>
          </cell>
        </row>
        <row r="1728">
          <cell r="A1728">
            <v>1724</v>
          </cell>
          <cell r="B1728" t="str">
            <v xml:space="preserve">71822114        </v>
          </cell>
          <cell r="C1728" t="str">
            <v xml:space="preserve">PLAY-DOH 4 PACK NUEVO SURTIDO           </v>
          </cell>
          <cell r="D1728" t="str">
            <v>JULIO</v>
          </cell>
          <cell r="E1728">
            <v>102.3</v>
          </cell>
          <cell r="F1728">
            <v>118.66799999999999</v>
          </cell>
        </row>
        <row r="1729">
          <cell r="A1729">
            <v>1725</v>
          </cell>
          <cell r="B1729" t="str">
            <v xml:space="preserve">7502251660000   </v>
          </cell>
          <cell r="C1729" t="str">
            <v xml:space="preserve">(M-101) CATALOGO                        </v>
          </cell>
          <cell r="D1729" t="str">
            <v xml:space="preserve">KIDS </v>
          </cell>
          <cell r="E1729">
            <v>28.874999999999993</v>
          </cell>
          <cell r="F1729">
            <v>33.49499999999999</v>
          </cell>
        </row>
        <row r="1730">
          <cell r="A1730">
            <v>1726</v>
          </cell>
          <cell r="B1730" t="str">
            <v xml:space="preserve">7502251660017   </v>
          </cell>
          <cell r="C1730" t="str">
            <v xml:space="preserve">(M-1001) CUBI-ESCALA                    </v>
          </cell>
          <cell r="D1730" t="str">
            <v xml:space="preserve">KIDS </v>
          </cell>
          <cell r="E1730">
            <v>6916.14</v>
          </cell>
          <cell r="F1730">
            <v>8022.7223999999997</v>
          </cell>
        </row>
        <row r="1731">
          <cell r="A1731">
            <v>1727</v>
          </cell>
          <cell r="B1731" t="str">
            <v xml:space="preserve">7502251660024   </v>
          </cell>
          <cell r="C1731" t="str">
            <v xml:space="preserve">(M-1002) TANGRAM IRUKA                  </v>
          </cell>
          <cell r="D1731" t="str">
            <v xml:space="preserve">KIDS </v>
          </cell>
          <cell r="E1731">
            <v>8535.4499999999989</v>
          </cell>
          <cell r="F1731">
            <v>9901.1219999999976</v>
          </cell>
        </row>
        <row r="1732">
          <cell r="A1732">
            <v>1728</v>
          </cell>
          <cell r="B1732" t="str">
            <v xml:space="preserve">7502251660031   </v>
          </cell>
          <cell r="C1732" t="str">
            <v xml:space="preserve">(M-1003) DOMINO PILLY                   </v>
          </cell>
          <cell r="D1732" t="str">
            <v xml:space="preserve">KIDS </v>
          </cell>
          <cell r="E1732">
            <v>9662.73</v>
          </cell>
          <cell r="F1732">
            <v>11208.766799999999</v>
          </cell>
        </row>
        <row r="1733">
          <cell r="A1733">
            <v>1729</v>
          </cell>
          <cell r="B1733" t="str">
            <v xml:space="preserve">7502251660048   </v>
          </cell>
          <cell r="C1733" t="str">
            <v xml:space="preserve">(M-1004) OBSTACULOS GEOMETRICOS         </v>
          </cell>
          <cell r="D1733" t="str">
            <v xml:space="preserve">KIDS </v>
          </cell>
          <cell r="E1733">
            <v>11538.449999999999</v>
          </cell>
          <cell r="F1733">
            <v>13384.601999999997</v>
          </cell>
        </row>
        <row r="1734">
          <cell r="A1734">
            <v>1730</v>
          </cell>
          <cell r="B1734" t="str">
            <v xml:space="preserve">7502251660055   </v>
          </cell>
          <cell r="C1734" t="str">
            <v xml:space="preserve">(M-1005) RUBIK IRUKA                    </v>
          </cell>
          <cell r="D1734" t="str">
            <v xml:space="preserve">KIDS </v>
          </cell>
          <cell r="E1734">
            <v>1234.6949999999999</v>
          </cell>
          <cell r="F1734">
            <v>1432.2461999999998</v>
          </cell>
        </row>
        <row r="1735">
          <cell r="A1735">
            <v>1731</v>
          </cell>
          <cell r="B1735" t="str">
            <v xml:space="preserve">7502251660062   </v>
          </cell>
          <cell r="C1735" t="str">
            <v xml:space="preserve">(M-1006) BRINQUITI-BURRO                </v>
          </cell>
          <cell r="D1735" t="str">
            <v xml:space="preserve">KIDS </v>
          </cell>
          <cell r="E1735">
            <v>10512.81</v>
          </cell>
          <cell r="F1735">
            <v>12194.859599999998</v>
          </cell>
        </row>
        <row r="1736">
          <cell r="A1736">
            <v>1732</v>
          </cell>
          <cell r="B1736" t="str">
            <v xml:space="preserve">7502251660079   </v>
          </cell>
          <cell r="C1736" t="str">
            <v xml:space="preserve">(M-1007) CUBI-USOS                      </v>
          </cell>
          <cell r="D1736" t="str">
            <v xml:space="preserve">KIDS </v>
          </cell>
          <cell r="E1736">
            <v>3550.4700000000007</v>
          </cell>
          <cell r="F1736">
            <v>4118.5452000000005</v>
          </cell>
        </row>
        <row r="1737">
          <cell r="A1737">
            <v>1733</v>
          </cell>
          <cell r="B1737" t="str">
            <v xml:space="preserve">7502251660086   </v>
          </cell>
          <cell r="C1737" t="str">
            <v xml:space="preserve">(M-1008) MACRO PUZZLE                   </v>
          </cell>
          <cell r="D1737" t="str">
            <v xml:space="preserve">KIDS </v>
          </cell>
          <cell r="E1737">
            <v>4230.7650000000003</v>
          </cell>
          <cell r="F1737">
            <v>4907.6873999999998</v>
          </cell>
        </row>
        <row r="1738">
          <cell r="A1738">
            <v>1734</v>
          </cell>
          <cell r="B1738" t="str">
            <v xml:space="preserve">7502251660093   </v>
          </cell>
          <cell r="C1738" t="str">
            <v xml:space="preserve">(M-1009) TRIANGULO MAGICO               </v>
          </cell>
          <cell r="D1738" t="str">
            <v xml:space="preserve">KIDS </v>
          </cell>
          <cell r="E1738">
            <v>2926.7700000000004</v>
          </cell>
          <cell r="F1738">
            <v>3395.0532000000003</v>
          </cell>
        </row>
        <row r="1739">
          <cell r="A1739">
            <v>1735</v>
          </cell>
          <cell r="B1739" t="str">
            <v xml:space="preserve">7502251660109   </v>
          </cell>
          <cell r="C1739" t="str">
            <v xml:space="preserve">(M-1010) HEXAGONO MAGICO                </v>
          </cell>
          <cell r="D1739" t="str">
            <v xml:space="preserve">KIDS </v>
          </cell>
          <cell r="E1739">
            <v>3028.41</v>
          </cell>
          <cell r="F1739">
            <v>3512.9555999999998</v>
          </cell>
        </row>
        <row r="1740">
          <cell r="A1740">
            <v>1736</v>
          </cell>
          <cell r="B1740" t="str">
            <v xml:space="preserve">7502251660116   </v>
          </cell>
          <cell r="C1740" t="str">
            <v xml:space="preserve">(M-1011) GATO                           </v>
          </cell>
          <cell r="D1740" t="str">
            <v xml:space="preserve">KIDS </v>
          </cell>
          <cell r="E1740">
            <v>2112.4950000000003</v>
          </cell>
          <cell r="F1740">
            <v>2450.4942000000001</v>
          </cell>
        </row>
        <row r="1741">
          <cell r="A1741">
            <v>1737</v>
          </cell>
          <cell r="B1741" t="str">
            <v xml:space="preserve">7502251660123   </v>
          </cell>
          <cell r="C1741" t="str">
            <v xml:space="preserve">(M-1012)  DESCANZA PUZZLE               </v>
          </cell>
          <cell r="D1741" t="str">
            <v xml:space="preserve">KIDS </v>
          </cell>
          <cell r="E1741">
            <v>5455.0650000000005</v>
          </cell>
          <cell r="F1741">
            <v>6327.8753999999999</v>
          </cell>
        </row>
        <row r="1742">
          <cell r="A1742">
            <v>1738</v>
          </cell>
          <cell r="B1742" t="str">
            <v xml:space="preserve">7502251660130   </v>
          </cell>
          <cell r="C1742" t="str">
            <v xml:space="preserve">(M-2001) COLCHONETA CON DOS CURVAS      </v>
          </cell>
          <cell r="D1742" t="str">
            <v xml:space="preserve">KIDS </v>
          </cell>
          <cell r="E1742">
            <v>3086.16</v>
          </cell>
          <cell r="F1742">
            <v>3579.9455999999996</v>
          </cell>
        </row>
        <row r="1743">
          <cell r="A1743">
            <v>1739</v>
          </cell>
          <cell r="B1743" t="str">
            <v xml:space="preserve">7502251660147   </v>
          </cell>
          <cell r="C1743" t="str">
            <v xml:space="preserve">(M-2002) MONOCURVA                      </v>
          </cell>
          <cell r="D1743" t="str">
            <v xml:space="preserve">KIDS </v>
          </cell>
          <cell r="E1743">
            <v>3348.3449999999998</v>
          </cell>
          <cell r="F1743">
            <v>3884.0801999999994</v>
          </cell>
        </row>
        <row r="1744">
          <cell r="A1744">
            <v>1740</v>
          </cell>
          <cell r="B1744" t="str">
            <v xml:space="preserve">7502251660154   </v>
          </cell>
          <cell r="C1744" t="str">
            <v xml:space="preserve">(M-2003) 4 ONDAS ASCENDENTES            </v>
          </cell>
          <cell r="D1744" t="str">
            <v xml:space="preserve">KIDS </v>
          </cell>
          <cell r="E1744">
            <v>5872.0199999999995</v>
          </cell>
          <cell r="F1744">
            <v>6811.5431999999992</v>
          </cell>
        </row>
        <row r="1745">
          <cell r="A1745">
            <v>1741</v>
          </cell>
          <cell r="B1745" t="str">
            <v xml:space="preserve">7502251660161   </v>
          </cell>
          <cell r="C1745" t="str">
            <v xml:space="preserve">(M-2004) POSTE                          </v>
          </cell>
          <cell r="D1745" t="str">
            <v xml:space="preserve">KIDS </v>
          </cell>
          <cell r="E1745">
            <v>656.04000000000008</v>
          </cell>
          <cell r="F1745">
            <v>761.00639999999999</v>
          </cell>
        </row>
        <row r="1746">
          <cell r="A1746">
            <v>1742</v>
          </cell>
          <cell r="B1746" t="str">
            <v xml:space="preserve">7502251660178   </v>
          </cell>
          <cell r="C1746" t="str">
            <v xml:space="preserve">(M-2005) COLCHONETA CON 4 CURVAS        </v>
          </cell>
          <cell r="D1746" t="str">
            <v xml:space="preserve">KIDS </v>
          </cell>
          <cell r="E1746">
            <v>3132.36</v>
          </cell>
          <cell r="F1746">
            <v>3633.5375999999997</v>
          </cell>
        </row>
        <row r="1747">
          <cell r="A1747">
            <v>1743</v>
          </cell>
          <cell r="B1747" t="str">
            <v xml:space="preserve">7502251660185   </v>
          </cell>
          <cell r="C1747" t="str">
            <v xml:space="preserve">(M-2006) CUBO DE 65X60X65 CM            </v>
          </cell>
          <cell r="D1747" t="str">
            <v xml:space="preserve">KIDS </v>
          </cell>
          <cell r="E1747">
            <v>3201.6600000000003</v>
          </cell>
          <cell r="F1747">
            <v>3713.9256</v>
          </cell>
        </row>
        <row r="1748">
          <cell r="A1748">
            <v>1744</v>
          </cell>
          <cell r="B1748" t="str">
            <v xml:space="preserve">7502251660192   </v>
          </cell>
          <cell r="C1748" t="str">
            <v xml:space="preserve">(M-2007) LAMINA DE 90X65X20             </v>
          </cell>
          <cell r="D1748" t="str">
            <v xml:space="preserve">KIDS </v>
          </cell>
          <cell r="E1748">
            <v>1671.2850000000001</v>
          </cell>
          <cell r="F1748">
            <v>1938.6905999999999</v>
          </cell>
        </row>
        <row r="1749">
          <cell r="A1749">
            <v>1745</v>
          </cell>
          <cell r="B1749" t="str">
            <v xml:space="preserve">7502251660208   </v>
          </cell>
          <cell r="C1749" t="str">
            <v xml:space="preserve">(M-2008) 3 ONDAS ASCENDENTES            </v>
          </cell>
          <cell r="D1749" t="str">
            <v xml:space="preserve">KIDS </v>
          </cell>
          <cell r="E1749">
            <v>7357.3499999999985</v>
          </cell>
          <cell r="F1749">
            <v>8534.525999999998</v>
          </cell>
        </row>
        <row r="1750">
          <cell r="A1750">
            <v>1746</v>
          </cell>
          <cell r="B1750" t="str">
            <v xml:space="preserve">7502251660215   </v>
          </cell>
          <cell r="C1750" t="str">
            <v xml:space="preserve">(M-2009) CILINDRO GRANDE                </v>
          </cell>
          <cell r="D1750" t="str">
            <v xml:space="preserve">KIDS </v>
          </cell>
          <cell r="E1750">
            <v>2135.5950000000003</v>
          </cell>
          <cell r="F1750">
            <v>2477.2901999999999</v>
          </cell>
        </row>
        <row r="1751">
          <cell r="A1751">
            <v>1747</v>
          </cell>
          <cell r="B1751" t="str">
            <v xml:space="preserve">7502251660222   </v>
          </cell>
          <cell r="C1751" t="str">
            <v xml:space="preserve">(M-2010) CILINDRO MEDIANO               </v>
          </cell>
          <cell r="D1751" t="str">
            <v xml:space="preserve">KIDS </v>
          </cell>
          <cell r="E1751">
            <v>1764.8399999999997</v>
          </cell>
          <cell r="F1751">
            <v>2047.2143999999996</v>
          </cell>
        </row>
        <row r="1752">
          <cell r="A1752">
            <v>1748</v>
          </cell>
          <cell r="B1752" t="str">
            <v xml:space="preserve">7502251660239   </v>
          </cell>
          <cell r="C1752" t="str">
            <v xml:space="preserve">(M-2011) CILINDRO CHICO                 </v>
          </cell>
          <cell r="D1752" t="str">
            <v xml:space="preserve">KIDS </v>
          </cell>
          <cell r="E1752">
            <v>884.7299999999999</v>
          </cell>
          <cell r="F1752">
            <v>1026.2867999999999</v>
          </cell>
        </row>
        <row r="1753">
          <cell r="A1753">
            <v>1749</v>
          </cell>
          <cell r="B1753" t="str">
            <v xml:space="preserve">7502251660246   </v>
          </cell>
          <cell r="C1753" t="str">
            <v xml:space="preserve">(M-2012) RECTANGULO DE 90X60X65         </v>
          </cell>
          <cell r="D1753" t="str">
            <v xml:space="preserve">KIDS </v>
          </cell>
          <cell r="E1753">
            <v>4348.5749999999998</v>
          </cell>
          <cell r="F1753">
            <v>5044.3469999999998</v>
          </cell>
        </row>
        <row r="1754">
          <cell r="A1754">
            <v>1750</v>
          </cell>
          <cell r="B1754" t="str">
            <v xml:space="preserve">7502251660253   </v>
          </cell>
          <cell r="C1754" t="str">
            <v xml:space="preserve">(M-2013) ESCALON CON 2                  </v>
          </cell>
          <cell r="D1754" t="str">
            <v xml:space="preserve">KIDS </v>
          </cell>
          <cell r="E1754">
            <v>1707.0899999999997</v>
          </cell>
          <cell r="F1754">
            <v>1980.2243999999994</v>
          </cell>
        </row>
        <row r="1755">
          <cell r="A1755">
            <v>1751</v>
          </cell>
          <cell r="B1755" t="str">
            <v xml:space="preserve">7502251660260   </v>
          </cell>
          <cell r="C1755" t="str">
            <v xml:space="preserve">(M-2014) ESCALON CON 3                  </v>
          </cell>
          <cell r="D1755" t="str">
            <v xml:space="preserve">KIDS </v>
          </cell>
          <cell r="E1755">
            <v>2262.6450000000004</v>
          </cell>
          <cell r="F1755">
            <v>2624.6682000000001</v>
          </cell>
        </row>
        <row r="1756">
          <cell r="A1756">
            <v>1752</v>
          </cell>
          <cell r="B1756" t="str">
            <v xml:space="preserve">7502251660277   </v>
          </cell>
          <cell r="C1756" t="str">
            <v xml:space="preserve">(M-2015) RAMPA LARGA                    </v>
          </cell>
          <cell r="D1756" t="str">
            <v xml:space="preserve">KIDS </v>
          </cell>
          <cell r="E1756">
            <v>3858.855</v>
          </cell>
          <cell r="F1756">
            <v>4476.2717999999995</v>
          </cell>
        </row>
        <row r="1757">
          <cell r="A1757">
            <v>1753</v>
          </cell>
          <cell r="B1757" t="str">
            <v xml:space="preserve">7502251660284   </v>
          </cell>
          <cell r="C1757" t="str">
            <v xml:space="preserve">(M-2016) RAMPA CORTA                    </v>
          </cell>
          <cell r="D1757" t="str">
            <v xml:space="preserve">KIDS </v>
          </cell>
          <cell r="E1757">
            <v>1793.7149999999999</v>
          </cell>
          <cell r="F1757">
            <v>2080.7093999999997</v>
          </cell>
        </row>
        <row r="1758">
          <cell r="A1758">
            <v>1754</v>
          </cell>
          <cell r="B1758" t="str">
            <v xml:space="preserve">7502251660291   </v>
          </cell>
          <cell r="C1758" t="str">
            <v>(M-2017A) COLCHONETA DE 200X200X5CM AMAR</v>
          </cell>
          <cell r="D1758" t="str">
            <v xml:space="preserve">KIDS </v>
          </cell>
          <cell r="E1758">
            <v>3222.4500000000003</v>
          </cell>
          <cell r="F1758">
            <v>3738.0419999999999</v>
          </cell>
        </row>
        <row r="1759">
          <cell r="A1759">
            <v>1755</v>
          </cell>
          <cell r="B1759" t="str">
            <v xml:space="preserve">7502251660307   </v>
          </cell>
          <cell r="C1759" t="str">
            <v>(M-2017B) COLCHONETA DE 200X200X5CM AZUL</v>
          </cell>
          <cell r="D1759" t="str">
            <v xml:space="preserve">KIDS </v>
          </cell>
          <cell r="E1759">
            <v>3222.4500000000003</v>
          </cell>
          <cell r="F1759">
            <v>3738.0419999999999</v>
          </cell>
        </row>
        <row r="1760">
          <cell r="A1760">
            <v>1756</v>
          </cell>
          <cell r="B1760" t="str">
            <v xml:space="preserve">7502251660314   </v>
          </cell>
          <cell r="C1760" t="str">
            <v>(M-2017C) COLCHONETA 200X200X5 CM NARANJ</v>
          </cell>
          <cell r="D1760" t="str">
            <v xml:space="preserve">KIDS </v>
          </cell>
          <cell r="E1760">
            <v>3222.4500000000003</v>
          </cell>
          <cell r="F1760">
            <v>3738.0419999999999</v>
          </cell>
        </row>
        <row r="1761">
          <cell r="A1761">
            <v>1757</v>
          </cell>
          <cell r="B1761" t="str">
            <v xml:space="preserve">7502251660321   </v>
          </cell>
          <cell r="C1761" t="str">
            <v xml:space="preserve">(M-2017D) COLCHONETA 200X200X5 CM ROJO  </v>
          </cell>
          <cell r="D1761" t="str">
            <v xml:space="preserve">KIDS </v>
          </cell>
          <cell r="E1761">
            <v>3222.4500000000003</v>
          </cell>
          <cell r="F1761">
            <v>3738.0419999999999</v>
          </cell>
        </row>
        <row r="1762">
          <cell r="A1762">
            <v>1758</v>
          </cell>
          <cell r="B1762" t="str">
            <v xml:space="preserve">7502251660338   </v>
          </cell>
          <cell r="C1762" t="str">
            <v xml:space="preserve">(M-2017E) COLCHONETA 200X200X5 CM VERDE </v>
          </cell>
          <cell r="D1762" t="str">
            <v xml:space="preserve">KIDS </v>
          </cell>
          <cell r="E1762">
            <v>3222.4500000000003</v>
          </cell>
          <cell r="F1762">
            <v>3738.0419999999999</v>
          </cell>
        </row>
        <row r="1763">
          <cell r="A1763">
            <v>1759</v>
          </cell>
          <cell r="B1763" t="str">
            <v xml:space="preserve">7502251660345   </v>
          </cell>
          <cell r="C1763" t="str">
            <v xml:space="preserve">(M-2018) RAMPA PLEGABLE                 </v>
          </cell>
          <cell r="D1763" t="str">
            <v xml:space="preserve">KIDS </v>
          </cell>
          <cell r="E1763">
            <v>5562.48</v>
          </cell>
          <cell r="F1763">
            <v>6452.4767999999995</v>
          </cell>
        </row>
        <row r="1764">
          <cell r="A1764">
            <v>1760</v>
          </cell>
          <cell r="B1764" t="str">
            <v xml:space="preserve">7502251660352   </v>
          </cell>
          <cell r="C1764" t="str">
            <v xml:space="preserve">(M-2019) ESCALERA GRANDE                </v>
          </cell>
          <cell r="D1764" t="str">
            <v xml:space="preserve">KIDS </v>
          </cell>
          <cell r="E1764">
            <v>3193.5749999999998</v>
          </cell>
          <cell r="F1764">
            <v>3704.5469999999996</v>
          </cell>
        </row>
        <row r="1765">
          <cell r="A1765">
            <v>1761</v>
          </cell>
          <cell r="B1765" t="str">
            <v xml:space="preserve">7502251660369   </v>
          </cell>
          <cell r="C1765" t="str">
            <v xml:space="preserve">(M-2020) RUEDA TOFI                     </v>
          </cell>
          <cell r="D1765" t="str">
            <v xml:space="preserve">KIDS </v>
          </cell>
          <cell r="E1765">
            <v>4174.17</v>
          </cell>
          <cell r="F1765">
            <v>4842.0371999999998</v>
          </cell>
        </row>
        <row r="1766">
          <cell r="A1766">
            <v>1762</v>
          </cell>
          <cell r="B1766" t="str">
            <v xml:space="preserve">7502251660376   </v>
          </cell>
          <cell r="C1766" t="str">
            <v xml:space="preserve">(M-2021) CILINDRO (30x90)cm             </v>
          </cell>
          <cell r="D1766" t="str">
            <v xml:space="preserve">KIDS </v>
          </cell>
          <cell r="E1766">
            <v>1313.2350000000001</v>
          </cell>
          <cell r="F1766">
            <v>1523.3525999999999</v>
          </cell>
        </row>
        <row r="1767">
          <cell r="A1767">
            <v>1763</v>
          </cell>
          <cell r="B1767" t="str">
            <v xml:space="preserve">7502251660383   </v>
          </cell>
          <cell r="C1767" t="str">
            <v xml:space="preserve">(M-2022) CILINDRO (25x60)cm             </v>
          </cell>
          <cell r="D1767" t="str">
            <v xml:space="preserve">KIDS </v>
          </cell>
          <cell r="E1767">
            <v>743.82</v>
          </cell>
          <cell r="F1767">
            <v>862.83119999999997</v>
          </cell>
        </row>
        <row r="1768">
          <cell r="A1768">
            <v>1764</v>
          </cell>
          <cell r="B1768" t="str">
            <v xml:space="preserve">7502251660390   </v>
          </cell>
          <cell r="C1768" t="str">
            <v xml:space="preserve">(M-2023) CILINDRO (20x60)cm             </v>
          </cell>
          <cell r="D1768" t="str">
            <v xml:space="preserve">KIDS </v>
          </cell>
          <cell r="E1768">
            <v>574.03499999999997</v>
          </cell>
          <cell r="F1768">
            <v>665.88059999999996</v>
          </cell>
        </row>
        <row r="1769">
          <cell r="A1769">
            <v>1765</v>
          </cell>
          <cell r="B1769" t="str">
            <v xml:space="preserve">7502251660406   </v>
          </cell>
          <cell r="C1769" t="str">
            <v xml:space="preserve">(M-2024) CILINDRO (20x50)cm             </v>
          </cell>
          <cell r="D1769" t="str">
            <v xml:space="preserve">KIDS </v>
          </cell>
          <cell r="E1769">
            <v>509.35500000000008</v>
          </cell>
          <cell r="F1769">
            <v>590.85180000000003</v>
          </cell>
        </row>
        <row r="1770">
          <cell r="A1770">
            <v>1766</v>
          </cell>
          <cell r="B1770" t="str">
            <v xml:space="preserve">7502251660413   </v>
          </cell>
          <cell r="C1770" t="str">
            <v xml:space="preserve">(M-2025) CILINDRO (15x60)cm             </v>
          </cell>
          <cell r="D1770" t="str">
            <v xml:space="preserve">KIDS </v>
          </cell>
          <cell r="E1770">
            <v>425.04</v>
          </cell>
          <cell r="F1770">
            <v>493.04640000000001</v>
          </cell>
        </row>
        <row r="1771">
          <cell r="A1771">
            <v>1767</v>
          </cell>
          <cell r="B1771" t="str">
            <v xml:space="preserve">7502251660420   </v>
          </cell>
          <cell r="C1771" t="str">
            <v xml:space="preserve">(M-201) PASO A PASO DE TEXTURAS         </v>
          </cell>
          <cell r="D1771" t="str">
            <v xml:space="preserve">KIDS </v>
          </cell>
          <cell r="E1771">
            <v>1518.8249999999998</v>
          </cell>
          <cell r="F1771">
            <v>1761.8369999999998</v>
          </cell>
        </row>
        <row r="1772">
          <cell r="A1772">
            <v>1768</v>
          </cell>
          <cell r="B1772" t="str">
            <v xml:space="preserve">7502251660437   </v>
          </cell>
          <cell r="C1772" t="str">
            <v xml:space="preserve">(M-202) COJIN DE LACTANCIA              </v>
          </cell>
          <cell r="D1772" t="str">
            <v xml:space="preserve">KIDS </v>
          </cell>
          <cell r="E1772">
            <v>371.91</v>
          </cell>
          <cell r="F1772">
            <v>431.41559999999998</v>
          </cell>
        </row>
        <row r="1773">
          <cell r="A1773">
            <v>1769</v>
          </cell>
          <cell r="B1773" t="str">
            <v xml:space="preserve">7502251660444   </v>
          </cell>
          <cell r="C1773" t="str">
            <v xml:space="preserve">(M-203) DONA DE LACTANCIA               </v>
          </cell>
          <cell r="D1773" t="str">
            <v xml:space="preserve">KIDS </v>
          </cell>
          <cell r="E1773">
            <v>858.16500000000008</v>
          </cell>
          <cell r="F1773">
            <v>995.47140000000002</v>
          </cell>
        </row>
        <row r="1774">
          <cell r="A1774">
            <v>1770</v>
          </cell>
          <cell r="B1774" t="str">
            <v xml:space="preserve">7502251660451   </v>
          </cell>
          <cell r="C1774" t="str">
            <v xml:space="preserve">(M-204) PORTABEBE NICO                  </v>
          </cell>
          <cell r="D1774" t="str">
            <v xml:space="preserve">KIDS </v>
          </cell>
          <cell r="E1774">
            <v>419.26500000000004</v>
          </cell>
          <cell r="F1774">
            <v>486.34739999999999</v>
          </cell>
        </row>
        <row r="1775">
          <cell r="A1775">
            <v>1771</v>
          </cell>
          <cell r="B1775" t="str">
            <v xml:space="preserve">7502251660468   </v>
          </cell>
          <cell r="C1775" t="str">
            <v xml:space="preserve">(M-205) DONA VICKY                      </v>
          </cell>
          <cell r="D1775" t="str">
            <v xml:space="preserve">KIDS </v>
          </cell>
          <cell r="E1775">
            <v>732.27</v>
          </cell>
          <cell r="F1775">
            <v>849.43319999999994</v>
          </cell>
        </row>
        <row r="1776">
          <cell r="A1776">
            <v>1772</v>
          </cell>
          <cell r="B1776" t="str">
            <v xml:space="preserve">7502251660475   </v>
          </cell>
          <cell r="C1776" t="str">
            <v xml:space="preserve">(M-206) PORTABEBE MUNIS                 </v>
          </cell>
          <cell r="D1776" t="str">
            <v xml:space="preserve">KIDS </v>
          </cell>
          <cell r="E1776">
            <v>383.46000000000004</v>
          </cell>
          <cell r="F1776">
            <v>444.81360000000001</v>
          </cell>
        </row>
        <row r="1777">
          <cell r="A1777">
            <v>1773</v>
          </cell>
          <cell r="B1777" t="str">
            <v xml:space="preserve">7502251660482   </v>
          </cell>
          <cell r="C1777" t="str">
            <v xml:space="preserve">(M-207) CUÑA CON ESPEJO                 </v>
          </cell>
          <cell r="D1777" t="str">
            <v xml:space="preserve">KIDS </v>
          </cell>
          <cell r="E1777">
            <v>361.51499999999999</v>
          </cell>
          <cell r="F1777">
            <v>419.35739999999998</v>
          </cell>
        </row>
        <row r="1778">
          <cell r="A1778">
            <v>1774</v>
          </cell>
          <cell r="B1778" t="str">
            <v xml:space="preserve">7502251660499   </v>
          </cell>
          <cell r="C1778" t="str">
            <v xml:space="preserve">(M-208) ESPEJO BARANDAL                 </v>
          </cell>
          <cell r="D1778" t="str">
            <v xml:space="preserve">KIDS </v>
          </cell>
          <cell r="E1778">
            <v>285.28499999999997</v>
          </cell>
          <cell r="F1778">
            <v>330.93059999999997</v>
          </cell>
        </row>
        <row r="1779">
          <cell r="A1779">
            <v>1775</v>
          </cell>
          <cell r="B1779" t="str">
            <v xml:space="preserve">7502251660505   </v>
          </cell>
          <cell r="C1779" t="str">
            <v xml:space="preserve">(M-209) MI PRIMER SET                   </v>
          </cell>
          <cell r="D1779" t="str">
            <v xml:space="preserve">KIDS </v>
          </cell>
          <cell r="E1779">
            <v>4416.72</v>
          </cell>
          <cell r="F1779">
            <v>5123.3951999999999</v>
          </cell>
        </row>
        <row r="1780">
          <cell r="A1780">
            <v>1776</v>
          </cell>
          <cell r="B1780" t="str">
            <v xml:space="preserve">7502251660512   </v>
          </cell>
          <cell r="C1780" t="str">
            <v xml:space="preserve">(M-210) SET BASICO DE GATEO             </v>
          </cell>
          <cell r="D1780" t="str">
            <v xml:space="preserve">KIDS </v>
          </cell>
          <cell r="E1780">
            <v>3592.0499999999997</v>
          </cell>
          <cell r="F1780">
            <v>4166.7779999999993</v>
          </cell>
        </row>
        <row r="1781">
          <cell r="A1781">
            <v>1777</v>
          </cell>
          <cell r="B1781" t="str">
            <v xml:space="preserve">7502251660529   </v>
          </cell>
          <cell r="C1781" t="str">
            <v xml:space="preserve">(M-211) PASO A PASO TUTI FORMICOLOR     </v>
          </cell>
          <cell r="D1781" t="str">
            <v xml:space="preserve">KIDS </v>
          </cell>
          <cell r="E1781">
            <v>3480.0149999999994</v>
          </cell>
          <cell r="F1781">
            <v>4036.817399999999</v>
          </cell>
        </row>
        <row r="1782">
          <cell r="A1782">
            <v>1778</v>
          </cell>
          <cell r="B1782" t="str">
            <v xml:space="preserve">7502251660536   </v>
          </cell>
          <cell r="C1782" t="str">
            <v>(M-301-A) PARACAIDAS 3 MTS CON AGARRADER</v>
          </cell>
          <cell r="D1782" t="str">
            <v xml:space="preserve">KIDS </v>
          </cell>
          <cell r="E1782">
            <v>1155</v>
          </cell>
          <cell r="F1782">
            <v>1339.8</v>
          </cell>
        </row>
        <row r="1783">
          <cell r="A1783">
            <v>1779</v>
          </cell>
          <cell r="B1783" t="str">
            <v xml:space="preserve">7502251660543   </v>
          </cell>
          <cell r="C1783" t="str">
            <v xml:space="preserve">(M-301-T) PARACAIDAS 3MTS CON TUBULAR   </v>
          </cell>
          <cell r="D1783" t="str">
            <v xml:space="preserve">KIDS </v>
          </cell>
          <cell r="E1783">
            <v>1029.1049999999998</v>
          </cell>
          <cell r="F1783">
            <v>1193.7617999999998</v>
          </cell>
        </row>
        <row r="1784">
          <cell r="A1784">
            <v>1780</v>
          </cell>
          <cell r="B1784" t="str">
            <v xml:space="preserve">7502251660550   </v>
          </cell>
          <cell r="C1784" t="str">
            <v xml:space="preserve">(M-302) PELOTA INFLAGLOBOS              </v>
          </cell>
          <cell r="D1784" t="str">
            <v xml:space="preserve">KIDS </v>
          </cell>
          <cell r="E1784">
            <v>674.52</v>
          </cell>
          <cell r="F1784">
            <v>782.44319999999993</v>
          </cell>
        </row>
        <row r="1785">
          <cell r="A1785">
            <v>1781</v>
          </cell>
          <cell r="B1785" t="str">
            <v xml:space="preserve">7502251660567   </v>
          </cell>
          <cell r="C1785" t="str">
            <v xml:space="preserve">(M-303) PASAMANOS                       </v>
          </cell>
          <cell r="D1785" t="str">
            <v xml:space="preserve">KIDS </v>
          </cell>
          <cell r="E1785">
            <v>13908.51</v>
          </cell>
          <cell r="F1785">
            <v>16133.871599999999</v>
          </cell>
        </row>
        <row r="1786">
          <cell r="A1786">
            <v>1782</v>
          </cell>
          <cell r="B1786" t="str">
            <v xml:space="preserve">7502251660574   </v>
          </cell>
          <cell r="C1786" t="str">
            <v xml:space="preserve">(M-304) TUNEL GUSANO                    </v>
          </cell>
          <cell r="D1786" t="str">
            <v xml:space="preserve">KIDS </v>
          </cell>
          <cell r="E1786">
            <v>1307.4600000000003</v>
          </cell>
          <cell r="F1786">
            <v>1516.6536000000001</v>
          </cell>
        </row>
        <row r="1787">
          <cell r="A1787">
            <v>1783</v>
          </cell>
          <cell r="B1787" t="str">
            <v xml:space="preserve">7502251660581   </v>
          </cell>
          <cell r="C1787" t="str">
            <v xml:space="preserve">(M-305) BARRIL                          </v>
          </cell>
          <cell r="D1787" t="str">
            <v xml:space="preserve">KIDS </v>
          </cell>
          <cell r="E1787">
            <v>12316.92</v>
          </cell>
          <cell r="F1787">
            <v>14287.627199999999</v>
          </cell>
        </row>
        <row r="1788">
          <cell r="A1788">
            <v>1784</v>
          </cell>
          <cell r="B1788" t="str">
            <v xml:space="preserve">7502251660598   </v>
          </cell>
          <cell r="C1788" t="str">
            <v xml:space="preserve">(M-306) TORTUGA                         </v>
          </cell>
          <cell r="D1788" t="str">
            <v xml:space="preserve">KIDS </v>
          </cell>
          <cell r="E1788">
            <v>13288.275</v>
          </cell>
          <cell r="F1788">
            <v>15414.398999999998</v>
          </cell>
        </row>
        <row r="1789">
          <cell r="A1789">
            <v>1785</v>
          </cell>
          <cell r="B1789" t="str">
            <v xml:space="preserve">7502251660604   </v>
          </cell>
          <cell r="C1789" t="str">
            <v xml:space="preserve">(M-307) PENTAGONO CON ESPEJOS           </v>
          </cell>
          <cell r="D1789" t="str">
            <v xml:space="preserve">KIDS </v>
          </cell>
          <cell r="E1789">
            <v>2233.7700000000004</v>
          </cell>
          <cell r="F1789">
            <v>2591.1732000000002</v>
          </cell>
        </row>
        <row r="1790">
          <cell r="A1790">
            <v>1786</v>
          </cell>
          <cell r="B1790" t="str">
            <v xml:space="preserve">7502251660611   </v>
          </cell>
          <cell r="C1790" t="str">
            <v xml:space="preserve">(M-308) ESPEJO AKITOY                   </v>
          </cell>
          <cell r="D1790" t="str">
            <v xml:space="preserve">KIDS </v>
          </cell>
          <cell r="E1790">
            <v>1342.1100000000001</v>
          </cell>
          <cell r="F1790">
            <v>1556.8476000000001</v>
          </cell>
        </row>
        <row r="1791">
          <cell r="A1791">
            <v>1787</v>
          </cell>
          <cell r="B1791" t="str">
            <v xml:space="preserve">7502251660628   </v>
          </cell>
          <cell r="C1791" t="str">
            <v xml:space="preserve">(M-309) ESPEJO AKATOY                   </v>
          </cell>
          <cell r="D1791" t="str">
            <v xml:space="preserve">KIDS </v>
          </cell>
          <cell r="E1791">
            <v>3931.6200000000008</v>
          </cell>
          <cell r="F1791">
            <v>4560.6792000000005</v>
          </cell>
        </row>
        <row r="1792">
          <cell r="A1792">
            <v>1788</v>
          </cell>
          <cell r="B1792" t="str">
            <v xml:space="preserve">7502251660635   </v>
          </cell>
          <cell r="C1792" t="str">
            <v xml:space="preserve">(M-310) CUBO ON TOY?                    </v>
          </cell>
          <cell r="D1792" t="str">
            <v xml:space="preserve">KIDS </v>
          </cell>
          <cell r="E1792">
            <v>3161.2349999999997</v>
          </cell>
          <cell r="F1792">
            <v>3667.0325999999995</v>
          </cell>
        </row>
        <row r="1793">
          <cell r="A1793">
            <v>1789</v>
          </cell>
          <cell r="B1793" t="str">
            <v xml:space="preserve">7502251660642   </v>
          </cell>
          <cell r="C1793" t="str">
            <v xml:space="preserve">(M-311) PARACAIDAS ESTRELLA             </v>
          </cell>
          <cell r="D1793" t="str">
            <v xml:space="preserve">KIDS </v>
          </cell>
          <cell r="E1793">
            <v>1285.5149999999999</v>
          </cell>
          <cell r="F1793">
            <v>1491.1973999999998</v>
          </cell>
        </row>
        <row r="1794">
          <cell r="A1794">
            <v>1790</v>
          </cell>
          <cell r="B1794" t="str">
            <v xml:space="preserve">7502251660659   </v>
          </cell>
          <cell r="C1794" t="str">
            <v xml:space="preserve">(M-312) PARACAIDAS CARDINAL             </v>
          </cell>
          <cell r="D1794" t="str">
            <v xml:space="preserve">KIDS </v>
          </cell>
          <cell r="E1794">
            <v>1078.77</v>
          </cell>
          <cell r="F1794">
            <v>1251.3731999999998</v>
          </cell>
        </row>
        <row r="1795">
          <cell r="A1795">
            <v>1791</v>
          </cell>
          <cell r="B1795" t="str">
            <v xml:space="preserve">7502251660666   </v>
          </cell>
          <cell r="C1795" t="str">
            <v xml:space="preserve">(M-313) TOY AL CUBO                     </v>
          </cell>
          <cell r="D1795" t="str">
            <v xml:space="preserve">KIDS </v>
          </cell>
          <cell r="E1795">
            <v>2126.3550000000005</v>
          </cell>
          <cell r="F1795">
            <v>2466.5718000000002</v>
          </cell>
        </row>
        <row r="1796">
          <cell r="A1796">
            <v>1792</v>
          </cell>
          <cell r="B1796" t="str">
            <v xml:space="preserve">7502251660673   </v>
          </cell>
          <cell r="C1796" t="str">
            <v xml:space="preserve">(M-401) CUBO DESCUBRE                   </v>
          </cell>
          <cell r="D1796" t="str">
            <v xml:space="preserve">KIDS </v>
          </cell>
          <cell r="E1796">
            <v>1041.8100000000002</v>
          </cell>
          <cell r="F1796">
            <v>1208.4996000000001</v>
          </cell>
        </row>
        <row r="1797">
          <cell r="A1797">
            <v>1793</v>
          </cell>
          <cell r="B1797" t="str">
            <v xml:space="preserve">7502251660680   </v>
          </cell>
          <cell r="C1797" t="str">
            <v xml:space="preserve">(M-402) CENTRO DE ACTIVIDADES           </v>
          </cell>
          <cell r="D1797" t="str">
            <v xml:space="preserve">KIDS </v>
          </cell>
          <cell r="E1797">
            <v>3182.0250000000001</v>
          </cell>
          <cell r="F1797">
            <v>3691.1489999999999</v>
          </cell>
        </row>
        <row r="1798">
          <cell r="A1798">
            <v>1794</v>
          </cell>
          <cell r="B1798" t="str">
            <v xml:space="preserve">7502251660697   </v>
          </cell>
          <cell r="C1798" t="str">
            <v xml:space="preserve">(M-403) TUNEL MAGICO                    </v>
          </cell>
          <cell r="D1798" t="str">
            <v xml:space="preserve">KIDS </v>
          </cell>
          <cell r="E1798">
            <v>6638.9400000000005</v>
          </cell>
          <cell r="F1798">
            <v>7701.1704</v>
          </cell>
        </row>
        <row r="1799">
          <cell r="A1799">
            <v>1795</v>
          </cell>
          <cell r="B1799" t="str">
            <v xml:space="preserve">7502251660703   </v>
          </cell>
          <cell r="C1799" t="str">
            <v xml:space="preserve">(M-404) BABY ESCALADOR                  </v>
          </cell>
          <cell r="D1799" t="str">
            <v xml:space="preserve">KIDS </v>
          </cell>
          <cell r="E1799">
            <v>9877.56</v>
          </cell>
          <cell r="F1799">
            <v>11457.969599999999</v>
          </cell>
        </row>
        <row r="1800">
          <cell r="A1800">
            <v>1796</v>
          </cell>
          <cell r="B1800" t="str">
            <v xml:space="preserve">7502251660710   </v>
          </cell>
          <cell r="C1800" t="str">
            <v xml:space="preserve">(M-405) CUBO EXPLORADOR                 </v>
          </cell>
          <cell r="D1800" t="str">
            <v xml:space="preserve">KIDS </v>
          </cell>
          <cell r="E1800">
            <v>3592.0499999999997</v>
          </cell>
          <cell r="F1800">
            <v>4166.7779999999993</v>
          </cell>
        </row>
        <row r="1801">
          <cell r="A1801">
            <v>1797</v>
          </cell>
          <cell r="B1801" t="str">
            <v xml:space="preserve">7502251660727   </v>
          </cell>
          <cell r="C1801" t="str">
            <v>(M-406) CUÑA CON CUELLO CONCAVO 60X40X20</v>
          </cell>
          <cell r="D1801" t="str">
            <v xml:space="preserve">KIDS </v>
          </cell>
          <cell r="E1801">
            <v>583.27499999999986</v>
          </cell>
          <cell r="F1801">
            <v>676.59899999999982</v>
          </cell>
        </row>
        <row r="1802">
          <cell r="A1802">
            <v>1798</v>
          </cell>
          <cell r="B1802" t="str">
            <v xml:space="preserve">7502251660734   </v>
          </cell>
          <cell r="C1802" t="str">
            <v xml:space="preserve">(M-407)  CUÑA 60X40X15                  </v>
          </cell>
          <cell r="D1802" t="str">
            <v xml:space="preserve">KIDS </v>
          </cell>
          <cell r="E1802">
            <v>378.84000000000003</v>
          </cell>
          <cell r="F1802">
            <v>439.45440000000002</v>
          </cell>
        </row>
        <row r="1803">
          <cell r="A1803">
            <v>1799</v>
          </cell>
          <cell r="B1803" t="str">
            <v xml:space="preserve">7502251660741   </v>
          </cell>
          <cell r="C1803" t="str">
            <v xml:space="preserve">(M-408) CUÑA 60X60X20                   </v>
          </cell>
          <cell r="D1803" t="str">
            <v xml:space="preserve">KIDS </v>
          </cell>
          <cell r="E1803">
            <v>629.47500000000002</v>
          </cell>
          <cell r="F1803">
            <v>730.19099999999992</v>
          </cell>
        </row>
        <row r="1804">
          <cell r="A1804">
            <v>1800</v>
          </cell>
          <cell r="B1804" t="str">
            <v xml:space="preserve">7502251660758   </v>
          </cell>
          <cell r="C1804" t="str">
            <v xml:space="preserve">(M-409) CUÑA 40X40X10                   </v>
          </cell>
          <cell r="D1804" t="str">
            <v xml:space="preserve">KIDS </v>
          </cell>
          <cell r="E1804">
            <v>230.99999999999994</v>
          </cell>
          <cell r="F1804">
            <v>267.95999999999992</v>
          </cell>
        </row>
        <row r="1805">
          <cell r="A1805">
            <v>1801</v>
          </cell>
          <cell r="B1805" t="str">
            <v xml:space="preserve">7502251660765   </v>
          </cell>
          <cell r="C1805" t="str">
            <v xml:space="preserve">(M-501-A) COLCHONETA BASICA AMARILLA    </v>
          </cell>
          <cell r="D1805" t="str">
            <v xml:space="preserve">KIDS </v>
          </cell>
          <cell r="E1805">
            <v>697.61999999999989</v>
          </cell>
          <cell r="F1805">
            <v>809.23919999999987</v>
          </cell>
        </row>
        <row r="1806">
          <cell r="A1806">
            <v>1802</v>
          </cell>
          <cell r="B1806" t="str">
            <v xml:space="preserve">7502251660772   </v>
          </cell>
          <cell r="C1806" t="str">
            <v xml:space="preserve">(M-501-B) COLCHONETA BASICA AZUL        </v>
          </cell>
          <cell r="D1806" t="str">
            <v xml:space="preserve">KIDS </v>
          </cell>
          <cell r="E1806">
            <v>697.61999999999989</v>
          </cell>
          <cell r="F1806">
            <v>809.23919999999987</v>
          </cell>
        </row>
        <row r="1807">
          <cell r="A1807">
            <v>1803</v>
          </cell>
          <cell r="B1807" t="str">
            <v xml:space="preserve">7502251660789   </v>
          </cell>
          <cell r="C1807" t="str">
            <v xml:space="preserve">(M-501-C) COLCHONETA BASICA NARANJA     </v>
          </cell>
          <cell r="D1807" t="str">
            <v xml:space="preserve">KIDS </v>
          </cell>
          <cell r="E1807">
            <v>697.61999999999989</v>
          </cell>
          <cell r="F1807">
            <v>809.23919999999987</v>
          </cell>
        </row>
        <row r="1808">
          <cell r="A1808">
            <v>1804</v>
          </cell>
          <cell r="B1808" t="str">
            <v xml:space="preserve">7502251660796   </v>
          </cell>
          <cell r="C1808" t="str">
            <v xml:space="preserve">(M-501-D) COLCHONETA BASICA ROJO        </v>
          </cell>
          <cell r="D1808" t="str">
            <v xml:space="preserve">KIDS </v>
          </cell>
          <cell r="E1808">
            <v>697.61999999999989</v>
          </cell>
          <cell r="F1808">
            <v>809.23919999999987</v>
          </cell>
        </row>
        <row r="1809">
          <cell r="A1809">
            <v>1805</v>
          </cell>
          <cell r="B1809" t="str">
            <v xml:space="preserve">7502251660802   </v>
          </cell>
          <cell r="C1809" t="str">
            <v xml:space="preserve">(M-501-E) COLCHONETA BASICA VERDE       </v>
          </cell>
          <cell r="D1809" t="str">
            <v xml:space="preserve">KIDS </v>
          </cell>
          <cell r="E1809">
            <v>697.61999999999989</v>
          </cell>
          <cell r="F1809">
            <v>809.23919999999987</v>
          </cell>
        </row>
        <row r="1810">
          <cell r="A1810">
            <v>1806</v>
          </cell>
          <cell r="B1810" t="str">
            <v xml:space="preserve">7502251660819   </v>
          </cell>
          <cell r="C1810" t="str">
            <v>(M-502-AA) COLCHONETA PLEGADIZA AMARILLA</v>
          </cell>
          <cell r="D1810" t="str">
            <v xml:space="preserve">KIDS </v>
          </cell>
          <cell r="E1810">
            <v>775.005</v>
          </cell>
          <cell r="F1810">
            <v>899.00579999999991</v>
          </cell>
        </row>
        <row r="1811">
          <cell r="A1811">
            <v>1807</v>
          </cell>
          <cell r="B1811" t="str">
            <v xml:space="preserve">7502251660826   </v>
          </cell>
          <cell r="C1811" t="str">
            <v xml:space="preserve">(M-502-AB) COLCHONETA PLEGADIZA AZUL    </v>
          </cell>
          <cell r="D1811" t="str">
            <v xml:space="preserve">KIDS </v>
          </cell>
          <cell r="E1811">
            <v>775.005</v>
          </cell>
          <cell r="F1811">
            <v>899.00579999999991</v>
          </cell>
        </row>
        <row r="1812">
          <cell r="A1812">
            <v>1808</v>
          </cell>
          <cell r="B1812" t="str">
            <v xml:space="preserve">7502251660833   </v>
          </cell>
          <cell r="C1812" t="str">
            <v xml:space="preserve">(M-502-AC) COLCHONETA PLEGADIZA NARANJA </v>
          </cell>
          <cell r="D1812" t="str">
            <v xml:space="preserve">KIDS </v>
          </cell>
          <cell r="E1812">
            <v>775.005</v>
          </cell>
          <cell r="F1812">
            <v>899.00579999999991</v>
          </cell>
        </row>
        <row r="1813">
          <cell r="A1813">
            <v>1809</v>
          </cell>
          <cell r="B1813" t="str">
            <v xml:space="preserve">7502251660840   </v>
          </cell>
          <cell r="C1813" t="str">
            <v xml:space="preserve">(M-502-AD) COLCHONETA PLEGADIZA ROJA    </v>
          </cell>
          <cell r="D1813" t="str">
            <v xml:space="preserve">KIDS </v>
          </cell>
          <cell r="E1813">
            <v>775.005</v>
          </cell>
          <cell r="F1813">
            <v>899.00579999999991</v>
          </cell>
        </row>
        <row r="1814">
          <cell r="A1814">
            <v>1810</v>
          </cell>
          <cell r="B1814" t="str">
            <v xml:space="preserve">7502251660857   </v>
          </cell>
          <cell r="C1814" t="str">
            <v xml:space="preserve">(M-502-AE) COLCHONETA PLEGADIZA VERDE   </v>
          </cell>
          <cell r="D1814" t="str">
            <v xml:space="preserve">KIDS </v>
          </cell>
          <cell r="E1814">
            <v>775.005</v>
          </cell>
          <cell r="F1814">
            <v>899.00579999999991</v>
          </cell>
        </row>
        <row r="1815">
          <cell r="A1815">
            <v>1811</v>
          </cell>
          <cell r="B1815" t="str">
            <v xml:space="preserve">7502251660864   </v>
          </cell>
          <cell r="C1815" t="str">
            <v>(M-502-BA) COLCHONETA PLEG C/ALMOH AMARI</v>
          </cell>
          <cell r="D1815" t="str">
            <v xml:space="preserve">KIDS </v>
          </cell>
          <cell r="E1815">
            <v>843.15000000000009</v>
          </cell>
          <cell r="F1815">
            <v>978.05399999999997</v>
          </cell>
        </row>
        <row r="1816">
          <cell r="A1816">
            <v>1812</v>
          </cell>
          <cell r="B1816" t="str">
            <v xml:space="preserve">7502251660871   </v>
          </cell>
          <cell r="C1816" t="str">
            <v>(M-502-BB) COLCHONETA PLEG.C/ALMOH. AZUL</v>
          </cell>
          <cell r="D1816" t="str">
            <v xml:space="preserve">KIDS </v>
          </cell>
          <cell r="E1816">
            <v>843.15000000000009</v>
          </cell>
          <cell r="F1816">
            <v>978.05399999999997</v>
          </cell>
        </row>
        <row r="1817">
          <cell r="A1817">
            <v>1813</v>
          </cell>
          <cell r="B1817" t="str">
            <v xml:space="preserve">7502251660888   </v>
          </cell>
          <cell r="C1817" t="str">
            <v>(M-502-BC) COLCHONETA PLEG C/ALMOH.NARAN</v>
          </cell>
          <cell r="D1817" t="str">
            <v xml:space="preserve">KIDS </v>
          </cell>
          <cell r="E1817">
            <v>843.15000000000009</v>
          </cell>
          <cell r="F1817">
            <v>978.05399999999997</v>
          </cell>
        </row>
        <row r="1818">
          <cell r="A1818">
            <v>1814</v>
          </cell>
          <cell r="B1818" t="str">
            <v xml:space="preserve">7502251660895   </v>
          </cell>
          <cell r="C1818" t="str">
            <v xml:space="preserve">(M-502-BD) COLCHONETA PLEG.C/ALMOH.ROJA </v>
          </cell>
          <cell r="D1818" t="str">
            <v xml:space="preserve">KIDS </v>
          </cell>
          <cell r="E1818">
            <v>843.15000000000009</v>
          </cell>
          <cell r="F1818">
            <v>978.05399999999997</v>
          </cell>
        </row>
        <row r="1819">
          <cell r="A1819">
            <v>1815</v>
          </cell>
          <cell r="B1819" t="str">
            <v xml:space="preserve">7502251660901   </v>
          </cell>
          <cell r="C1819" t="str">
            <v>(M-502-BE) COLCHONETA PLEG.C/ALMOH.VERDE</v>
          </cell>
          <cell r="D1819" t="str">
            <v xml:space="preserve">KIDS </v>
          </cell>
          <cell r="E1819">
            <v>843.15000000000009</v>
          </cell>
          <cell r="F1819">
            <v>978.05399999999997</v>
          </cell>
        </row>
        <row r="1820">
          <cell r="A1820">
            <v>1816</v>
          </cell>
          <cell r="B1820" t="str">
            <v xml:space="preserve">7502251660918   </v>
          </cell>
          <cell r="C1820" t="str">
            <v xml:space="preserve">(M-503) MAXIMA                          </v>
          </cell>
          <cell r="D1820" t="str">
            <v xml:space="preserve">KIDS </v>
          </cell>
          <cell r="E1820">
            <v>4368.21</v>
          </cell>
          <cell r="F1820">
            <v>5067.1235999999999</v>
          </cell>
        </row>
        <row r="1821">
          <cell r="A1821">
            <v>1817</v>
          </cell>
          <cell r="B1821" t="str">
            <v xml:space="preserve">7502251660925   </v>
          </cell>
          <cell r="C1821" t="str">
            <v xml:space="preserve">(M-504-A) PORTABEBE AMARILLO            </v>
          </cell>
          <cell r="D1821" t="str">
            <v xml:space="preserve">KIDS </v>
          </cell>
          <cell r="E1821">
            <v>541.69499999999994</v>
          </cell>
          <cell r="F1821">
            <v>628.36619999999994</v>
          </cell>
        </row>
        <row r="1822">
          <cell r="A1822">
            <v>1818</v>
          </cell>
          <cell r="B1822" t="str">
            <v xml:space="preserve">7502251660932   </v>
          </cell>
          <cell r="C1822" t="str">
            <v xml:space="preserve">(M-504-B) PORTABEBE AZUL                </v>
          </cell>
          <cell r="D1822" t="str">
            <v xml:space="preserve">KIDS </v>
          </cell>
          <cell r="E1822">
            <v>541.69499999999994</v>
          </cell>
          <cell r="F1822">
            <v>628.36619999999994</v>
          </cell>
        </row>
        <row r="1823">
          <cell r="A1823">
            <v>1819</v>
          </cell>
          <cell r="B1823" t="str">
            <v xml:space="preserve">7502251660949   </v>
          </cell>
          <cell r="C1823" t="str">
            <v xml:space="preserve">(M-504-C) PORTABEBE NARANJA             </v>
          </cell>
          <cell r="D1823" t="str">
            <v xml:space="preserve">KIDS </v>
          </cell>
          <cell r="E1823">
            <v>541.69499999999994</v>
          </cell>
          <cell r="F1823">
            <v>628.36619999999994</v>
          </cell>
        </row>
        <row r="1824">
          <cell r="A1824">
            <v>1820</v>
          </cell>
          <cell r="B1824" t="str">
            <v xml:space="preserve">7502251660956   </v>
          </cell>
          <cell r="C1824" t="str">
            <v xml:space="preserve">(M-504-D) PORTABEBE ROJO                </v>
          </cell>
          <cell r="D1824" t="str">
            <v xml:space="preserve">KIDS </v>
          </cell>
          <cell r="E1824">
            <v>541.69499999999994</v>
          </cell>
          <cell r="F1824">
            <v>628.36619999999994</v>
          </cell>
        </row>
        <row r="1825">
          <cell r="A1825">
            <v>1821</v>
          </cell>
          <cell r="B1825" t="str">
            <v xml:space="preserve">7502251660963   </v>
          </cell>
          <cell r="C1825" t="str">
            <v xml:space="preserve">(M-504-E) PORTABEBE VERDE               </v>
          </cell>
          <cell r="D1825" t="str">
            <v xml:space="preserve">KIDS </v>
          </cell>
          <cell r="E1825">
            <v>541.69499999999994</v>
          </cell>
          <cell r="F1825">
            <v>628.36619999999994</v>
          </cell>
        </row>
        <row r="1826">
          <cell r="A1826">
            <v>1822</v>
          </cell>
          <cell r="B1826" t="str">
            <v xml:space="preserve">7502251660970   </v>
          </cell>
          <cell r="C1826" t="str">
            <v xml:space="preserve">(M-505) CHIQUITINES                     </v>
          </cell>
          <cell r="D1826" t="str">
            <v xml:space="preserve">KIDS </v>
          </cell>
          <cell r="E1826">
            <v>1485.33</v>
          </cell>
          <cell r="F1826">
            <v>1722.9827999999998</v>
          </cell>
        </row>
        <row r="1827">
          <cell r="A1827">
            <v>1823</v>
          </cell>
          <cell r="B1827" t="str">
            <v xml:space="preserve">7502251660987   </v>
          </cell>
          <cell r="C1827" t="str">
            <v xml:space="preserve">(M-506) BABY U                          </v>
          </cell>
          <cell r="D1827" t="str">
            <v xml:space="preserve">KIDS </v>
          </cell>
          <cell r="E1827">
            <v>1120.3500000000001</v>
          </cell>
          <cell r="F1827">
            <v>1299.606</v>
          </cell>
        </row>
        <row r="1828">
          <cell r="A1828">
            <v>1824</v>
          </cell>
          <cell r="B1828" t="str">
            <v xml:space="preserve">7502251660994   </v>
          </cell>
          <cell r="C1828" t="str">
            <v xml:space="preserve">(M-507) COLCHONETA CONVERTIBLE          </v>
          </cell>
          <cell r="D1828" t="str">
            <v xml:space="preserve">KIDS </v>
          </cell>
          <cell r="E1828">
            <v>1590.4349999999999</v>
          </cell>
          <cell r="F1828">
            <v>1844.9045999999998</v>
          </cell>
        </row>
        <row r="1829">
          <cell r="A1829">
            <v>1825</v>
          </cell>
          <cell r="B1829" t="str">
            <v xml:space="preserve">7502251661007   </v>
          </cell>
          <cell r="C1829" t="str">
            <v xml:space="preserve">(M-508) VIGA TRAPEZOIDAL                </v>
          </cell>
          <cell r="D1829" t="str">
            <v xml:space="preserve">KIDS </v>
          </cell>
          <cell r="E1829">
            <v>2017.7850000000001</v>
          </cell>
          <cell r="F1829">
            <v>2340.6306</v>
          </cell>
        </row>
        <row r="1830">
          <cell r="A1830">
            <v>1826</v>
          </cell>
          <cell r="B1830" t="str">
            <v xml:space="preserve">7502251661014   </v>
          </cell>
          <cell r="C1830" t="str">
            <v xml:space="preserve">(M-509) ASIENTOS                        </v>
          </cell>
          <cell r="D1830" t="str">
            <v xml:space="preserve">KIDS </v>
          </cell>
          <cell r="E1830">
            <v>985.21499999999992</v>
          </cell>
          <cell r="F1830">
            <v>1142.8493999999998</v>
          </cell>
        </row>
        <row r="1831">
          <cell r="A1831">
            <v>1827</v>
          </cell>
          <cell r="B1831" t="str">
            <v xml:space="preserve">7502251661021   </v>
          </cell>
          <cell r="C1831" t="str">
            <v xml:space="preserve">(M-510) COSTALES                        </v>
          </cell>
          <cell r="D1831" t="str">
            <v xml:space="preserve">KIDS </v>
          </cell>
          <cell r="E1831">
            <v>3222.4500000000003</v>
          </cell>
          <cell r="F1831">
            <v>3738.0419999999999</v>
          </cell>
        </row>
        <row r="1832">
          <cell r="A1832">
            <v>1828</v>
          </cell>
          <cell r="B1832" t="str">
            <v xml:space="preserve">7502251661038   </v>
          </cell>
          <cell r="C1832" t="str">
            <v xml:space="preserve">(M-511) CARPETA Y CUBOS                 </v>
          </cell>
          <cell r="D1832" t="str">
            <v xml:space="preserve">KIDS </v>
          </cell>
          <cell r="E1832">
            <v>3339.1049999999996</v>
          </cell>
          <cell r="F1832">
            <v>3873.3617999999992</v>
          </cell>
        </row>
        <row r="1833">
          <cell r="A1833">
            <v>1829</v>
          </cell>
          <cell r="B1833" t="str">
            <v xml:space="preserve">7502251661045   </v>
          </cell>
          <cell r="C1833" t="str">
            <v xml:space="preserve">(M-512) COLCHONETA HELICOPTERITO        </v>
          </cell>
          <cell r="D1833" t="str">
            <v xml:space="preserve">KIDS </v>
          </cell>
          <cell r="E1833">
            <v>2269.5750000000003</v>
          </cell>
          <cell r="F1833">
            <v>2632.7069999999999</v>
          </cell>
        </row>
        <row r="1834">
          <cell r="A1834">
            <v>1830</v>
          </cell>
          <cell r="B1834" t="str">
            <v xml:space="preserve">7502251661052   </v>
          </cell>
          <cell r="C1834" t="str">
            <v xml:space="preserve">(M-513) COLCHONETA CUAK CUAK            </v>
          </cell>
          <cell r="D1834" t="str">
            <v xml:space="preserve">KIDS </v>
          </cell>
          <cell r="E1834">
            <v>2095.17</v>
          </cell>
          <cell r="F1834">
            <v>2430.3971999999999</v>
          </cell>
        </row>
        <row r="1835">
          <cell r="A1835">
            <v>1831</v>
          </cell>
          <cell r="B1835" t="str">
            <v xml:space="preserve">7502251661069   </v>
          </cell>
          <cell r="C1835" t="str">
            <v xml:space="preserve">(M-514) TAPETE PECESITO                 </v>
          </cell>
          <cell r="D1835" t="str">
            <v xml:space="preserve">KIDS </v>
          </cell>
          <cell r="E1835">
            <v>2618.3850000000002</v>
          </cell>
          <cell r="F1835">
            <v>3037.3265999999999</v>
          </cell>
        </row>
        <row r="1836">
          <cell r="A1836">
            <v>1832</v>
          </cell>
          <cell r="B1836" t="str">
            <v xml:space="preserve">7502251661076   </v>
          </cell>
          <cell r="C1836" t="str">
            <v xml:space="preserve">(M-515) CARPETA CALEIDO                 </v>
          </cell>
          <cell r="D1836" t="str">
            <v xml:space="preserve">KIDS </v>
          </cell>
          <cell r="E1836">
            <v>2854.0050000000001</v>
          </cell>
          <cell r="F1836">
            <v>3310.6457999999998</v>
          </cell>
        </row>
        <row r="1837">
          <cell r="A1837">
            <v>1833</v>
          </cell>
          <cell r="B1837" t="str">
            <v xml:space="preserve">7502251661083   </v>
          </cell>
          <cell r="C1837" t="str">
            <v xml:space="preserve">(M-516) COLCHONETA TCHU TCHU            </v>
          </cell>
          <cell r="D1837" t="str">
            <v xml:space="preserve">KIDS </v>
          </cell>
          <cell r="E1837">
            <v>2187.5700000000002</v>
          </cell>
          <cell r="F1837">
            <v>2537.5812000000001</v>
          </cell>
        </row>
        <row r="1838">
          <cell r="A1838">
            <v>1834</v>
          </cell>
          <cell r="B1838" t="str">
            <v xml:space="preserve">7502251661090   </v>
          </cell>
          <cell r="C1838" t="str">
            <v xml:space="preserve">(M-517) CUBOS ARITMETICOS               </v>
          </cell>
          <cell r="D1838" t="str">
            <v xml:space="preserve">KIDS </v>
          </cell>
          <cell r="E1838">
            <v>2722.335</v>
          </cell>
          <cell r="F1838">
            <v>3157.9085999999998</v>
          </cell>
        </row>
        <row r="1839">
          <cell r="A1839">
            <v>1835</v>
          </cell>
          <cell r="B1839" t="str">
            <v xml:space="preserve">7502251661106   </v>
          </cell>
          <cell r="C1839" t="str">
            <v xml:space="preserve">(M-601) ALBERCA DE PELOTAS              </v>
          </cell>
          <cell r="D1839" t="str">
            <v xml:space="preserve">KIDS </v>
          </cell>
          <cell r="E1839">
            <v>2873.64</v>
          </cell>
          <cell r="F1839">
            <v>3333.4223999999995</v>
          </cell>
        </row>
        <row r="1840">
          <cell r="A1840">
            <v>1836</v>
          </cell>
          <cell r="B1840" t="str">
            <v xml:space="preserve">7502251661113   </v>
          </cell>
          <cell r="C1840" t="str">
            <v xml:space="preserve">(M-602) RING DE ACTIVIDADES             </v>
          </cell>
          <cell r="D1840" t="str">
            <v xml:space="preserve">KIDS </v>
          </cell>
          <cell r="E1840">
            <v>2699.2350000000001</v>
          </cell>
          <cell r="F1840">
            <v>3131.1125999999999</v>
          </cell>
        </row>
        <row r="1841">
          <cell r="A1841">
            <v>1837</v>
          </cell>
          <cell r="B1841" t="str">
            <v xml:space="preserve">7502251661120   </v>
          </cell>
          <cell r="C1841" t="str">
            <v xml:space="preserve">(M-604-A) MINISILLON FANTASIA AMARILLO  </v>
          </cell>
          <cell r="D1841" t="str">
            <v xml:space="preserve">KIDS </v>
          </cell>
          <cell r="E1841">
            <v>1082.2350000000001</v>
          </cell>
          <cell r="F1841">
            <v>1255.3926000000001</v>
          </cell>
        </row>
        <row r="1842">
          <cell r="A1842">
            <v>1838</v>
          </cell>
          <cell r="B1842" t="str">
            <v xml:space="preserve">7502251661137   </v>
          </cell>
          <cell r="C1842" t="str">
            <v xml:space="preserve">(M-604-B) MINISILLON FANTASIA AZUL      </v>
          </cell>
          <cell r="D1842" t="str">
            <v xml:space="preserve">KIDS </v>
          </cell>
          <cell r="E1842">
            <v>1082.2350000000001</v>
          </cell>
          <cell r="F1842">
            <v>1255.3926000000001</v>
          </cell>
        </row>
        <row r="1843">
          <cell r="A1843">
            <v>1839</v>
          </cell>
          <cell r="B1843" t="str">
            <v xml:space="preserve">7502251661144   </v>
          </cell>
          <cell r="C1843" t="str">
            <v xml:space="preserve">(M-604-C) MINISILLON FANTASIA NARANJA   </v>
          </cell>
          <cell r="D1843" t="str">
            <v xml:space="preserve">KIDS </v>
          </cell>
          <cell r="E1843">
            <v>1082.2350000000001</v>
          </cell>
          <cell r="F1843">
            <v>1255.3926000000001</v>
          </cell>
        </row>
        <row r="1844">
          <cell r="A1844">
            <v>1840</v>
          </cell>
          <cell r="B1844" t="str">
            <v xml:space="preserve">7502251661151   </v>
          </cell>
          <cell r="C1844" t="str">
            <v xml:space="preserve">(M-604-D) MINISILLON FANTASIA ROJO      </v>
          </cell>
          <cell r="D1844" t="str">
            <v xml:space="preserve">KIDS </v>
          </cell>
          <cell r="E1844">
            <v>1082.2350000000001</v>
          </cell>
          <cell r="F1844">
            <v>1255.3926000000001</v>
          </cell>
        </row>
        <row r="1845">
          <cell r="A1845">
            <v>1841</v>
          </cell>
          <cell r="B1845" t="str">
            <v xml:space="preserve">7502251661168   </v>
          </cell>
          <cell r="C1845" t="str">
            <v xml:space="preserve">(M-604-E) MINISILLON FANTASIA VERDE     </v>
          </cell>
          <cell r="D1845" t="str">
            <v xml:space="preserve">KIDS </v>
          </cell>
          <cell r="E1845">
            <v>1082.2350000000001</v>
          </cell>
          <cell r="F1845">
            <v>1255.3926000000001</v>
          </cell>
        </row>
        <row r="1846">
          <cell r="A1846">
            <v>1842</v>
          </cell>
          <cell r="B1846" t="str">
            <v xml:space="preserve">7502251661175   </v>
          </cell>
          <cell r="C1846" t="str">
            <v xml:space="preserve">(M-605) BALONES                         </v>
          </cell>
          <cell r="D1846" t="str">
            <v xml:space="preserve">KIDS </v>
          </cell>
          <cell r="E1846">
            <v>2058.2099999999996</v>
          </cell>
          <cell r="F1846">
            <v>2387.5235999999995</v>
          </cell>
        </row>
        <row r="1847">
          <cell r="A1847">
            <v>1843</v>
          </cell>
          <cell r="B1847" t="str">
            <v xml:space="preserve">7502251661182   </v>
          </cell>
          <cell r="C1847" t="str">
            <v xml:space="preserve">(M-606) ESTACION DE DESCANSO            </v>
          </cell>
          <cell r="D1847" t="str">
            <v xml:space="preserve">KIDS </v>
          </cell>
          <cell r="E1847">
            <v>7097.4750000000004</v>
          </cell>
          <cell r="F1847">
            <v>8233.0709999999999</v>
          </cell>
        </row>
        <row r="1848">
          <cell r="A1848">
            <v>1844</v>
          </cell>
          <cell r="B1848" t="str">
            <v xml:space="preserve">7502251661199   </v>
          </cell>
          <cell r="C1848" t="str">
            <v xml:space="preserve">(M-607) ESQUINEROS MULTIUSOS            </v>
          </cell>
          <cell r="D1848" t="str">
            <v xml:space="preserve">KIDS </v>
          </cell>
          <cell r="E1848">
            <v>3817.2750000000001</v>
          </cell>
          <cell r="F1848">
            <v>4428.0389999999998</v>
          </cell>
        </row>
        <row r="1849">
          <cell r="A1849">
            <v>1845</v>
          </cell>
          <cell r="B1849" t="str">
            <v xml:space="preserve">7502251661205   </v>
          </cell>
          <cell r="C1849" t="str">
            <v xml:space="preserve">(M-608-A) MINIBLOQUES                   </v>
          </cell>
          <cell r="D1849" t="str">
            <v xml:space="preserve">KIDS </v>
          </cell>
          <cell r="E1849">
            <v>5463.15</v>
          </cell>
          <cell r="F1849">
            <v>6337.253999999999</v>
          </cell>
        </row>
        <row r="1850">
          <cell r="A1850">
            <v>1846</v>
          </cell>
          <cell r="B1850" t="str">
            <v xml:space="preserve">7502251661212   </v>
          </cell>
          <cell r="C1850" t="str">
            <v xml:space="preserve">(M-608-B) BLOQUES GIGANTES              </v>
          </cell>
          <cell r="D1850" t="str">
            <v xml:space="preserve">KIDS </v>
          </cell>
          <cell r="E1850">
            <v>23866.92</v>
          </cell>
          <cell r="F1850">
            <v>27685.627199999995</v>
          </cell>
        </row>
        <row r="1851">
          <cell r="A1851">
            <v>1847</v>
          </cell>
          <cell r="B1851" t="str">
            <v xml:space="preserve">7502251661229   </v>
          </cell>
          <cell r="C1851" t="str">
            <v xml:space="preserve">(M-609) COJIN MAC (4)                   </v>
          </cell>
          <cell r="D1851" t="str">
            <v xml:space="preserve">KIDS </v>
          </cell>
          <cell r="E1851">
            <v>1679.37</v>
          </cell>
          <cell r="F1851">
            <v>1948.0691999999997</v>
          </cell>
        </row>
        <row r="1852">
          <cell r="A1852">
            <v>1848</v>
          </cell>
          <cell r="B1852" t="str">
            <v xml:space="preserve">7502251661236   </v>
          </cell>
          <cell r="C1852" t="str">
            <v xml:space="preserve">(M-610) BICHOS (NUEVOS)                 </v>
          </cell>
          <cell r="D1852" t="str">
            <v xml:space="preserve">KIDS </v>
          </cell>
          <cell r="E1852">
            <v>2164.4700000000003</v>
          </cell>
          <cell r="F1852">
            <v>2510.7852000000003</v>
          </cell>
        </row>
        <row r="1853">
          <cell r="A1853">
            <v>1849</v>
          </cell>
          <cell r="B1853" t="str">
            <v xml:space="preserve">7502251661243   </v>
          </cell>
          <cell r="C1853" t="str">
            <v xml:space="preserve">(M-611) COJINES JUMBO                   </v>
          </cell>
          <cell r="D1853" t="str">
            <v xml:space="preserve">KIDS </v>
          </cell>
          <cell r="E1853">
            <v>3513.5099999999998</v>
          </cell>
          <cell r="F1853">
            <v>4075.6715999999997</v>
          </cell>
        </row>
        <row r="1854">
          <cell r="A1854">
            <v>1850</v>
          </cell>
          <cell r="B1854" t="str">
            <v xml:space="preserve">7502251661250   </v>
          </cell>
          <cell r="C1854" t="str">
            <v xml:space="preserve">(M-612) PASO A PASO                     </v>
          </cell>
          <cell r="D1854" t="str">
            <v xml:space="preserve">KIDS </v>
          </cell>
          <cell r="E1854">
            <v>1209.2850000000001</v>
          </cell>
          <cell r="F1854">
            <v>1402.7706000000001</v>
          </cell>
        </row>
        <row r="1855">
          <cell r="A1855">
            <v>1851</v>
          </cell>
          <cell r="B1855" t="str">
            <v xml:space="preserve">7502251661267   </v>
          </cell>
          <cell r="C1855" t="str">
            <v xml:space="preserve">(M-613) BALLENA YEYO                    </v>
          </cell>
          <cell r="D1855" t="str">
            <v xml:space="preserve">KIDS </v>
          </cell>
          <cell r="E1855">
            <v>2427.81</v>
          </cell>
          <cell r="F1855">
            <v>2816.2595999999999</v>
          </cell>
        </row>
        <row r="1856">
          <cell r="A1856">
            <v>1852</v>
          </cell>
          <cell r="B1856" t="str">
            <v xml:space="preserve">7502251661274   </v>
          </cell>
          <cell r="C1856" t="str">
            <v xml:space="preserve">(M-614) TIBURON TITO                    </v>
          </cell>
          <cell r="D1856" t="str">
            <v xml:space="preserve">KIDS </v>
          </cell>
          <cell r="E1856">
            <v>2231.4600000000005</v>
          </cell>
          <cell r="F1856">
            <v>2588.4936000000002</v>
          </cell>
        </row>
        <row r="1857">
          <cell r="A1857">
            <v>1853</v>
          </cell>
          <cell r="B1857" t="str">
            <v xml:space="preserve">7502251661281   </v>
          </cell>
          <cell r="C1857" t="str">
            <v xml:space="preserve">(M-615) ANIMARMABLES                    </v>
          </cell>
          <cell r="D1857" t="str">
            <v xml:space="preserve">KIDS </v>
          </cell>
          <cell r="E1857">
            <v>3601.2899999999995</v>
          </cell>
          <cell r="F1857">
            <v>4177.4963999999991</v>
          </cell>
        </row>
        <row r="1858">
          <cell r="A1858">
            <v>1854</v>
          </cell>
          <cell r="B1858" t="str">
            <v xml:space="preserve">7502251661298   </v>
          </cell>
          <cell r="C1858" t="str">
            <v xml:space="preserve">(M-616) BLOQUES 10                      </v>
          </cell>
          <cell r="D1858" t="str">
            <v xml:space="preserve">KIDS </v>
          </cell>
          <cell r="E1858">
            <v>3510.0450000000001</v>
          </cell>
          <cell r="F1858">
            <v>4071.6522</v>
          </cell>
        </row>
        <row r="1859">
          <cell r="A1859">
            <v>1855</v>
          </cell>
          <cell r="B1859" t="str">
            <v xml:space="preserve">7502251661304   </v>
          </cell>
          <cell r="C1859" t="str">
            <v xml:space="preserve">(M-617) BLOQUES 14                      </v>
          </cell>
          <cell r="D1859" t="str">
            <v xml:space="preserve">KIDS </v>
          </cell>
          <cell r="E1859">
            <v>3918.9149999999991</v>
          </cell>
          <cell r="F1859">
            <v>4545.9413999999988</v>
          </cell>
        </row>
        <row r="1860">
          <cell r="A1860">
            <v>1856</v>
          </cell>
          <cell r="B1860" t="str">
            <v xml:space="preserve">7502251661311   </v>
          </cell>
          <cell r="C1860" t="str">
            <v xml:space="preserve">(M-618) BLOQUES 18                      </v>
          </cell>
          <cell r="D1860" t="str">
            <v xml:space="preserve">KIDS </v>
          </cell>
          <cell r="E1860">
            <v>5222.9100000000008</v>
          </cell>
          <cell r="F1860">
            <v>6058.5756000000001</v>
          </cell>
        </row>
        <row r="1861">
          <cell r="A1861">
            <v>1857</v>
          </cell>
          <cell r="B1861" t="str">
            <v xml:space="preserve">7502251661328   </v>
          </cell>
          <cell r="C1861" t="str">
            <v xml:space="preserve">(M-701) ESTACION MACRO                  </v>
          </cell>
          <cell r="D1861" t="str">
            <v xml:space="preserve">KIDS </v>
          </cell>
          <cell r="E1861">
            <v>61388.25</v>
          </cell>
          <cell r="F1861">
            <v>71210.37</v>
          </cell>
        </row>
        <row r="1862">
          <cell r="A1862">
            <v>1858</v>
          </cell>
          <cell r="B1862" t="str">
            <v xml:space="preserve">7502251661335   </v>
          </cell>
          <cell r="C1862" t="str">
            <v xml:space="preserve">(M-702) POSTES GIGANTES                 </v>
          </cell>
          <cell r="D1862" t="str">
            <v xml:space="preserve">KIDS </v>
          </cell>
          <cell r="E1862">
            <v>15142.05</v>
          </cell>
          <cell r="F1862">
            <v>17564.777999999998</v>
          </cell>
        </row>
        <row r="1863">
          <cell r="A1863">
            <v>1859</v>
          </cell>
          <cell r="B1863" t="str">
            <v xml:space="preserve">7502251661342   </v>
          </cell>
          <cell r="C1863" t="str">
            <v xml:space="preserve">(M-703) ESTACION APOLO                  </v>
          </cell>
          <cell r="D1863" t="str">
            <v xml:space="preserve">KIDS </v>
          </cell>
          <cell r="E1863">
            <v>16847.985000000001</v>
          </cell>
          <cell r="F1863">
            <v>19543.6626</v>
          </cell>
        </row>
        <row r="1864">
          <cell r="A1864">
            <v>1860</v>
          </cell>
          <cell r="B1864" t="str">
            <v xml:space="preserve">7502251661359   </v>
          </cell>
          <cell r="C1864" t="str">
            <v xml:space="preserve">(M-704) ESTACION PEKES                  </v>
          </cell>
          <cell r="D1864" t="str">
            <v xml:space="preserve">KIDS </v>
          </cell>
          <cell r="E1864">
            <v>14481.39</v>
          </cell>
          <cell r="F1864">
            <v>16798.412399999997</v>
          </cell>
        </row>
        <row r="1865">
          <cell r="A1865">
            <v>1861</v>
          </cell>
          <cell r="B1865" t="str">
            <v xml:space="preserve">7502251661366   </v>
          </cell>
          <cell r="C1865" t="str">
            <v xml:space="preserve">(M-705) ESTACION ARCOIRIS               </v>
          </cell>
          <cell r="D1865" t="str">
            <v xml:space="preserve">KIDS </v>
          </cell>
          <cell r="E1865">
            <v>15928.605</v>
          </cell>
          <cell r="F1865">
            <v>18477.181799999998</v>
          </cell>
        </row>
        <row r="1866">
          <cell r="A1866">
            <v>1862</v>
          </cell>
          <cell r="B1866" t="str">
            <v xml:space="preserve">7502251661373   </v>
          </cell>
          <cell r="C1866" t="str">
            <v xml:space="preserve">(M-706) ESTACION KIDDY                  </v>
          </cell>
          <cell r="D1866" t="str">
            <v xml:space="preserve">KIDS </v>
          </cell>
          <cell r="E1866">
            <v>9829.0499999999993</v>
          </cell>
          <cell r="F1866">
            <v>11401.697999999999</v>
          </cell>
        </row>
        <row r="1867">
          <cell r="A1867">
            <v>1863</v>
          </cell>
          <cell r="B1867" t="str">
            <v xml:space="preserve">7502251661380   </v>
          </cell>
          <cell r="C1867" t="str">
            <v xml:space="preserve">(M-707) XKINA ANES                      </v>
          </cell>
          <cell r="D1867" t="str">
            <v xml:space="preserve">KIDS </v>
          </cell>
          <cell r="E1867">
            <v>11249.699999999999</v>
          </cell>
          <cell r="F1867">
            <v>13049.651999999998</v>
          </cell>
        </row>
        <row r="1868">
          <cell r="A1868">
            <v>1864</v>
          </cell>
          <cell r="B1868" t="str">
            <v xml:space="preserve">7502251661397   </v>
          </cell>
          <cell r="C1868" t="str">
            <v xml:space="preserve">(M-708) SKALA-LO                        </v>
          </cell>
          <cell r="D1868" t="str">
            <v xml:space="preserve">KIDS </v>
          </cell>
          <cell r="E1868">
            <v>13374.9</v>
          </cell>
          <cell r="F1868">
            <v>15514.883999999998</v>
          </cell>
        </row>
        <row r="1869">
          <cell r="A1869">
            <v>1865</v>
          </cell>
          <cell r="B1869" t="str">
            <v xml:space="preserve">7502251661403   </v>
          </cell>
          <cell r="C1869" t="str">
            <v xml:space="preserve">(M-709) ESCALADOR TOTI                  </v>
          </cell>
          <cell r="D1869" t="str">
            <v xml:space="preserve">KIDS </v>
          </cell>
          <cell r="E1869">
            <v>14763.209999999997</v>
          </cell>
          <cell r="F1869">
            <v>17125.323599999996</v>
          </cell>
        </row>
        <row r="1870">
          <cell r="A1870">
            <v>1866</v>
          </cell>
          <cell r="B1870" t="str">
            <v xml:space="preserve">7502251661410   </v>
          </cell>
          <cell r="C1870" t="str">
            <v xml:space="preserve">(M-710) K DOS                           </v>
          </cell>
          <cell r="D1870" t="str">
            <v xml:space="preserve">KIDS </v>
          </cell>
          <cell r="E1870">
            <v>13210.889999999998</v>
          </cell>
          <cell r="F1870">
            <v>15324.632399999997</v>
          </cell>
        </row>
        <row r="1871">
          <cell r="A1871">
            <v>1867</v>
          </cell>
          <cell r="B1871" t="str">
            <v xml:space="preserve">7502251661427   </v>
          </cell>
          <cell r="C1871" t="str">
            <v xml:space="preserve">(M-711) RESBALADON TOTON                </v>
          </cell>
          <cell r="D1871" t="str">
            <v xml:space="preserve">KIDS </v>
          </cell>
          <cell r="E1871">
            <v>11656.259999999998</v>
          </cell>
          <cell r="F1871">
            <v>13521.261599999998</v>
          </cell>
        </row>
        <row r="1872">
          <cell r="A1872">
            <v>1868</v>
          </cell>
          <cell r="B1872" t="str">
            <v xml:space="preserve">7502251661434   </v>
          </cell>
          <cell r="C1872" t="str">
            <v xml:space="preserve">(M-712) SCORREVOLE                      </v>
          </cell>
          <cell r="D1872" t="str">
            <v xml:space="preserve">KIDS </v>
          </cell>
          <cell r="E1872">
            <v>5512.8150000000005</v>
          </cell>
          <cell r="F1872">
            <v>6394.8653999999997</v>
          </cell>
        </row>
        <row r="1873">
          <cell r="A1873">
            <v>1869</v>
          </cell>
          <cell r="B1873" t="str">
            <v xml:space="preserve">7502251661441   </v>
          </cell>
          <cell r="C1873" t="str">
            <v xml:space="preserve">(M-713) ESTACION MUNIS                  </v>
          </cell>
          <cell r="D1873" t="str">
            <v xml:space="preserve">KIDS </v>
          </cell>
          <cell r="E1873">
            <v>20867.385000000002</v>
          </cell>
          <cell r="F1873">
            <v>24206.1666</v>
          </cell>
        </row>
        <row r="1874">
          <cell r="A1874">
            <v>1870</v>
          </cell>
          <cell r="B1874" t="str">
            <v xml:space="preserve">7502251661458   </v>
          </cell>
          <cell r="C1874" t="str">
            <v xml:space="preserve">(M-714) ESTACION KANGUIGURUS            </v>
          </cell>
          <cell r="D1874" t="str">
            <v xml:space="preserve">KIDS </v>
          </cell>
          <cell r="E1874">
            <v>15852.374999999998</v>
          </cell>
          <cell r="F1874">
            <v>18388.754999999997</v>
          </cell>
        </row>
        <row r="1875">
          <cell r="A1875">
            <v>1871</v>
          </cell>
          <cell r="B1875" t="str">
            <v xml:space="preserve">7502251661465   </v>
          </cell>
          <cell r="C1875" t="str">
            <v xml:space="preserve">(M-715) ESTACION XOCHITL                </v>
          </cell>
          <cell r="D1875" t="str">
            <v xml:space="preserve">KIDS </v>
          </cell>
          <cell r="E1875">
            <v>7916.369999999999</v>
          </cell>
          <cell r="F1875">
            <v>9182.9891999999982</v>
          </cell>
        </row>
        <row r="1876">
          <cell r="A1876">
            <v>1872</v>
          </cell>
          <cell r="B1876" t="str">
            <v xml:space="preserve">7502251661472   </v>
          </cell>
          <cell r="C1876" t="str">
            <v xml:space="preserve">(M-716) ESTACION CHALY                  </v>
          </cell>
          <cell r="D1876" t="str">
            <v xml:space="preserve">KIDS </v>
          </cell>
          <cell r="E1876">
            <v>15539.369999999999</v>
          </cell>
          <cell r="F1876">
            <v>18025.669199999997</v>
          </cell>
        </row>
        <row r="1877">
          <cell r="A1877">
            <v>1873</v>
          </cell>
          <cell r="B1877" t="str">
            <v xml:space="preserve">7502251661489   </v>
          </cell>
          <cell r="C1877" t="str">
            <v xml:space="preserve">(M-717) ESTACION BORIS                  </v>
          </cell>
          <cell r="D1877" t="str">
            <v xml:space="preserve">KIDS </v>
          </cell>
          <cell r="E1877">
            <v>16469.145</v>
          </cell>
          <cell r="F1877">
            <v>19104.208199999997</v>
          </cell>
        </row>
        <row r="1878">
          <cell r="A1878">
            <v>1874</v>
          </cell>
          <cell r="B1878" t="str">
            <v xml:space="preserve">7502251661496   </v>
          </cell>
          <cell r="C1878" t="str">
            <v xml:space="preserve">(M-718) TUNEL FORMULA 1                 </v>
          </cell>
          <cell r="D1878" t="str">
            <v xml:space="preserve">KIDS </v>
          </cell>
          <cell r="E1878">
            <v>5410.0199999999995</v>
          </cell>
          <cell r="F1878">
            <v>6275.6231999999991</v>
          </cell>
        </row>
        <row r="1879">
          <cell r="A1879">
            <v>1875</v>
          </cell>
          <cell r="B1879" t="str">
            <v xml:space="preserve">7502251661502   </v>
          </cell>
          <cell r="C1879" t="str">
            <v xml:space="preserve">(M-801-A) SILLA KIDS COLORS AMARILLA    </v>
          </cell>
          <cell r="D1879" t="str">
            <v xml:space="preserve">KIDS </v>
          </cell>
          <cell r="E1879">
            <v>199.81499999999997</v>
          </cell>
          <cell r="F1879">
            <v>231.78539999999995</v>
          </cell>
        </row>
        <row r="1880">
          <cell r="A1880">
            <v>1876</v>
          </cell>
          <cell r="B1880" t="str">
            <v xml:space="preserve">7502251661519   </v>
          </cell>
          <cell r="C1880" t="str">
            <v xml:space="preserve">(M-801-B) SILLA KIDS COLORS AZUL        </v>
          </cell>
          <cell r="D1880" t="str">
            <v xml:space="preserve">KIDS </v>
          </cell>
          <cell r="E1880">
            <v>199.81499999999997</v>
          </cell>
          <cell r="F1880">
            <v>231.78539999999995</v>
          </cell>
        </row>
        <row r="1881">
          <cell r="A1881">
            <v>1877</v>
          </cell>
          <cell r="B1881" t="str">
            <v xml:space="preserve">7502251661526   </v>
          </cell>
          <cell r="C1881" t="str">
            <v xml:space="preserve">(M-801-C) SILLA KIDS COLORS ROJO        </v>
          </cell>
          <cell r="D1881" t="str">
            <v xml:space="preserve">KIDS </v>
          </cell>
          <cell r="E1881">
            <v>199.81499999999997</v>
          </cell>
          <cell r="F1881">
            <v>231.78539999999995</v>
          </cell>
        </row>
        <row r="1882">
          <cell r="A1882">
            <v>1878</v>
          </cell>
          <cell r="B1882" t="str">
            <v xml:space="preserve">7502251661533   </v>
          </cell>
          <cell r="C1882" t="str">
            <v xml:space="preserve">(M-801-D) SILLA KIDS COLORS VERDE       </v>
          </cell>
          <cell r="D1882" t="str">
            <v xml:space="preserve">KIDS </v>
          </cell>
          <cell r="E1882">
            <v>199.81499999999997</v>
          </cell>
          <cell r="F1882">
            <v>231.78539999999995</v>
          </cell>
        </row>
        <row r="1883">
          <cell r="A1883">
            <v>1879</v>
          </cell>
          <cell r="B1883" t="str">
            <v xml:space="preserve">7502251661540   </v>
          </cell>
          <cell r="C1883" t="str">
            <v xml:space="preserve">(M-811-A) MESA KOKY AMARILLA            </v>
          </cell>
          <cell r="D1883" t="str">
            <v xml:space="preserve">KIDS </v>
          </cell>
          <cell r="E1883">
            <v>2184.105</v>
          </cell>
          <cell r="F1883">
            <v>2533.5617999999999</v>
          </cell>
        </row>
        <row r="1884">
          <cell r="A1884">
            <v>1880</v>
          </cell>
          <cell r="B1884" t="str">
            <v xml:space="preserve">7502251661557   </v>
          </cell>
          <cell r="C1884" t="str">
            <v xml:space="preserve">(M-807-A) MESA RECTANGULAR AMARILLA     </v>
          </cell>
          <cell r="D1884" t="str">
            <v xml:space="preserve">KIDS </v>
          </cell>
          <cell r="E1884">
            <v>1135.365</v>
          </cell>
          <cell r="F1884">
            <v>1317.0234</v>
          </cell>
        </row>
        <row r="1885">
          <cell r="A1885">
            <v>1881</v>
          </cell>
          <cell r="B1885" t="str">
            <v xml:space="preserve">7502251661564   </v>
          </cell>
          <cell r="C1885" t="str">
            <v xml:space="preserve">(M-901) VIGA DE EQUILIBRIO              </v>
          </cell>
          <cell r="D1885" t="str">
            <v xml:space="preserve">KIDS </v>
          </cell>
          <cell r="E1885">
            <v>9797.8650000000016</v>
          </cell>
          <cell r="F1885">
            <v>11365.5234</v>
          </cell>
        </row>
        <row r="1886">
          <cell r="A1886">
            <v>1882</v>
          </cell>
          <cell r="B1886" t="str">
            <v xml:space="preserve">7502251661571   </v>
          </cell>
          <cell r="C1886" t="str">
            <v xml:space="preserve">(M-902) RUEDOTA MOY                     </v>
          </cell>
          <cell r="D1886" t="str">
            <v xml:space="preserve">KIDS </v>
          </cell>
          <cell r="E1886">
            <v>13423.409999999998</v>
          </cell>
          <cell r="F1886">
            <v>15571.155599999996</v>
          </cell>
        </row>
        <row r="1887">
          <cell r="A1887">
            <v>1883</v>
          </cell>
          <cell r="B1887" t="str">
            <v xml:space="preserve">7502251661588   </v>
          </cell>
          <cell r="C1887" t="str">
            <v>(M-903-A) PARACAIDAS 2MTS CON AGARRADERA</v>
          </cell>
          <cell r="D1887" t="str">
            <v xml:space="preserve">KIDS </v>
          </cell>
          <cell r="E1887">
            <v>766.92000000000007</v>
          </cell>
          <cell r="F1887">
            <v>889.62720000000002</v>
          </cell>
        </row>
        <row r="1888">
          <cell r="A1888">
            <v>1884</v>
          </cell>
          <cell r="B1888" t="str">
            <v xml:space="preserve">7502251661595   </v>
          </cell>
          <cell r="C1888" t="str">
            <v xml:space="preserve">(M-903-T) PARACAIDAS 2MTS TUBULAR       </v>
          </cell>
          <cell r="D1888" t="str">
            <v xml:space="preserve">KIDS </v>
          </cell>
          <cell r="E1888">
            <v>718.41</v>
          </cell>
          <cell r="F1888">
            <v>833.35559999999987</v>
          </cell>
        </row>
        <row r="1889">
          <cell r="A1889">
            <v>1885</v>
          </cell>
          <cell r="B1889" t="str">
            <v xml:space="preserve">7502251661601   </v>
          </cell>
          <cell r="C1889" t="str">
            <v xml:space="preserve">(M-904) CILINDRO TRICOLO                </v>
          </cell>
          <cell r="D1889" t="str">
            <v xml:space="preserve">KIDS </v>
          </cell>
          <cell r="E1889">
            <v>2140.2149999999997</v>
          </cell>
          <cell r="F1889">
            <v>2482.6493999999993</v>
          </cell>
        </row>
        <row r="1890">
          <cell r="A1890">
            <v>1886</v>
          </cell>
          <cell r="B1890" t="str">
            <v xml:space="preserve">7502251661618   </v>
          </cell>
          <cell r="C1890" t="str">
            <v xml:space="preserve">(M-905) CABALLETES                      </v>
          </cell>
          <cell r="D1890" t="str">
            <v xml:space="preserve">KIDS </v>
          </cell>
          <cell r="E1890">
            <v>5032.335</v>
          </cell>
          <cell r="F1890">
            <v>5837.5086000000001</v>
          </cell>
        </row>
        <row r="1891">
          <cell r="A1891">
            <v>1887</v>
          </cell>
          <cell r="B1891" t="str">
            <v xml:space="preserve">7502251661625   </v>
          </cell>
          <cell r="C1891" t="str">
            <v xml:space="preserve">(M-906) DADO                            </v>
          </cell>
          <cell r="D1891" t="str">
            <v xml:space="preserve">KIDS </v>
          </cell>
          <cell r="E1891">
            <v>1032.5699999999997</v>
          </cell>
          <cell r="F1891">
            <v>1197.7811999999997</v>
          </cell>
        </row>
        <row r="1892">
          <cell r="A1892">
            <v>1888</v>
          </cell>
          <cell r="B1892" t="str">
            <v xml:space="preserve">7502251661632   </v>
          </cell>
          <cell r="C1892" t="str">
            <v xml:space="preserve">(M-906-B) DADI                          </v>
          </cell>
          <cell r="D1892" t="str">
            <v xml:space="preserve">KIDS </v>
          </cell>
          <cell r="E1892">
            <v>660.66</v>
          </cell>
          <cell r="F1892">
            <v>766.36559999999986</v>
          </cell>
        </row>
        <row r="1893">
          <cell r="A1893">
            <v>1889</v>
          </cell>
          <cell r="B1893" t="str">
            <v xml:space="preserve">7502251661649   </v>
          </cell>
          <cell r="C1893" t="str">
            <v xml:space="preserve">(M-907) BALANCIN                        </v>
          </cell>
          <cell r="D1893" t="str">
            <v xml:space="preserve">KIDS </v>
          </cell>
          <cell r="E1893">
            <v>4219.2150000000011</v>
          </cell>
          <cell r="F1893">
            <v>4894.2894000000006</v>
          </cell>
        </row>
        <row r="1894">
          <cell r="A1894">
            <v>1890</v>
          </cell>
          <cell r="B1894" t="str">
            <v xml:space="preserve">7502251661656   </v>
          </cell>
          <cell r="C1894" t="str">
            <v xml:space="preserve">(M-908-A) PORTABEBE GIGANTE AMARILLO    </v>
          </cell>
          <cell r="D1894" t="str">
            <v xml:space="preserve">KIDS </v>
          </cell>
          <cell r="E1894">
            <v>1064.9100000000003</v>
          </cell>
          <cell r="F1894">
            <v>1235.2956000000001</v>
          </cell>
        </row>
        <row r="1895">
          <cell r="A1895">
            <v>1891</v>
          </cell>
          <cell r="B1895" t="str">
            <v xml:space="preserve">7502251661663   </v>
          </cell>
          <cell r="C1895" t="str">
            <v xml:space="preserve">(M-908-B) PORTABEBE GIGANTE AZUL        </v>
          </cell>
          <cell r="D1895" t="str">
            <v xml:space="preserve">KIDS </v>
          </cell>
          <cell r="E1895">
            <v>1064.9100000000003</v>
          </cell>
          <cell r="F1895">
            <v>1235.2956000000001</v>
          </cell>
        </row>
        <row r="1896">
          <cell r="A1896">
            <v>1892</v>
          </cell>
          <cell r="B1896" t="str">
            <v xml:space="preserve">7502251661670   </v>
          </cell>
          <cell r="C1896" t="str">
            <v xml:space="preserve">(M-908-C) PORTABEBE GIGANTE NARANJA     </v>
          </cell>
          <cell r="D1896" t="str">
            <v xml:space="preserve">KIDS </v>
          </cell>
          <cell r="E1896">
            <v>1064.9100000000003</v>
          </cell>
          <cell r="F1896">
            <v>1235.2956000000001</v>
          </cell>
        </row>
        <row r="1897">
          <cell r="A1897">
            <v>1893</v>
          </cell>
          <cell r="B1897" t="str">
            <v xml:space="preserve">7502251661687   </v>
          </cell>
          <cell r="C1897" t="str">
            <v xml:space="preserve">(M-908-D) PORTABEBE GIGANTE ROJO        </v>
          </cell>
          <cell r="D1897" t="str">
            <v xml:space="preserve">KIDS </v>
          </cell>
          <cell r="E1897">
            <v>1064.9100000000003</v>
          </cell>
          <cell r="F1897">
            <v>1235.2956000000001</v>
          </cell>
        </row>
        <row r="1898">
          <cell r="A1898">
            <v>1894</v>
          </cell>
          <cell r="B1898" t="str">
            <v xml:space="preserve">7502251661694   </v>
          </cell>
          <cell r="C1898" t="str">
            <v xml:space="preserve">(M-908-E) PORTABEBE GIGANTE VERDE       </v>
          </cell>
          <cell r="D1898" t="str">
            <v xml:space="preserve">KIDS </v>
          </cell>
          <cell r="E1898">
            <v>1064.9100000000003</v>
          </cell>
          <cell r="F1898">
            <v>1235.2956000000001</v>
          </cell>
        </row>
        <row r="1899">
          <cell r="A1899">
            <v>1895</v>
          </cell>
          <cell r="B1899" t="str">
            <v xml:space="preserve">7502251661700   </v>
          </cell>
          <cell r="C1899" t="str">
            <v xml:space="preserve">(M-909) ALBERCA GIGANTE                 </v>
          </cell>
          <cell r="D1899" t="str">
            <v xml:space="preserve">KIDS </v>
          </cell>
          <cell r="E1899">
            <v>10173.24</v>
          </cell>
          <cell r="F1899">
            <v>11800.9584</v>
          </cell>
        </row>
        <row r="1900">
          <cell r="A1900">
            <v>1896</v>
          </cell>
          <cell r="B1900" t="str">
            <v xml:space="preserve">7502251661717   </v>
          </cell>
          <cell r="C1900" t="str">
            <v xml:space="preserve">(M-910) MINICOMEDOR                     </v>
          </cell>
          <cell r="D1900" t="str">
            <v xml:space="preserve">KIDS </v>
          </cell>
          <cell r="E1900">
            <v>3624.39</v>
          </cell>
          <cell r="F1900">
            <v>4204.2923999999994</v>
          </cell>
        </row>
        <row r="1901">
          <cell r="A1901">
            <v>1897</v>
          </cell>
          <cell r="B1901" t="str">
            <v xml:space="preserve">7502251661724   </v>
          </cell>
          <cell r="C1901" t="str">
            <v xml:space="preserve">(M-912) CUBO-COLCHONETA                 </v>
          </cell>
          <cell r="D1901" t="str">
            <v xml:space="preserve">KIDS </v>
          </cell>
          <cell r="E1901">
            <v>3456.915</v>
          </cell>
          <cell r="F1901">
            <v>4010.0213999999996</v>
          </cell>
        </row>
        <row r="1902">
          <cell r="A1902">
            <v>1898</v>
          </cell>
          <cell r="B1902" t="str">
            <v xml:space="preserve">7502251661731   </v>
          </cell>
          <cell r="C1902" t="str">
            <v xml:space="preserve">(M-913) ALBERCA Q-ADRADA                </v>
          </cell>
          <cell r="D1902" t="str">
            <v xml:space="preserve">KIDS </v>
          </cell>
          <cell r="E1902">
            <v>15948.240000000002</v>
          </cell>
          <cell r="F1902">
            <v>18499.9584</v>
          </cell>
        </row>
        <row r="1903">
          <cell r="A1903">
            <v>1899</v>
          </cell>
          <cell r="B1903" t="str">
            <v xml:space="preserve">7502251661748   </v>
          </cell>
          <cell r="C1903" t="str">
            <v xml:space="preserve">(M-914) ALBERCA X-KINADA                </v>
          </cell>
          <cell r="D1903" t="str">
            <v xml:space="preserve">KIDS </v>
          </cell>
          <cell r="E1903">
            <v>7248.78</v>
          </cell>
          <cell r="F1903">
            <v>8408.5847999999987</v>
          </cell>
        </row>
        <row r="1904">
          <cell r="A1904">
            <v>1900</v>
          </cell>
          <cell r="B1904" t="str">
            <v xml:space="preserve">7502251661755   </v>
          </cell>
          <cell r="C1904" t="str">
            <v xml:space="preserve">(M-915) RING GOL                        </v>
          </cell>
          <cell r="D1904" t="str">
            <v xml:space="preserve">KIDS </v>
          </cell>
          <cell r="E1904">
            <v>10112.025</v>
          </cell>
          <cell r="F1904">
            <v>11729.948999999999</v>
          </cell>
        </row>
        <row r="1905">
          <cell r="A1905">
            <v>1901</v>
          </cell>
          <cell r="B1905" t="str">
            <v xml:space="preserve">7502251661762   </v>
          </cell>
          <cell r="C1905" t="str">
            <v xml:space="preserve">(M-916) RING SATURNO                    </v>
          </cell>
          <cell r="D1905" t="str">
            <v xml:space="preserve">KIDS </v>
          </cell>
          <cell r="E1905">
            <v>8155.4549999999999</v>
          </cell>
          <cell r="F1905">
            <v>9460.3277999999991</v>
          </cell>
        </row>
        <row r="1906">
          <cell r="A1906">
            <v>1902</v>
          </cell>
          <cell r="B1906" t="str">
            <v xml:space="preserve">7502251661779   </v>
          </cell>
          <cell r="C1906" t="str">
            <v xml:space="preserve">(M-917) CASTILLO                        </v>
          </cell>
          <cell r="D1906" t="str">
            <v xml:space="preserve">KIDS </v>
          </cell>
          <cell r="E1906">
            <v>6655.11</v>
          </cell>
          <cell r="F1906">
            <v>7719.9275999999991</v>
          </cell>
        </row>
        <row r="1907">
          <cell r="A1907">
            <v>1903</v>
          </cell>
          <cell r="B1907" t="str">
            <v xml:space="preserve">7502251661786   </v>
          </cell>
          <cell r="C1907" t="str">
            <v xml:space="preserve">(M-806-B) MESA CUADRADA AZUL            </v>
          </cell>
          <cell r="D1907" t="str">
            <v xml:space="preserve">KIDS </v>
          </cell>
          <cell r="E1907">
            <v>753.06</v>
          </cell>
          <cell r="F1907">
            <v>873.54959999999994</v>
          </cell>
        </row>
        <row r="1908">
          <cell r="A1908">
            <v>1904</v>
          </cell>
          <cell r="B1908" t="str">
            <v xml:space="preserve">7502251661793   </v>
          </cell>
          <cell r="C1908" t="str">
            <v xml:space="preserve">(M-806-C) MESA CUADRADA ROJA            </v>
          </cell>
          <cell r="D1908" t="str">
            <v xml:space="preserve">KIDS </v>
          </cell>
          <cell r="E1908">
            <v>753.06</v>
          </cell>
          <cell r="F1908">
            <v>873.54959999999994</v>
          </cell>
        </row>
        <row r="1909">
          <cell r="A1909">
            <v>1905</v>
          </cell>
          <cell r="B1909" t="str">
            <v xml:space="preserve">7502251661809   </v>
          </cell>
          <cell r="C1909" t="str">
            <v xml:space="preserve">(M-806-D) MESA CUADRADA VERDE           </v>
          </cell>
          <cell r="D1909" t="str">
            <v xml:space="preserve">KIDS </v>
          </cell>
          <cell r="E1909">
            <v>753.06</v>
          </cell>
          <cell r="F1909">
            <v>873.54959999999994</v>
          </cell>
        </row>
        <row r="1910">
          <cell r="A1910">
            <v>1906</v>
          </cell>
          <cell r="B1910" t="str">
            <v xml:space="preserve">7502251661816   </v>
          </cell>
          <cell r="C1910" t="str">
            <v xml:space="preserve">(M-807-B) MESA RECTANGULAR AZUL         </v>
          </cell>
          <cell r="D1910" t="str">
            <v xml:space="preserve">KIDS </v>
          </cell>
          <cell r="E1910">
            <v>1135.365</v>
          </cell>
          <cell r="F1910">
            <v>1317.0234</v>
          </cell>
        </row>
        <row r="1911">
          <cell r="A1911">
            <v>1907</v>
          </cell>
          <cell r="B1911" t="str">
            <v xml:space="preserve">7502251661823   </v>
          </cell>
          <cell r="C1911" t="str">
            <v xml:space="preserve">(M-807-C) MESA RECTANGULAR ROJA         </v>
          </cell>
          <cell r="D1911" t="str">
            <v xml:space="preserve">KIDS </v>
          </cell>
          <cell r="E1911">
            <v>1135.365</v>
          </cell>
          <cell r="F1911">
            <v>1317.0234</v>
          </cell>
        </row>
        <row r="1912">
          <cell r="A1912">
            <v>1908</v>
          </cell>
          <cell r="B1912" t="str">
            <v xml:space="preserve">7502251661830   </v>
          </cell>
          <cell r="C1912" t="str">
            <v xml:space="preserve">(M-807-D) MESA RECTANGULAR VERDE        </v>
          </cell>
          <cell r="D1912" t="str">
            <v xml:space="preserve">KIDS </v>
          </cell>
          <cell r="E1912">
            <v>1135.365</v>
          </cell>
          <cell r="F1912">
            <v>1317.0234</v>
          </cell>
        </row>
        <row r="1913">
          <cell r="A1913">
            <v>1909</v>
          </cell>
          <cell r="B1913" t="str">
            <v xml:space="preserve">7502251661847   </v>
          </cell>
          <cell r="C1913" t="str">
            <v xml:space="preserve">(M-808) MESA RECTANGULAR CON ENTRESAQUE </v>
          </cell>
          <cell r="D1913" t="str">
            <v xml:space="preserve">KIDS </v>
          </cell>
          <cell r="E1913">
            <v>1135.365</v>
          </cell>
          <cell r="F1913">
            <v>1317.0234</v>
          </cell>
        </row>
        <row r="1914">
          <cell r="A1914">
            <v>1910</v>
          </cell>
          <cell r="B1914" t="str">
            <v xml:space="preserve">7502251661854   </v>
          </cell>
          <cell r="C1914" t="str">
            <v xml:space="preserve">(M-809-A) MESA CIRCULAR AMARILLA        </v>
          </cell>
          <cell r="D1914" t="str">
            <v xml:space="preserve">KIDS </v>
          </cell>
          <cell r="E1914">
            <v>1601.9849999999999</v>
          </cell>
          <cell r="F1914">
            <v>1858.3025999999998</v>
          </cell>
        </row>
        <row r="1915">
          <cell r="A1915">
            <v>1911</v>
          </cell>
          <cell r="B1915" t="str">
            <v xml:space="preserve">7502251661861   </v>
          </cell>
          <cell r="C1915" t="str">
            <v xml:space="preserve">(M-814-A) LIBRERO AMARILLO              </v>
          </cell>
          <cell r="D1915" t="str">
            <v xml:space="preserve">KIDS </v>
          </cell>
          <cell r="E1915">
            <v>2260.3350000000005</v>
          </cell>
          <cell r="F1915">
            <v>2621.9886000000001</v>
          </cell>
        </row>
        <row r="1916">
          <cell r="A1916">
            <v>1912</v>
          </cell>
          <cell r="B1916" t="str">
            <v xml:space="preserve">7502251661878   </v>
          </cell>
          <cell r="C1916" t="str">
            <v xml:space="preserve">(M-809-B) MESA CIRCULAR AZUL            </v>
          </cell>
          <cell r="D1916" t="str">
            <v xml:space="preserve">KIDS </v>
          </cell>
          <cell r="E1916">
            <v>1601.9849999999999</v>
          </cell>
          <cell r="F1916">
            <v>1858.3025999999998</v>
          </cell>
        </row>
        <row r="1917">
          <cell r="A1917">
            <v>1913</v>
          </cell>
          <cell r="B1917" t="str">
            <v xml:space="preserve">7502251661885   </v>
          </cell>
          <cell r="C1917" t="str">
            <v xml:space="preserve">(M-809-C) MESA CIRCULAR ROJA            </v>
          </cell>
          <cell r="D1917" t="str">
            <v xml:space="preserve">KIDS </v>
          </cell>
          <cell r="E1917">
            <v>1601.9849999999999</v>
          </cell>
          <cell r="F1917">
            <v>1858.3025999999998</v>
          </cell>
        </row>
        <row r="1918">
          <cell r="A1918">
            <v>1914</v>
          </cell>
          <cell r="B1918" t="str">
            <v xml:space="preserve">7502251661892   </v>
          </cell>
          <cell r="C1918" t="str">
            <v xml:space="preserve">(M-809-D) MESA CIRCULAR VERDE           </v>
          </cell>
          <cell r="D1918" t="str">
            <v xml:space="preserve">KIDS </v>
          </cell>
          <cell r="E1918">
            <v>1601.9849999999999</v>
          </cell>
          <cell r="F1918">
            <v>1858.3025999999998</v>
          </cell>
        </row>
        <row r="1919">
          <cell r="A1919">
            <v>1915</v>
          </cell>
          <cell r="B1919" t="str">
            <v xml:space="preserve">7502251661908   </v>
          </cell>
          <cell r="C1919" t="str">
            <v xml:space="preserve">(M-811-B) MESA KOKY AZUL                </v>
          </cell>
          <cell r="D1919" t="str">
            <v xml:space="preserve">KIDS </v>
          </cell>
          <cell r="E1919">
            <v>2184.105</v>
          </cell>
          <cell r="F1919">
            <v>2533.5617999999999</v>
          </cell>
        </row>
        <row r="1920">
          <cell r="A1920">
            <v>1916</v>
          </cell>
          <cell r="B1920" t="str">
            <v xml:space="preserve">7502251661915   </v>
          </cell>
          <cell r="C1920" t="str">
            <v xml:space="preserve">(M-811-C) MESA KOKY ROJA                </v>
          </cell>
          <cell r="D1920" t="str">
            <v xml:space="preserve">KIDS </v>
          </cell>
          <cell r="E1920">
            <v>2184.105</v>
          </cell>
          <cell r="F1920">
            <v>2533.5617999999999</v>
          </cell>
        </row>
        <row r="1921">
          <cell r="A1921">
            <v>1917</v>
          </cell>
          <cell r="B1921" t="str">
            <v xml:space="preserve">7502251661922   </v>
          </cell>
          <cell r="C1921" t="str">
            <v xml:space="preserve">(M-811-D) MESA KOKY VERDE               </v>
          </cell>
          <cell r="D1921" t="str">
            <v xml:space="preserve">KIDS </v>
          </cell>
          <cell r="E1921">
            <v>2184.105</v>
          </cell>
          <cell r="F1921">
            <v>2533.5617999999999</v>
          </cell>
        </row>
        <row r="1922">
          <cell r="A1922">
            <v>1918</v>
          </cell>
          <cell r="B1922" t="str">
            <v xml:space="preserve">7502251661939   </v>
          </cell>
          <cell r="C1922" t="str">
            <v xml:space="preserve">(M-814-B) LIBRERO AZUL                  </v>
          </cell>
          <cell r="D1922" t="str">
            <v xml:space="preserve">KIDS </v>
          </cell>
          <cell r="E1922">
            <v>2260.3350000000005</v>
          </cell>
          <cell r="F1922">
            <v>2621.9886000000001</v>
          </cell>
        </row>
        <row r="1923">
          <cell r="A1923">
            <v>1919</v>
          </cell>
          <cell r="B1923" t="str">
            <v xml:space="preserve">7502251661946   </v>
          </cell>
          <cell r="C1923" t="str">
            <v xml:space="preserve">(M-814-C) LIBRERO ROJO                  </v>
          </cell>
          <cell r="D1923" t="str">
            <v xml:space="preserve">KIDS </v>
          </cell>
          <cell r="E1923">
            <v>2260.3350000000005</v>
          </cell>
          <cell r="F1923">
            <v>2621.9886000000001</v>
          </cell>
        </row>
        <row r="1924">
          <cell r="A1924">
            <v>1920</v>
          </cell>
          <cell r="B1924" t="str">
            <v xml:space="preserve">7502251661953   </v>
          </cell>
          <cell r="C1924" t="str">
            <v xml:space="preserve">(M-814-D) LIBRERO VERDE                 </v>
          </cell>
          <cell r="D1924" t="str">
            <v xml:space="preserve">KIDS </v>
          </cell>
          <cell r="E1924">
            <v>2260.3350000000005</v>
          </cell>
          <cell r="F1924">
            <v>2621.9886000000001</v>
          </cell>
        </row>
        <row r="1925">
          <cell r="A1925">
            <v>1921</v>
          </cell>
          <cell r="B1925" t="str">
            <v xml:space="preserve">7502251661960   </v>
          </cell>
          <cell r="C1925" t="str">
            <v xml:space="preserve">(M-815-B) REVISTERO AZUL                </v>
          </cell>
          <cell r="D1925" t="str">
            <v xml:space="preserve">KIDS </v>
          </cell>
          <cell r="E1925">
            <v>979.44</v>
          </cell>
          <cell r="F1925">
            <v>1136.1504</v>
          </cell>
        </row>
        <row r="1926">
          <cell r="A1926">
            <v>1922</v>
          </cell>
          <cell r="B1926" t="str">
            <v xml:space="preserve">7502251661977   </v>
          </cell>
          <cell r="C1926" t="str">
            <v xml:space="preserve">(M-815-C) REVISTERO ROJO                </v>
          </cell>
          <cell r="D1926" t="str">
            <v xml:space="preserve">KIDS </v>
          </cell>
          <cell r="E1926">
            <v>979.44</v>
          </cell>
          <cell r="F1926">
            <v>1136.1504</v>
          </cell>
        </row>
        <row r="1927">
          <cell r="A1927">
            <v>1923</v>
          </cell>
          <cell r="B1927" t="str">
            <v xml:space="preserve">7502251661984   </v>
          </cell>
          <cell r="C1927" t="str">
            <v xml:space="preserve">(M-815-D) REVISTERO VERDE               </v>
          </cell>
          <cell r="D1927" t="str">
            <v xml:space="preserve">KIDS </v>
          </cell>
          <cell r="E1927">
            <v>979.44</v>
          </cell>
          <cell r="F1927">
            <v>1136.1504</v>
          </cell>
        </row>
        <row r="1928">
          <cell r="A1928">
            <v>1924</v>
          </cell>
          <cell r="B1928" t="str">
            <v xml:space="preserve">7502251661991   </v>
          </cell>
          <cell r="C1928" t="str">
            <v xml:space="preserve">(M-816-B) LIBRERO CIRCULAR AZUL         </v>
          </cell>
          <cell r="D1928" t="str">
            <v xml:space="preserve">KIDS </v>
          </cell>
          <cell r="E1928">
            <v>1129.5900000000001</v>
          </cell>
          <cell r="F1928">
            <v>1310.3244</v>
          </cell>
        </row>
        <row r="1929">
          <cell r="A1929">
            <v>1925</v>
          </cell>
          <cell r="B1929" t="str">
            <v xml:space="preserve">7502251662004   </v>
          </cell>
          <cell r="C1929" t="str">
            <v xml:space="preserve">(M-816-C) LIBRERO CIRCULAR ROJO         </v>
          </cell>
          <cell r="D1929" t="str">
            <v xml:space="preserve">KIDS </v>
          </cell>
          <cell r="E1929">
            <v>1129.5900000000001</v>
          </cell>
          <cell r="F1929">
            <v>1310.3244</v>
          </cell>
        </row>
        <row r="1930">
          <cell r="A1930">
            <v>1926</v>
          </cell>
          <cell r="B1930" t="str">
            <v xml:space="preserve">7502251662011   </v>
          </cell>
          <cell r="C1930" t="str">
            <v xml:space="preserve">(M-816-D) LIBRERO CIRCULAR VERDE        </v>
          </cell>
          <cell r="D1930" t="str">
            <v xml:space="preserve">KIDS </v>
          </cell>
          <cell r="E1930">
            <v>1129.5900000000001</v>
          </cell>
          <cell r="F1930">
            <v>1310.3244</v>
          </cell>
        </row>
        <row r="1931">
          <cell r="A1931">
            <v>1927</v>
          </cell>
          <cell r="B1931" t="str">
            <v xml:space="preserve">7502251662028   </v>
          </cell>
          <cell r="C1931" t="str">
            <v xml:space="preserve">(M-817-B) LIBRERO 3 ESPACIOS AZUL       </v>
          </cell>
          <cell r="D1931" t="str">
            <v xml:space="preserve">KIDS </v>
          </cell>
          <cell r="E1931">
            <v>1648.1849999999999</v>
          </cell>
          <cell r="F1931">
            <v>1911.8945999999999</v>
          </cell>
        </row>
        <row r="1932">
          <cell r="A1932">
            <v>1928</v>
          </cell>
          <cell r="B1932" t="str">
            <v xml:space="preserve">7502251662035   </v>
          </cell>
          <cell r="C1932" t="str">
            <v xml:space="preserve">(M-817-C) LIBRERO 3 ESPACIOS ROJO       </v>
          </cell>
          <cell r="D1932" t="str">
            <v xml:space="preserve">KIDS </v>
          </cell>
          <cell r="E1932">
            <v>1648.1849999999999</v>
          </cell>
          <cell r="F1932">
            <v>1911.8945999999999</v>
          </cell>
        </row>
        <row r="1933">
          <cell r="A1933">
            <v>1929</v>
          </cell>
          <cell r="B1933" t="str">
            <v xml:space="preserve">7502251662042   </v>
          </cell>
          <cell r="C1933" t="str">
            <v xml:space="preserve">(M-817-D) LIBRERO 3 ESPACIOS VERDE      </v>
          </cell>
          <cell r="D1933" t="str">
            <v xml:space="preserve">KIDS </v>
          </cell>
          <cell r="E1933">
            <v>1648.1849999999999</v>
          </cell>
          <cell r="F1933">
            <v>1911.8945999999999</v>
          </cell>
        </row>
        <row r="1934">
          <cell r="A1934">
            <v>1930</v>
          </cell>
          <cell r="B1934" t="str">
            <v xml:space="preserve">7502251662059   </v>
          </cell>
          <cell r="C1934" t="str">
            <v xml:space="preserve">(M-818-B) LIBRERO 4 ESPACIOS AZUL       </v>
          </cell>
          <cell r="D1934" t="str">
            <v xml:space="preserve">KIDS </v>
          </cell>
          <cell r="E1934">
            <v>2058.2099999999996</v>
          </cell>
          <cell r="F1934">
            <v>2387.5235999999995</v>
          </cell>
        </row>
        <row r="1935">
          <cell r="A1935">
            <v>1931</v>
          </cell>
          <cell r="B1935" t="str">
            <v xml:space="preserve">7502251662066   </v>
          </cell>
          <cell r="C1935" t="str">
            <v xml:space="preserve">(M-818-C) LIBRERO 4 ESPACIOS ROJO       </v>
          </cell>
          <cell r="D1935" t="str">
            <v xml:space="preserve">KIDS </v>
          </cell>
          <cell r="E1935">
            <v>2058.2099999999996</v>
          </cell>
          <cell r="F1935">
            <v>2387.5235999999995</v>
          </cell>
        </row>
        <row r="1936">
          <cell r="A1936">
            <v>1932</v>
          </cell>
          <cell r="B1936" t="str">
            <v xml:space="preserve">7502251662073   </v>
          </cell>
          <cell r="C1936" t="str">
            <v xml:space="preserve">(M-818-D) LIBRERO 4 ESPACIOS VERDE      </v>
          </cell>
          <cell r="D1936" t="str">
            <v xml:space="preserve">KIDS </v>
          </cell>
          <cell r="E1936">
            <v>2058.2099999999996</v>
          </cell>
          <cell r="F1936">
            <v>2387.5235999999995</v>
          </cell>
        </row>
        <row r="1937">
          <cell r="A1937">
            <v>1933</v>
          </cell>
          <cell r="B1937" t="str">
            <v xml:space="preserve">7502251662080   </v>
          </cell>
          <cell r="C1937" t="str">
            <v xml:space="preserve">(M-815-A) REVISTERO AMARILLO            </v>
          </cell>
          <cell r="D1937" t="str">
            <v xml:space="preserve">KIDS </v>
          </cell>
          <cell r="E1937">
            <v>979.44</v>
          </cell>
          <cell r="F1937">
            <v>1136.1504</v>
          </cell>
        </row>
        <row r="1938">
          <cell r="A1938">
            <v>1934</v>
          </cell>
          <cell r="B1938" t="str">
            <v xml:space="preserve">7502251662097   </v>
          </cell>
          <cell r="C1938" t="str">
            <v xml:space="preserve">(M-816-A) LIBRERO CIRCULAR AMARILLO     </v>
          </cell>
          <cell r="D1938" t="str">
            <v xml:space="preserve">KIDS </v>
          </cell>
          <cell r="E1938">
            <v>1129.5900000000001</v>
          </cell>
          <cell r="F1938">
            <v>1310.3244</v>
          </cell>
        </row>
        <row r="1939">
          <cell r="A1939">
            <v>1935</v>
          </cell>
          <cell r="B1939" t="str">
            <v xml:space="preserve">7502251662103   </v>
          </cell>
          <cell r="C1939" t="str">
            <v xml:space="preserve">(M-817-A) LIBRERO 3 ESPACIOS AMARILLO   </v>
          </cell>
          <cell r="D1939" t="str">
            <v xml:space="preserve">KIDS </v>
          </cell>
          <cell r="E1939">
            <v>1648.1849999999999</v>
          </cell>
          <cell r="F1939">
            <v>1911.8945999999999</v>
          </cell>
        </row>
        <row r="1940">
          <cell r="A1940">
            <v>1936</v>
          </cell>
          <cell r="B1940" t="str">
            <v xml:space="preserve">7502251662110   </v>
          </cell>
          <cell r="C1940" t="str">
            <v xml:space="preserve">(M-818-A) LIBRERO 4 ESPACIOS AMARILLO   </v>
          </cell>
          <cell r="D1940" t="str">
            <v xml:space="preserve">KIDS </v>
          </cell>
          <cell r="E1940">
            <v>2058.2099999999996</v>
          </cell>
          <cell r="F1940">
            <v>2387.5235999999995</v>
          </cell>
        </row>
        <row r="1941">
          <cell r="A1941">
            <v>1937</v>
          </cell>
          <cell r="B1941" t="str">
            <v xml:space="preserve">7502251662127   </v>
          </cell>
          <cell r="C1941" t="str">
            <v>(M-102-A) TAPETE DE FOAMY COMBINADO 12MM</v>
          </cell>
          <cell r="D1941" t="str">
            <v xml:space="preserve">KIDS </v>
          </cell>
          <cell r="E1941">
            <v>848.1</v>
          </cell>
          <cell r="F1941">
            <v>983.79599999999994</v>
          </cell>
        </row>
        <row r="1942">
          <cell r="A1942">
            <v>1938</v>
          </cell>
          <cell r="B1942" t="str">
            <v xml:space="preserve">7502251662134   </v>
          </cell>
          <cell r="C1942" t="str">
            <v xml:space="preserve">(M-102-B) TAPETE DE FOAMY COMBINADO 9MM </v>
          </cell>
          <cell r="D1942" t="str">
            <v xml:space="preserve">KIDS </v>
          </cell>
          <cell r="E1942">
            <v>848.1</v>
          </cell>
          <cell r="F1942">
            <v>983.79599999999994</v>
          </cell>
        </row>
        <row r="1943">
          <cell r="A1943">
            <v>1939</v>
          </cell>
          <cell r="B1943" t="str">
            <v xml:space="preserve">7502251662141   </v>
          </cell>
          <cell r="C1943" t="str">
            <v xml:space="preserve">(M-103-A) BEBELECHE                     </v>
          </cell>
          <cell r="D1943" t="str">
            <v xml:space="preserve">KIDS </v>
          </cell>
          <cell r="E1943">
            <v>381.15</v>
          </cell>
          <cell r="F1943">
            <v>442.13399999999996</v>
          </cell>
        </row>
        <row r="1944">
          <cell r="A1944">
            <v>1940</v>
          </cell>
          <cell r="B1944" t="str">
            <v xml:space="preserve">7502251662158   </v>
          </cell>
          <cell r="C1944" t="str">
            <v xml:space="preserve">(M-104) R.C. REPUBLICA MEXICANA         </v>
          </cell>
          <cell r="D1944" t="str">
            <v xml:space="preserve">KIDS </v>
          </cell>
          <cell r="E1944">
            <v>381.15</v>
          </cell>
          <cell r="F1944">
            <v>442.13399999999996</v>
          </cell>
        </row>
        <row r="1945">
          <cell r="A1945">
            <v>1941</v>
          </cell>
          <cell r="B1945" t="str">
            <v xml:space="preserve">7502251662165   </v>
          </cell>
          <cell r="C1945" t="str">
            <v xml:space="preserve">(M-105) R.C. NIÑO                       </v>
          </cell>
          <cell r="D1945" t="str">
            <v xml:space="preserve">KIDS </v>
          </cell>
          <cell r="E1945">
            <v>247.5</v>
          </cell>
          <cell r="F1945">
            <v>287.09999999999997</v>
          </cell>
        </row>
        <row r="1946">
          <cell r="A1946">
            <v>1942</v>
          </cell>
          <cell r="B1946" t="str">
            <v xml:space="preserve">7502251662172   </v>
          </cell>
          <cell r="C1946" t="str">
            <v xml:space="preserve">(M-106) R.C. NIÑA                       </v>
          </cell>
          <cell r="D1946" t="str">
            <v xml:space="preserve">KIDS </v>
          </cell>
          <cell r="E1946">
            <v>247.5</v>
          </cell>
          <cell r="F1946">
            <v>287.09999999999997</v>
          </cell>
        </row>
        <row r="1947">
          <cell r="A1947">
            <v>1943</v>
          </cell>
          <cell r="B1947" t="str">
            <v xml:space="preserve">7502251662189   </v>
          </cell>
          <cell r="C1947" t="str">
            <v xml:space="preserve">(M-107) PIZARRA DE CALCULO              </v>
          </cell>
          <cell r="D1947" t="str">
            <v xml:space="preserve">KIDS </v>
          </cell>
          <cell r="E1947">
            <v>470.24999999999994</v>
          </cell>
          <cell r="F1947">
            <v>545.4899999999999</v>
          </cell>
        </row>
        <row r="1948">
          <cell r="A1948">
            <v>1944</v>
          </cell>
          <cell r="B1948" t="str">
            <v xml:space="preserve">7502251662196   </v>
          </cell>
          <cell r="C1948" t="str">
            <v xml:space="preserve">(M-108) ABECEDARIO                      </v>
          </cell>
          <cell r="D1948" t="str">
            <v xml:space="preserve">KIDS </v>
          </cell>
          <cell r="E1948">
            <v>99</v>
          </cell>
          <cell r="F1948">
            <v>114.83999999999999</v>
          </cell>
        </row>
        <row r="1949">
          <cell r="A1949">
            <v>1945</v>
          </cell>
          <cell r="B1949" t="str">
            <v xml:space="preserve">7502251662202   </v>
          </cell>
          <cell r="C1949" t="str">
            <v xml:space="preserve">(M-110) VOCALES                         </v>
          </cell>
          <cell r="D1949" t="str">
            <v xml:space="preserve">KIDS </v>
          </cell>
          <cell r="E1949">
            <v>14.85</v>
          </cell>
          <cell r="F1949">
            <v>17.225999999999999</v>
          </cell>
        </row>
        <row r="1950">
          <cell r="A1950">
            <v>1946</v>
          </cell>
          <cell r="B1950" t="str">
            <v xml:space="preserve">7502251662219   </v>
          </cell>
          <cell r="C1950" t="str">
            <v xml:space="preserve">(M-111) CRAYOLAS                        </v>
          </cell>
          <cell r="D1950" t="str">
            <v xml:space="preserve">KIDS </v>
          </cell>
          <cell r="E1950">
            <v>47.355000000000004</v>
          </cell>
          <cell r="F1950">
            <v>54.931800000000003</v>
          </cell>
        </row>
        <row r="1951">
          <cell r="A1951">
            <v>1947</v>
          </cell>
          <cell r="B1951" t="str">
            <v xml:space="preserve">7502251662271   </v>
          </cell>
          <cell r="C1951" t="str">
            <v xml:space="preserve">(M-806-A) MESA CUADRADA AMARILLA        </v>
          </cell>
          <cell r="D1951" t="str">
            <v xml:space="preserve">KIDS </v>
          </cell>
          <cell r="E1951">
            <v>753.06</v>
          </cell>
          <cell r="F1951">
            <v>873.54959999999994</v>
          </cell>
        </row>
        <row r="1952">
          <cell r="A1952">
            <v>1948</v>
          </cell>
          <cell r="B1952" t="str">
            <v xml:space="preserve">6875220002226   </v>
          </cell>
          <cell r="C1952" t="str">
            <v xml:space="preserve">FIGURAS GEOMETRICAS EN BOLSA CON 24Pz   </v>
          </cell>
          <cell r="D1952" t="str">
            <v>KIMBO</v>
          </cell>
          <cell r="E1952">
            <v>10.724999999999998</v>
          </cell>
          <cell r="F1952">
            <v>12.440999999999997</v>
          </cell>
        </row>
        <row r="1953">
          <cell r="A1953">
            <v>1949</v>
          </cell>
          <cell r="B1953" t="str">
            <v xml:space="preserve">6875220002394   </v>
          </cell>
          <cell r="C1953" t="str">
            <v xml:space="preserve">CASA,TREN Y ELEFANTE EN BOLSA           </v>
          </cell>
          <cell r="D1953" t="str">
            <v>KIMBO</v>
          </cell>
          <cell r="E1953">
            <v>11.549999999999999</v>
          </cell>
          <cell r="F1953">
            <v>13.397999999999998</v>
          </cell>
        </row>
        <row r="1954">
          <cell r="A1954">
            <v>1950</v>
          </cell>
          <cell r="B1954" t="str">
            <v xml:space="preserve">687522000338    </v>
          </cell>
          <cell r="C1954" t="str">
            <v xml:space="preserve">HERRAMIENTAS EN RED CON CASCO           </v>
          </cell>
          <cell r="D1954" t="str">
            <v>KIMBO</v>
          </cell>
          <cell r="E1954">
            <v>24.75</v>
          </cell>
          <cell r="F1954">
            <v>28.709999999999997</v>
          </cell>
        </row>
        <row r="1955">
          <cell r="A1955">
            <v>1951</v>
          </cell>
          <cell r="B1955" t="str">
            <v xml:space="preserve">6875220003407   </v>
          </cell>
          <cell r="C1955" t="str">
            <v xml:space="preserve">BOLSA CON HERRAMIENTA                   </v>
          </cell>
          <cell r="D1955" t="str">
            <v>KIMBO</v>
          </cell>
          <cell r="E1955">
            <v>14.85</v>
          </cell>
          <cell r="F1955">
            <v>17.225999999999999</v>
          </cell>
        </row>
        <row r="1956">
          <cell r="A1956">
            <v>1952</v>
          </cell>
          <cell r="B1956" t="str">
            <v xml:space="preserve">687522004251    </v>
          </cell>
          <cell r="C1956" t="str">
            <v xml:space="preserve">CUBETA CHICA LUJO MUTY                  </v>
          </cell>
          <cell r="D1956" t="str">
            <v>KIMBO</v>
          </cell>
          <cell r="E1956">
            <v>26.4</v>
          </cell>
          <cell r="F1956">
            <v>30.623999999999995</v>
          </cell>
        </row>
        <row r="1957">
          <cell r="A1957">
            <v>1953</v>
          </cell>
          <cell r="B1957" t="str">
            <v xml:space="preserve">687522004268    </v>
          </cell>
          <cell r="C1957" t="str">
            <v>CUBETA GRANDE LUJO MUTY CON TAPA DE RELO</v>
          </cell>
          <cell r="D1957" t="str">
            <v>KIMBO</v>
          </cell>
          <cell r="E1957">
            <v>36.299999999999997</v>
          </cell>
          <cell r="F1957">
            <v>42.107999999999997</v>
          </cell>
        </row>
        <row r="1958">
          <cell r="A1958">
            <v>1954</v>
          </cell>
          <cell r="B1958" t="str">
            <v xml:space="preserve">687522005937    </v>
          </cell>
          <cell r="C1958" t="str">
            <v xml:space="preserve">CUBO KIMBO BLOCKS GRANDE                </v>
          </cell>
          <cell r="D1958" t="str">
            <v>KIMBO</v>
          </cell>
          <cell r="E1958">
            <v>43.725000000000001</v>
          </cell>
          <cell r="F1958">
            <v>50.720999999999997</v>
          </cell>
        </row>
        <row r="1959">
          <cell r="A1959">
            <v>1955</v>
          </cell>
          <cell r="B1959" t="str">
            <v xml:space="preserve">6875220112673   </v>
          </cell>
          <cell r="C1959" t="str">
            <v xml:space="preserve">BLOCKS EN BOLSA 24Pz                    </v>
          </cell>
          <cell r="D1959" t="str">
            <v>KIMBO</v>
          </cell>
          <cell r="E1959">
            <v>15.675000000000001</v>
          </cell>
          <cell r="F1959">
            <v>18.183</v>
          </cell>
        </row>
        <row r="1960">
          <cell r="A1960">
            <v>1956</v>
          </cell>
          <cell r="B1960" t="str">
            <v xml:space="preserve">6875220135139   </v>
          </cell>
          <cell r="C1960" t="str">
            <v xml:space="preserve">BLOCKS EN BOLSA 15Pz                    </v>
          </cell>
          <cell r="D1960" t="str">
            <v>KIMBO</v>
          </cell>
          <cell r="E1960">
            <v>11.549999999999999</v>
          </cell>
          <cell r="F1960">
            <v>13.397999999999998</v>
          </cell>
        </row>
        <row r="1961">
          <cell r="A1961">
            <v>1957</v>
          </cell>
          <cell r="B1961" t="str">
            <v xml:space="preserve">687522013574    </v>
          </cell>
          <cell r="C1961" t="str">
            <v xml:space="preserve">NUMEROS EN BOLSA 20Pz                   </v>
          </cell>
          <cell r="D1961" t="str">
            <v>KIMBO</v>
          </cell>
          <cell r="E1961">
            <v>11.549999999999999</v>
          </cell>
          <cell r="F1961">
            <v>13.397999999999998</v>
          </cell>
        </row>
        <row r="1962">
          <cell r="A1962">
            <v>1958</v>
          </cell>
          <cell r="B1962" t="str">
            <v xml:space="preserve">687522013635    </v>
          </cell>
          <cell r="C1962" t="str">
            <v xml:space="preserve">CUBO DIDACTICO GRANDE                   </v>
          </cell>
          <cell r="D1962" t="str">
            <v>KIMBO</v>
          </cell>
          <cell r="E1962">
            <v>41.25</v>
          </cell>
          <cell r="F1962">
            <v>47.849999999999994</v>
          </cell>
        </row>
        <row r="1963">
          <cell r="A1963">
            <v>1959</v>
          </cell>
          <cell r="B1963" t="str">
            <v xml:space="preserve">LETRAS          </v>
          </cell>
          <cell r="C1963" t="str">
            <v xml:space="preserve">CUBETA GRANDE No. Y LETRAS 72Pz         </v>
          </cell>
          <cell r="D1963" t="str">
            <v>KIMBO</v>
          </cell>
          <cell r="E1963">
            <v>36.299999999999997</v>
          </cell>
          <cell r="F1963">
            <v>42.107999999999997</v>
          </cell>
        </row>
        <row r="1964">
          <cell r="A1964">
            <v>1960</v>
          </cell>
          <cell r="B1964" t="str">
            <v xml:space="preserve">06600224        </v>
          </cell>
          <cell r="C1964" t="str">
            <v xml:space="preserve">CD TARZAN DISNEY                        </v>
          </cell>
          <cell r="D1964" t="str">
            <v xml:space="preserve">KRIS </v>
          </cell>
          <cell r="E1964">
            <v>103.125</v>
          </cell>
          <cell r="F1964">
            <v>119.625</v>
          </cell>
        </row>
        <row r="1965">
          <cell r="A1965">
            <v>1961</v>
          </cell>
          <cell r="B1965" t="str">
            <v xml:space="preserve">06600419        </v>
          </cell>
          <cell r="C1965" t="str">
            <v xml:space="preserve">CD SIRENA DISNEY                        </v>
          </cell>
          <cell r="D1965" t="str">
            <v xml:space="preserve">KRIS </v>
          </cell>
          <cell r="E1965">
            <v>103.125</v>
          </cell>
          <cell r="F1965">
            <v>119.625</v>
          </cell>
        </row>
        <row r="1966">
          <cell r="A1966">
            <v>1962</v>
          </cell>
          <cell r="B1966" t="str">
            <v xml:space="preserve">06600977        </v>
          </cell>
          <cell r="C1966" t="str">
            <v xml:space="preserve">CD TOY STORY DISNEY                     </v>
          </cell>
          <cell r="D1966" t="str">
            <v xml:space="preserve">KRIS </v>
          </cell>
          <cell r="E1966">
            <v>103.125</v>
          </cell>
          <cell r="F1966">
            <v>119.625</v>
          </cell>
        </row>
        <row r="1967">
          <cell r="A1967">
            <v>1963</v>
          </cell>
          <cell r="B1967" t="str">
            <v xml:space="preserve">06606479        </v>
          </cell>
          <cell r="C1967" t="str">
            <v xml:space="preserve">CD MICREY MOUSE DISNEY                  </v>
          </cell>
          <cell r="D1967" t="str">
            <v xml:space="preserve">KRIS </v>
          </cell>
          <cell r="E1967">
            <v>103.125</v>
          </cell>
          <cell r="F1967">
            <v>119.625</v>
          </cell>
        </row>
        <row r="1968">
          <cell r="A1968">
            <v>1964</v>
          </cell>
          <cell r="B1968" t="str">
            <v xml:space="preserve">06607676        </v>
          </cell>
          <cell r="C1968" t="str">
            <v xml:space="preserve">CD WINNIE POOH DISNEY                   </v>
          </cell>
          <cell r="D1968" t="str">
            <v xml:space="preserve">KRIS </v>
          </cell>
          <cell r="E1968">
            <v>103.125</v>
          </cell>
          <cell r="F1968">
            <v>119.625</v>
          </cell>
        </row>
        <row r="1969">
          <cell r="A1969">
            <v>1965</v>
          </cell>
          <cell r="B1969" t="str">
            <v xml:space="preserve">06628438        </v>
          </cell>
          <cell r="C1969" t="str">
            <v xml:space="preserve">CD PRICESAS DISNEY                      </v>
          </cell>
          <cell r="D1969" t="str">
            <v xml:space="preserve">KRIS </v>
          </cell>
          <cell r="E1969">
            <v>103.125</v>
          </cell>
          <cell r="F1969">
            <v>119.625</v>
          </cell>
        </row>
        <row r="1970">
          <cell r="A1970">
            <v>1966</v>
          </cell>
          <cell r="B1970" t="str">
            <v xml:space="preserve">06629990        </v>
          </cell>
          <cell r="C1970" t="str">
            <v xml:space="preserve">CD LIBRO ANIMADO POOH                   </v>
          </cell>
          <cell r="D1970" t="str">
            <v xml:space="preserve">KRIS </v>
          </cell>
          <cell r="E1970">
            <v>103.125</v>
          </cell>
          <cell r="F1970">
            <v>119.625</v>
          </cell>
        </row>
        <row r="1971">
          <cell r="A1971">
            <v>1967</v>
          </cell>
          <cell r="B1971" t="str">
            <v xml:space="preserve">06629991        </v>
          </cell>
          <cell r="C1971" t="str">
            <v xml:space="preserve">CD MONSTERS INC DISNEY                  </v>
          </cell>
          <cell r="D1971" t="str">
            <v xml:space="preserve">KRIS </v>
          </cell>
          <cell r="E1971">
            <v>103.125</v>
          </cell>
          <cell r="F1971">
            <v>119.625</v>
          </cell>
        </row>
        <row r="1972">
          <cell r="A1972">
            <v>1968</v>
          </cell>
          <cell r="B1972" t="str">
            <v xml:space="preserve">705180001068    </v>
          </cell>
          <cell r="C1972" t="str">
            <v xml:space="preserve">DVD LA CIUDAD DE MEXICO EN LOS 20´S 106 </v>
          </cell>
          <cell r="D1972" t="str">
            <v xml:space="preserve">KRIS </v>
          </cell>
          <cell r="E1972">
            <v>103.125</v>
          </cell>
          <cell r="F1972">
            <v>119.625</v>
          </cell>
        </row>
        <row r="1973">
          <cell r="A1973">
            <v>1969</v>
          </cell>
          <cell r="B1973" t="str">
            <v xml:space="preserve">705180002034    </v>
          </cell>
          <cell r="C1973" t="str">
            <v xml:space="preserve">CD DE AZTECAS A MEXICAS (203)           </v>
          </cell>
          <cell r="D1973" t="str">
            <v xml:space="preserve">KRIS </v>
          </cell>
          <cell r="E1973">
            <v>268.125</v>
          </cell>
          <cell r="F1973">
            <v>311.02499999999998</v>
          </cell>
        </row>
        <row r="1974">
          <cell r="A1974">
            <v>1970</v>
          </cell>
          <cell r="B1974" t="str">
            <v xml:space="preserve">705180002041    </v>
          </cell>
          <cell r="C1974" t="str">
            <v xml:space="preserve">CD CULTURAS PREHISPANICAS (204)         </v>
          </cell>
          <cell r="D1974" t="str">
            <v xml:space="preserve">KRIS </v>
          </cell>
          <cell r="E1974">
            <v>268.125</v>
          </cell>
          <cell r="F1974">
            <v>311.02499999999998</v>
          </cell>
        </row>
        <row r="1975">
          <cell r="A1975">
            <v>1971</v>
          </cell>
          <cell r="B1975" t="str">
            <v xml:space="preserve">705180002089    </v>
          </cell>
          <cell r="C1975" t="str">
            <v xml:space="preserve">CD REVOLUCION MEXICANA (208)            </v>
          </cell>
          <cell r="D1975" t="str">
            <v xml:space="preserve">KRIS </v>
          </cell>
          <cell r="E1975">
            <v>257.39999999999998</v>
          </cell>
          <cell r="F1975">
            <v>298.58399999999995</v>
          </cell>
        </row>
        <row r="1976">
          <cell r="A1976">
            <v>1972</v>
          </cell>
          <cell r="B1976" t="str">
            <v xml:space="preserve">705180002096    </v>
          </cell>
          <cell r="C1976" t="str">
            <v>DVD PERSONAJES Y EFEMERIDES DE MEX. (209</v>
          </cell>
          <cell r="D1976" t="str">
            <v xml:space="preserve">KRIS </v>
          </cell>
          <cell r="E1976">
            <v>257.39999999999998</v>
          </cell>
          <cell r="F1976">
            <v>298.58399999999995</v>
          </cell>
        </row>
        <row r="1977">
          <cell r="A1977">
            <v>1973</v>
          </cell>
          <cell r="B1977" t="str">
            <v xml:space="preserve">705180002102    </v>
          </cell>
          <cell r="C1977" t="str">
            <v xml:space="preserve">CD EN BUSCA DE LOS MAYAS (210)          </v>
          </cell>
          <cell r="D1977" t="str">
            <v xml:space="preserve">KRIS </v>
          </cell>
          <cell r="E1977">
            <v>268.125</v>
          </cell>
          <cell r="F1977">
            <v>311.02499999999998</v>
          </cell>
        </row>
        <row r="1978">
          <cell r="A1978">
            <v>1974</v>
          </cell>
          <cell r="B1978" t="str">
            <v xml:space="preserve">705180002157    </v>
          </cell>
          <cell r="C1978" t="str">
            <v xml:space="preserve">CD MEXICO EN EL SIGLO XIX (215)         </v>
          </cell>
          <cell r="D1978" t="str">
            <v xml:space="preserve">KRIS </v>
          </cell>
          <cell r="E1978">
            <v>257.39999999999998</v>
          </cell>
          <cell r="F1978">
            <v>298.58399999999995</v>
          </cell>
        </row>
        <row r="1979">
          <cell r="A1979">
            <v>1975</v>
          </cell>
          <cell r="B1979" t="str">
            <v xml:space="preserve">705180002164    </v>
          </cell>
          <cell r="C1979" t="str">
            <v xml:space="preserve">CD HISTORIA UNIVERSAL (216)             </v>
          </cell>
          <cell r="D1979" t="str">
            <v xml:space="preserve">KRIS </v>
          </cell>
          <cell r="E1979">
            <v>268.125</v>
          </cell>
          <cell r="F1979">
            <v>311.02499999999998</v>
          </cell>
        </row>
        <row r="1980">
          <cell r="A1980">
            <v>1976</v>
          </cell>
          <cell r="B1980" t="str">
            <v xml:space="preserve">705180002171    </v>
          </cell>
          <cell r="C1980" t="str">
            <v xml:space="preserve">CD GRANDES HOMBRES (217)                </v>
          </cell>
          <cell r="D1980" t="str">
            <v xml:space="preserve">KRIS </v>
          </cell>
          <cell r="E1980">
            <v>257.39999999999998</v>
          </cell>
          <cell r="F1980">
            <v>298.58399999999995</v>
          </cell>
        </row>
        <row r="1981">
          <cell r="A1981">
            <v>1977</v>
          </cell>
          <cell r="B1981" t="str">
            <v xml:space="preserve">705180002188    </v>
          </cell>
          <cell r="C1981" t="str">
            <v xml:space="preserve">DVD MEXICANOS ILUSTRES (218)            </v>
          </cell>
          <cell r="D1981" t="str">
            <v xml:space="preserve">KRIS </v>
          </cell>
          <cell r="E1981">
            <v>206.25</v>
          </cell>
          <cell r="F1981">
            <v>239.25</v>
          </cell>
        </row>
        <row r="1982">
          <cell r="A1982">
            <v>1978</v>
          </cell>
          <cell r="B1982" t="str">
            <v xml:space="preserve">705180003017    </v>
          </cell>
          <cell r="C1982" t="str">
            <v xml:space="preserve">CD VOLCANES DE MEXICO (301)             </v>
          </cell>
          <cell r="D1982" t="str">
            <v xml:space="preserve">KRIS </v>
          </cell>
          <cell r="E1982">
            <v>103.125</v>
          </cell>
          <cell r="F1982">
            <v>119.625</v>
          </cell>
        </row>
        <row r="1983">
          <cell r="A1983">
            <v>1979</v>
          </cell>
          <cell r="B1983" t="str">
            <v xml:space="preserve">705180003154    </v>
          </cell>
          <cell r="C1983" t="str">
            <v xml:space="preserve">CD TODO MEXICO (320)                    </v>
          </cell>
          <cell r="D1983" t="str">
            <v xml:space="preserve">KRIS </v>
          </cell>
          <cell r="E1983">
            <v>257.39999999999998</v>
          </cell>
          <cell r="F1983">
            <v>298.58399999999995</v>
          </cell>
        </row>
        <row r="1984">
          <cell r="A1984">
            <v>1980</v>
          </cell>
          <cell r="B1984" t="str">
            <v xml:space="preserve">705180003208    </v>
          </cell>
          <cell r="C1984" t="str">
            <v xml:space="preserve">CD TODO MEXICO(215)                     </v>
          </cell>
          <cell r="D1984" t="str">
            <v xml:space="preserve">KRIS </v>
          </cell>
          <cell r="E1984">
            <v>268.125</v>
          </cell>
          <cell r="F1984">
            <v>311.02499999999998</v>
          </cell>
        </row>
        <row r="1985">
          <cell r="A1985">
            <v>1981</v>
          </cell>
          <cell r="B1985" t="str">
            <v xml:space="preserve">705180004069    </v>
          </cell>
          <cell r="C1985" t="str">
            <v xml:space="preserve">CD SEXUALIDAD JUVENIL                   </v>
          </cell>
          <cell r="D1985" t="str">
            <v xml:space="preserve">KRIS </v>
          </cell>
          <cell r="E1985">
            <v>257.39999999999998</v>
          </cell>
          <cell r="F1985">
            <v>298.58399999999995</v>
          </cell>
        </row>
        <row r="1986">
          <cell r="A1986">
            <v>1982</v>
          </cell>
          <cell r="B1986" t="str">
            <v xml:space="preserve">705180004175    </v>
          </cell>
          <cell r="C1986" t="str">
            <v xml:space="preserve">CD REINO ANIMAL (417)                   </v>
          </cell>
          <cell r="D1986" t="str">
            <v xml:space="preserve">KRIS </v>
          </cell>
          <cell r="E1986">
            <v>257.39999999999998</v>
          </cell>
          <cell r="F1986">
            <v>298.58399999999995</v>
          </cell>
        </row>
        <row r="1987">
          <cell r="A1987">
            <v>1983</v>
          </cell>
          <cell r="B1987" t="str">
            <v xml:space="preserve">705180004212    </v>
          </cell>
          <cell r="C1987" t="str">
            <v xml:space="preserve">CD TABLAS DE MULTIPLICAR                </v>
          </cell>
          <cell r="D1987" t="str">
            <v xml:space="preserve">KRIS </v>
          </cell>
          <cell r="E1987">
            <v>103.125</v>
          </cell>
          <cell r="F1987">
            <v>119.625</v>
          </cell>
        </row>
        <row r="1988">
          <cell r="A1988">
            <v>1984</v>
          </cell>
          <cell r="B1988" t="str">
            <v xml:space="preserve">705180004243    </v>
          </cell>
          <cell r="C1988" t="str">
            <v xml:space="preserve">CD LOTERIA NUMEROS Y LETRAS             </v>
          </cell>
          <cell r="D1988" t="str">
            <v xml:space="preserve">KRIS </v>
          </cell>
          <cell r="E1988">
            <v>103.125</v>
          </cell>
          <cell r="F1988">
            <v>119.625</v>
          </cell>
        </row>
        <row r="1989">
          <cell r="A1989">
            <v>1985</v>
          </cell>
          <cell r="B1989" t="str">
            <v xml:space="preserve">705180005035    </v>
          </cell>
          <cell r="C1989" t="str">
            <v xml:space="preserve">CD ENERGIA FISICA                       </v>
          </cell>
          <cell r="D1989" t="str">
            <v xml:space="preserve">KRIS </v>
          </cell>
          <cell r="E1989">
            <v>257.39999999999998</v>
          </cell>
          <cell r="F1989">
            <v>298.58399999999995</v>
          </cell>
        </row>
        <row r="1990">
          <cell r="A1990">
            <v>1986</v>
          </cell>
          <cell r="B1990" t="str">
            <v xml:space="preserve">705180005080    </v>
          </cell>
          <cell r="C1990" t="str">
            <v xml:space="preserve">CD MATEMATICAS PRIMARIA (508)           </v>
          </cell>
          <cell r="D1990" t="str">
            <v xml:space="preserve">KRIS </v>
          </cell>
          <cell r="E1990">
            <v>268.125</v>
          </cell>
          <cell r="F1990">
            <v>311.02499999999998</v>
          </cell>
        </row>
        <row r="1991">
          <cell r="A1991">
            <v>1987</v>
          </cell>
          <cell r="B1991" t="str">
            <v xml:space="preserve">705180005103    </v>
          </cell>
          <cell r="C1991" t="str">
            <v xml:space="preserve">CD ELECTRICIDAD Y MAGNETISMO            </v>
          </cell>
          <cell r="D1991" t="str">
            <v xml:space="preserve">KRIS </v>
          </cell>
          <cell r="E1991">
            <v>257.39999999999998</v>
          </cell>
          <cell r="F1991">
            <v>298.58399999999995</v>
          </cell>
        </row>
        <row r="1992">
          <cell r="A1992">
            <v>1988</v>
          </cell>
          <cell r="B1992" t="str">
            <v xml:space="preserve">705180005127    </v>
          </cell>
          <cell r="C1992" t="str">
            <v xml:space="preserve">CD MEMORIA MUNDIAL                      </v>
          </cell>
          <cell r="D1992" t="str">
            <v xml:space="preserve">KRIS </v>
          </cell>
          <cell r="E1992">
            <v>206.25</v>
          </cell>
          <cell r="F1992">
            <v>239.25</v>
          </cell>
        </row>
        <row r="1993">
          <cell r="A1993">
            <v>1989</v>
          </cell>
          <cell r="B1993" t="str">
            <v xml:space="preserve">705180005141    </v>
          </cell>
          <cell r="C1993" t="str">
            <v xml:space="preserve">CD APRENDIENDO A LEER                   </v>
          </cell>
          <cell r="D1993" t="str">
            <v xml:space="preserve">KRIS </v>
          </cell>
          <cell r="E1993">
            <v>257.39999999999998</v>
          </cell>
          <cell r="F1993">
            <v>298.58399999999995</v>
          </cell>
        </row>
        <row r="1994">
          <cell r="A1994">
            <v>1990</v>
          </cell>
          <cell r="B1994" t="str">
            <v xml:space="preserve">705180005165    </v>
          </cell>
          <cell r="C1994" t="str">
            <v xml:space="preserve">CD BIOLOGIA 2                           </v>
          </cell>
          <cell r="D1994" t="str">
            <v xml:space="preserve">KRIS </v>
          </cell>
          <cell r="E1994">
            <v>257.39999999999998</v>
          </cell>
          <cell r="F1994">
            <v>298.58399999999995</v>
          </cell>
        </row>
        <row r="1995">
          <cell r="A1995">
            <v>1991</v>
          </cell>
          <cell r="B1995" t="str">
            <v xml:space="preserve">705180005196    </v>
          </cell>
          <cell r="C1995" t="str">
            <v xml:space="preserve">CD SISTEMA INTERNACIONAL DE UNIDADES    </v>
          </cell>
          <cell r="D1995" t="str">
            <v xml:space="preserve">KRIS </v>
          </cell>
          <cell r="E1995">
            <v>257.39999999999998</v>
          </cell>
          <cell r="F1995">
            <v>298.58399999999995</v>
          </cell>
        </row>
        <row r="1996">
          <cell r="A1996">
            <v>1992</v>
          </cell>
          <cell r="B1996" t="str">
            <v xml:space="preserve">705180005202    </v>
          </cell>
          <cell r="C1996" t="str">
            <v xml:space="preserve">CD ATLAS DEL CUERPO                     </v>
          </cell>
          <cell r="D1996" t="str">
            <v xml:space="preserve">KRIS </v>
          </cell>
          <cell r="E1996">
            <v>257.39999999999998</v>
          </cell>
          <cell r="F1996">
            <v>298.58399999999995</v>
          </cell>
        </row>
        <row r="1997">
          <cell r="A1997">
            <v>1993</v>
          </cell>
          <cell r="B1997" t="str">
            <v xml:space="preserve">705180005226    </v>
          </cell>
          <cell r="C1997" t="str">
            <v xml:space="preserve">CD COMPRENCION DE LA LECTURA            </v>
          </cell>
          <cell r="D1997" t="str">
            <v xml:space="preserve">KRIS </v>
          </cell>
          <cell r="E1997">
            <v>257.39999999999998</v>
          </cell>
          <cell r="F1997">
            <v>298.58399999999995</v>
          </cell>
        </row>
        <row r="1998">
          <cell r="A1998">
            <v>1994</v>
          </cell>
          <cell r="B1998" t="str">
            <v xml:space="preserve">705180005301    </v>
          </cell>
          <cell r="C1998" t="str">
            <v xml:space="preserve">CD EJERCICIOS DE ALGEBRA                </v>
          </cell>
          <cell r="D1998" t="str">
            <v xml:space="preserve">KRIS </v>
          </cell>
          <cell r="E1998">
            <v>257.39999999999998</v>
          </cell>
          <cell r="F1998">
            <v>298.58399999999995</v>
          </cell>
        </row>
        <row r="1999">
          <cell r="A1999">
            <v>1995</v>
          </cell>
          <cell r="B1999" t="str">
            <v xml:space="preserve">705180005325    </v>
          </cell>
          <cell r="C1999" t="str">
            <v xml:space="preserve">CD ORTOGRAFIA (532)                     </v>
          </cell>
          <cell r="D1999" t="str">
            <v xml:space="preserve">KRIS </v>
          </cell>
          <cell r="E1999">
            <v>268.125</v>
          </cell>
          <cell r="F1999">
            <v>311.02499999999998</v>
          </cell>
        </row>
        <row r="2000">
          <cell r="A2000">
            <v>1996</v>
          </cell>
          <cell r="B2000" t="str">
            <v xml:space="preserve">705180005363    </v>
          </cell>
          <cell r="C2000" t="str">
            <v xml:space="preserve">CD LABORATORIO DE QUIMICA               </v>
          </cell>
          <cell r="D2000" t="str">
            <v xml:space="preserve">KRIS </v>
          </cell>
          <cell r="E2000">
            <v>825</v>
          </cell>
          <cell r="F2000">
            <v>957</v>
          </cell>
        </row>
        <row r="2001">
          <cell r="A2001">
            <v>1997</v>
          </cell>
          <cell r="B2001" t="str">
            <v xml:space="preserve">705180005387    </v>
          </cell>
          <cell r="C2001" t="str">
            <v xml:space="preserve">CD GEOMETRIA                            </v>
          </cell>
          <cell r="D2001" t="str">
            <v xml:space="preserve">KRIS </v>
          </cell>
          <cell r="E2001">
            <v>257.39999999999998</v>
          </cell>
          <cell r="F2001">
            <v>298.58399999999995</v>
          </cell>
        </row>
        <row r="2002">
          <cell r="A2002">
            <v>1998</v>
          </cell>
          <cell r="B2002" t="str">
            <v xml:space="preserve">705180005424    </v>
          </cell>
          <cell r="C2002" t="str">
            <v xml:space="preserve">ATLAS DEL CUERPO HUMANO                 </v>
          </cell>
          <cell r="D2002" t="str">
            <v xml:space="preserve">KRIS </v>
          </cell>
          <cell r="E2002">
            <v>412.5</v>
          </cell>
          <cell r="F2002">
            <v>478.5</v>
          </cell>
        </row>
        <row r="2003">
          <cell r="A2003">
            <v>1999</v>
          </cell>
          <cell r="B2003" t="str">
            <v xml:space="preserve">705180005431    </v>
          </cell>
          <cell r="C2003" t="str">
            <v xml:space="preserve">CD ALGEBRA SECUNDARIA (543)             </v>
          </cell>
          <cell r="D2003" t="str">
            <v xml:space="preserve">KRIS </v>
          </cell>
          <cell r="E2003">
            <v>268.125</v>
          </cell>
          <cell r="F2003">
            <v>311.02499999999998</v>
          </cell>
        </row>
        <row r="2004">
          <cell r="A2004">
            <v>2000</v>
          </cell>
          <cell r="B2004" t="str">
            <v xml:space="preserve">705180005516    </v>
          </cell>
          <cell r="C2004" t="str">
            <v xml:space="preserve">CD LEER ME ENCANTA                      </v>
          </cell>
          <cell r="D2004" t="str">
            <v xml:space="preserve">KRIS </v>
          </cell>
          <cell r="E2004">
            <v>495</v>
          </cell>
          <cell r="F2004">
            <v>574.19999999999993</v>
          </cell>
        </row>
        <row r="2005">
          <cell r="A2005">
            <v>2001</v>
          </cell>
          <cell r="B2005" t="str">
            <v xml:space="preserve">705180005523    </v>
          </cell>
          <cell r="C2005" t="str">
            <v xml:space="preserve">CD SUMA Y RESTA CON ALEXBRIJE           </v>
          </cell>
          <cell r="D2005" t="str">
            <v xml:space="preserve">KRIS </v>
          </cell>
          <cell r="E2005">
            <v>412.5</v>
          </cell>
          <cell r="F2005">
            <v>478.5</v>
          </cell>
        </row>
        <row r="2006">
          <cell r="A2006">
            <v>2002</v>
          </cell>
          <cell r="B2006" t="str">
            <v xml:space="preserve">705180007527    </v>
          </cell>
          <cell r="C2006" t="str">
            <v xml:space="preserve">DVD  LA CONQUISTA DE MEXICO             </v>
          </cell>
          <cell r="D2006" t="str">
            <v xml:space="preserve">KRIS </v>
          </cell>
          <cell r="E2006">
            <v>412.5</v>
          </cell>
          <cell r="F2006">
            <v>478.5</v>
          </cell>
        </row>
        <row r="2007">
          <cell r="A2007">
            <v>2003</v>
          </cell>
          <cell r="B2007" t="str">
            <v xml:space="preserve">705180007541    </v>
          </cell>
          <cell r="C2007" t="str">
            <v xml:space="preserve">DVD INDEPENDENCIA DE MEXICO PARA NIÑOS  </v>
          </cell>
          <cell r="D2007" t="str">
            <v xml:space="preserve">KRIS </v>
          </cell>
          <cell r="E2007">
            <v>412.5</v>
          </cell>
          <cell r="F2007">
            <v>478.5</v>
          </cell>
        </row>
        <row r="2008">
          <cell r="A2008">
            <v>2004</v>
          </cell>
          <cell r="B2008" t="str">
            <v xml:space="preserve">705180008012    </v>
          </cell>
          <cell r="C2008" t="str">
            <v xml:space="preserve">CD REINO ANIMAL VOL 1                   </v>
          </cell>
          <cell r="D2008" t="str">
            <v xml:space="preserve">KRIS </v>
          </cell>
          <cell r="E2008">
            <v>115.49999999999997</v>
          </cell>
          <cell r="F2008">
            <v>133.97999999999996</v>
          </cell>
        </row>
        <row r="2009">
          <cell r="A2009">
            <v>2005</v>
          </cell>
          <cell r="B2009" t="str">
            <v xml:space="preserve">705180008029    </v>
          </cell>
          <cell r="C2009" t="str">
            <v xml:space="preserve">CD REINO ANIMAL                         </v>
          </cell>
          <cell r="D2009" t="str">
            <v xml:space="preserve">KRIS </v>
          </cell>
          <cell r="E2009">
            <v>103.125</v>
          </cell>
          <cell r="F2009">
            <v>119.625</v>
          </cell>
        </row>
        <row r="2010">
          <cell r="A2010">
            <v>2006</v>
          </cell>
          <cell r="B2010" t="str">
            <v xml:space="preserve">705180008043    </v>
          </cell>
          <cell r="C2010" t="str">
            <v xml:space="preserve">CD ORTOGRAFIA                           </v>
          </cell>
          <cell r="D2010" t="str">
            <v xml:space="preserve">KRIS </v>
          </cell>
          <cell r="E2010">
            <v>295.34999999999997</v>
          </cell>
          <cell r="F2010">
            <v>342.60599999999994</v>
          </cell>
        </row>
        <row r="2011">
          <cell r="A2011">
            <v>2007</v>
          </cell>
          <cell r="B2011" t="str">
            <v xml:space="preserve">705180008098    </v>
          </cell>
          <cell r="C2011" t="str">
            <v xml:space="preserve">CD AGILIZA TU MEMORIA                   </v>
          </cell>
          <cell r="D2011" t="str">
            <v xml:space="preserve">KRIS </v>
          </cell>
          <cell r="E2011">
            <v>165</v>
          </cell>
          <cell r="F2011">
            <v>191.39999999999998</v>
          </cell>
        </row>
        <row r="2012">
          <cell r="A2012">
            <v>2008</v>
          </cell>
          <cell r="B2012" t="str">
            <v xml:space="preserve">705180012071    </v>
          </cell>
          <cell r="C2012" t="str">
            <v xml:space="preserve">CD SIGLO XIX (1810)                     </v>
          </cell>
          <cell r="D2012" t="str">
            <v xml:space="preserve">KRIS </v>
          </cell>
          <cell r="E2012">
            <v>268.125</v>
          </cell>
          <cell r="F2012">
            <v>311.02499999999998</v>
          </cell>
        </row>
        <row r="2013">
          <cell r="A2013">
            <v>2009</v>
          </cell>
          <cell r="B2013" t="str">
            <v xml:space="preserve">750518008012    </v>
          </cell>
          <cell r="C2013" t="str">
            <v xml:space="preserve">CD REINO ANIMAL VOL. 1                  </v>
          </cell>
          <cell r="D2013" t="str">
            <v xml:space="preserve">KRIS </v>
          </cell>
          <cell r="E2013">
            <v>115.49999999999997</v>
          </cell>
          <cell r="F2013">
            <v>133.97999999999996</v>
          </cell>
        </row>
        <row r="2014">
          <cell r="A2014">
            <v>2010</v>
          </cell>
          <cell r="B2014" t="str">
            <v xml:space="preserve">CD01            </v>
          </cell>
          <cell r="C2014" t="str">
            <v xml:space="preserve">CD SOPA DE LETRAS                       </v>
          </cell>
          <cell r="D2014" t="str">
            <v xml:space="preserve">KRIS </v>
          </cell>
          <cell r="E2014">
            <v>103.125</v>
          </cell>
          <cell r="F2014">
            <v>119.625</v>
          </cell>
        </row>
        <row r="2015">
          <cell r="A2015">
            <v>2011</v>
          </cell>
          <cell r="B2015" t="str">
            <v xml:space="preserve">CD03            </v>
          </cell>
          <cell r="C2015" t="str">
            <v xml:space="preserve">CD MUJERES DE LA BIBLIA                 </v>
          </cell>
          <cell r="D2015" t="str">
            <v xml:space="preserve">KRIS </v>
          </cell>
          <cell r="E2015">
            <v>103.125</v>
          </cell>
          <cell r="F2015">
            <v>119.625</v>
          </cell>
        </row>
        <row r="2016">
          <cell r="A2016">
            <v>2012</v>
          </cell>
          <cell r="B2016" t="str">
            <v xml:space="preserve">CD04            </v>
          </cell>
          <cell r="C2016" t="str">
            <v xml:space="preserve">CD ACTIVIDADES Y LUGARES DE TRABAJO     </v>
          </cell>
          <cell r="D2016" t="str">
            <v xml:space="preserve">KRIS </v>
          </cell>
          <cell r="E2016">
            <v>103.125</v>
          </cell>
          <cell r="F2016">
            <v>119.625</v>
          </cell>
        </row>
        <row r="2017">
          <cell r="A2017">
            <v>2013</v>
          </cell>
          <cell r="B2017" t="str">
            <v xml:space="preserve">CD06            </v>
          </cell>
          <cell r="C2017" t="str">
            <v xml:space="preserve">CD ¿QUIEN LO HIZO?                      </v>
          </cell>
          <cell r="D2017" t="str">
            <v xml:space="preserve">KRIS </v>
          </cell>
          <cell r="E2017">
            <v>103.125</v>
          </cell>
          <cell r="F2017">
            <v>119.625</v>
          </cell>
        </row>
        <row r="2018">
          <cell r="A2018">
            <v>2014</v>
          </cell>
          <cell r="B2018" t="str">
            <v xml:space="preserve">7502211139751   </v>
          </cell>
          <cell r="C2018" t="str">
            <v xml:space="preserve">JGO. DESTREZA CORAZON                   </v>
          </cell>
          <cell r="D2018" t="str">
            <v xml:space="preserve">KUMA </v>
          </cell>
          <cell r="E2018">
            <v>165</v>
          </cell>
          <cell r="F2018">
            <v>191.39999999999998</v>
          </cell>
        </row>
        <row r="2019">
          <cell r="A2019">
            <v>2015</v>
          </cell>
          <cell r="B2019" t="str">
            <v xml:space="preserve">7502211139768   </v>
          </cell>
          <cell r="C2019" t="str">
            <v xml:space="preserve">JGO. DESTREZA HUEVO                     </v>
          </cell>
          <cell r="D2019" t="str">
            <v xml:space="preserve">KUMA </v>
          </cell>
          <cell r="E2019">
            <v>165</v>
          </cell>
          <cell r="F2019">
            <v>191.39999999999998</v>
          </cell>
        </row>
        <row r="2020">
          <cell r="A2020">
            <v>2016</v>
          </cell>
          <cell r="B2020" t="str">
            <v xml:space="preserve">7502211139775   </v>
          </cell>
          <cell r="C2020" t="str">
            <v xml:space="preserve">JGO. DESTREZA TANGRAM                   </v>
          </cell>
          <cell r="D2020" t="str">
            <v xml:space="preserve">KUMA </v>
          </cell>
          <cell r="E2020">
            <v>165</v>
          </cell>
          <cell r="F2020">
            <v>191.39999999999998</v>
          </cell>
        </row>
        <row r="2021">
          <cell r="A2021">
            <v>2017</v>
          </cell>
          <cell r="B2021" t="str">
            <v xml:space="preserve">7502211139782   </v>
          </cell>
          <cell r="C2021" t="str">
            <v xml:space="preserve">JGO. DESTREZA Q`BO                      </v>
          </cell>
          <cell r="D2021" t="str">
            <v xml:space="preserve">KUMA </v>
          </cell>
          <cell r="E2021">
            <v>165</v>
          </cell>
          <cell r="F2021">
            <v>191.39999999999998</v>
          </cell>
        </row>
        <row r="2022">
          <cell r="A2022">
            <v>2018</v>
          </cell>
          <cell r="B2022" t="str">
            <v xml:space="preserve">7502211139799   </v>
          </cell>
          <cell r="C2022" t="str">
            <v xml:space="preserve">JGO. DESTREZA PISA                      </v>
          </cell>
          <cell r="D2022" t="str">
            <v xml:space="preserve">KUMA </v>
          </cell>
          <cell r="E2022">
            <v>165</v>
          </cell>
          <cell r="F2022">
            <v>191.39999999999998</v>
          </cell>
        </row>
        <row r="2023">
          <cell r="A2023">
            <v>2019</v>
          </cell>
          <cell r="B2023" t="str">
            <v xml:space="preserve">7502211139805   </v>
          </cell>
          <cell r="C2023" t="str">
            <v xml:space="preserve">JGO. DESTREZA X`TREM                    </v>
          </cell>
          <cell r="D2023" t="str">
            <v xml:space="preserve">KUMA </v>
          </cell>
          <cell r="E2023">
            <v>165</v>
          </cell>
          <cell r="F2023">
            <v>191.39999999999998</v>
          </cell>
        </row>
        <row r="2024">
          <cell r="A2024">
            <v>2020</v>
          </cell>
          <cell r="B2024" t="str">
            <v xml:space="preserve">7502211139812   </v>
          </cell>
          <cell r="C2024" t="str">
            <v xml:space="preserve">JGO. DESTREZA TORRE DE JAZMIN           </v>
          </cell>
          <cell r="D2024" t="str">
            <v xml:space="preserve">KUMA </v>
          </cell>
          <cell r="E2024">
            <v>165</v>
          </cell>
          <cell r="F2024">
            <v>191.39999999999998</v>
          </cell>
        </row>
        <row r="2025">
          <cell r="A2025">
            <v>2021</v>
          </cell>
          <cell r="B2025" t="str">
            <v xml:space="preserve">7506134905080   </v>
          </cell>
          <cell r="C2025" t="str">
            <v xml:space="preserve">JGO DESTREZA C.C.O.                     </v>
          </cell>
          <cell r="D2025" t="str">
            <v xml:space="preserve">KUMA </v>
          </cell>
          <cell r="E2025">
            <v>165</v>
          </cell>
          <cell r="F2025">
            <v>191.39999999999998</v>
          </cell>
        </row>
        <row r="2026">
          <cell r="A2026">
            <v>2022</v>
          </cell>
          <cell r="B2026" t="str">
            <v xml:space="preserve">7506134905097   </v>
          </cell>
          <cell r="C2026" t="str">
            <v xml:space="preserve">JGO DESTREZA DOMINALO                   </v>
          </cell>
          <cell r="D2026" t="str">
            <v xml:space="preserve">KUMA </v>
          </cell>
          <cell r="E2026">
            <v>165</v>
          </cell>
          <cell r="F2026">
            <v>191.39999999999998</v>
          </cell>
        </row>
        <row r="2027">
          <cell r="A2027">
            <v>2023</v>
          </cell>
          <cell r="B2027" t="str">
            <v xml:space="preserve">7506134905103   </v>
          </cell>
          <cell r="C2027" t="str">
            <v xml:space="preserve">JGO DESTREZA SOMA                       </v>
          </cell>
          <cell r="D2027" t="str">
            <v xml:space="preserve">KUMA </v>
          </cell>
          <cell r="E2027">
            <v>165</v>
          </cell>
          <cell r="F2027">
            <v>191.39999999999998</v>
          </cell>
        </row>
        <row r="2028">
          <cell r="A2028">
            <v>2024</v>
          </cell>
          <cell r="B2028" t="str">
            <v xml:space="preserve">7506134905110   </v>
          </cell>
          <cell r="C2028" t="str">
            <v xml:space="preserve">JGO DESTREZA MISION IMPOSIBLE           </v>
          </cell>
          <cell r="D2028" t="str">
            <v xml:space="preserve">KUMA </v>
          </cell>
          <cell r="E2028">
            <v>165</v>
          </cell>
          <cell r="F2028">
            <v>191.39999999999998</v>
          </cell>
        </row>
        <row r="2029">
          <cell r="A2029">
            <v>2025</v>
          </cell>
          <cell r="B2029" t="str">
            <v xml:space="preserve">7506134905127   </v>
          </cell>
          <cell r="C2029" t="str">
            <v xml:space="preserve">JGO DESTREZA DIAMANTE                   </v>
          </cell>
          <cell r="D2029" t="str">
            <v xml:space="preserve">KUMA </v>
          </cell>
          <cell r="E2029">
            <v>165</v>
          </cell>
          <cell r="F2029">
            <v>191.39999999999998</v>
          </cell>
        </row>
        <row r="2030">
          <cell r="A2030">
            <v>2026</v>
          </cell>
          <cell r="B2030" t="str">
            <v xml:space="preserve">7506134905134   </v>
          </cell>
          <cell r="C2030" t="str">
            <v xml:space="preserve">JGO DESTREZA STAR                       </v>
          </cell>
          <cell r="D2030" t="str">
            <v xml:space="preserve">KUMA </v>
          </cell>
          <cell r="E2030">
            <v>165</v>
          </cell>
          <cell r="F2030">
            <v>191.39999999999998</v>
          </cell>
        </row>
        <row r="2031">
          <cell r="A2031">
            <v>2027</v>
          </cell>
          <cell r="B2031" t="str">
            <v xml:space="preserve">7506134905141   </v>
          </cell>
          <cell r="C2031" t="str">
            <v xml:space="preserve">JGO DESTREZA ROUND                      </v>
          </cell>
          <cell r="D2031" t="str">
            <v xml:space="preserve">KUMA </v>
          </cell>
          <cell r="E2031">
            <v>165</v>
          </cell>
          <cell r="F2031">
            <v>191.39999999999998</v>
          </cell>
        </row>
        <row r="2032">
          <cell r="A2032">
            <v>2028</v>
          </cell>
          <cell r="B2032" t="str">
            <v xml:space="preserve">7506134905158   </v>
          </cell>
          <cell r="C2032" t="str">
            <v xml:space="preserve">JGO DESTREZA PROPELLER                  </v>
          </cell>
          <cell r="D2032" t="str">
            <v xml:space="preserve">KUMA </v>
          </cell>
          <cell r="E2032">
            <v>165</v>
          </cell>
          <cell r="F2032">
            <v>191.39999999999998</v>
          </cell>
        </row>
        <row r="2033">
          <cell r="A2033">
            <v>2029</v>
          </cell>
          <cell r="B2033" t="str">
            <v xml:space="preserve">7506134905165   </v>
          </cell>
          <cell r="C2033" t="str">
            <v xml:space="preserve">JGO DESTREZA BARRIL                     </v>
          </cell>
          <cell r="D2033" t="str">
            <v xml:space="preserve">KUMA </v>
          </cell>
          <cell r="E2033">
            <v>165</v>
          </cell>
          <cell r="F2033">
            <v>191.39999999999998</v>
          </cell>
        </row>
        <row r="2034">
          <cell r="A2034">
            <v>2030</v>
          </cell>
          <cell r="B2034" t="str">
            <v xml:space="preserve">7506134905172   </v>
          </cell>
          <cell r="C2034" t="str">
            <v xml:space="preserve">JGO DESTREZA ROLLING                    </v>
          </cell>
          <cell r="D2034" t="str">
            <v xml:space="preserve">KUMA </v>
          </cell>
          <cell r="E2034">
            <v>165</v>
          </cell>
          <cell r="F2034">
            <v>191.39999999999998</v>
          </cell>
        </row>
        <row r="2035">
          <cell r="A2035">
            <v>2031</v>
          </cell>
          <cell r="B2035" t="str">
            <v xml:space="preserve">7506134905189   </v>
          </cell>
          <cell r="C2035" t="str">
            <v xml:space="preserve">JGO DESTREZA 4 T                        </v>
          </cell>
          <cell r="D2035" t="str">
            <v xml:space="preserve">KUMA </v>
          </cell>
          <cell r="E2035">
            <v>165</v>
          </cell>
          <cell r="F2035">
            <v>191.39999999999998</v>
          </cell>
        </row>
        <row r="2036">
          <cell r="A2036">
            <v>2032</v>
          </cell>
          <cell r="B2036" t="str">
            <v xml:space="preserve">7506134905196   </v>
          </cell>
          <cell r="C2036" t="str">
            <v xml:space="preserve">JGO DESTREZA SEMAFORO                   </v>
          </cell>
          <cell r="D2036" t="str">
            <v xml:space="preserve">KUMA </v>
          </cell>
          <cell r="E2036">
            <v>165</v>
          </cell>
          <cell r="F2036">
            <v>191.39999999999998</v>
          </cell>
        </row>
        <row r="2037">
          <cell r="A2037">
            <v>2033</v>
          </cell>
          <cell r="B2037" t="str">
            <v xml:space="preserve">7506134905202   </v>
          </cell>
          <cell r="C2037" t="str">
            <v xml:space="preserve">JGO DESTREZA ESCAPE                     </v>
          </cell>
          <cell r="D2037" t="str">
            <v xml:space="preserve">KUMA </v>
          </cell>
          <cell r="E2037">
            <v>165</v>
          </cell>
          <cell r="F2037">
            <v>191.39999999999998</v>
          </cell>
        </row>
        <row r="2038">
          <cell r="A2038">
            <v>2034</v>
          </cell>
          <cell r="B2038" t="str">
            <v xml:space="preserve">7506134905219   </v>
          </cell>
          <cell r="C2038" t="str">
            <v xml:space="preserve">JGO DESTREZA SNAKE                      </v>
          </cell>
          <cell r="D2038" t="str">
            <v xml:space="preserve">KUMA </v>
          </cell>
          <cell r="E2038">
            <v>165</v>
          </cell>
          <cell r="F2038">
            <v>191.39999999999998</v>
          </cell>
        </row>
        <row r="2039">
          <cell r="A2039">
            <v>2035</v>
          </cell>
          <cell r="B2039" t="str">
            <v xml:space="preserve">7506134905226   </v>
          </cell>
          <cell r="C2039" t="str">
            <v xml:space="preserve">JGO DESTREZA PIRAMIDE                   </v>
          </cell>
          <cell r="D2039" t="str">
            <v xml:space="preserve">KUMA </v>
          </cell>
          <cell r="E2039">
            <v>165</v>
          </cell>
          <cell r="F2039">
            <v>191.39999999999998</v>
          </cell>
        </row>
        <row r="2040">
          <cell r="A2040">
            <v>2036</v>
          </cell>
          <cell r="B2040" t="str">
            <v xml:space="preserve">7506134905233   </v>
          </cell>
          <cell r="C2040" t="str">
            <v xml:space="preserve">JGO DESTREZA JENGA                      </v>
          </cell>
          <cell r="D2040" t="str">
            <v xml:space="preserve">KUMA </v>
          </cell>
          <cell r="E2040">
            <v>165</v>
          </cell>
          <cell r="F2040">
            <v>191.39999999999998</v>
          </cell>
        </row>
        <row r="2041">
          <cell r="A2041">
            <v>2037</v>
          </cell>
          <cell r="B2041" t="str">
            <v xml:space="preserve">7506134905240   </v>
          </cell>
          <cell r="C2041" t="str">
            <v xml:space="preserve">JGO DESTREZA MENTE BRILLANTE            </v>
          </cell>
          <cell r="D2041" t="str">
            <v xml:space="preserve">KUMA </v>
          </cell>
          <cell r="E2041">
            <v>165</v>
          </cell>
          <cell r="F2041">
            <v>191.39999999999998</v>
          </cell>
        </row>
        <row r="2042">
          <cell r="A2042">
            <v>2038</v>
          </cell>
          <cell r="B2042" t="str">
            <v xml:space="preserve">7506134905257   </v>
          </cell>
          <cell r="C2042" t="str">
            <v xml:space="preserve">JGO DESTREZA TACHITO                    </v>
          </cell>
          <cell r="D2042" t="str">
            <v xml:space="preserve">KUMA </v>
          </cell>
          <cell r="E2042">
            <v>165</v>
          </cell>
          <cell r="F2042">
            <v>191.39999999999998</v>
          </cell>
        </row>
        <row r="2043">
          <cell r="A2043">
            <v>2039</v>
          </cell>
          <cell r="B2043" t="str">
            <v xml:space="preserve">7506134905264   </v>
          </cell>
          <cell r="C2043" t="str">
            <v xml:space="preserve">JGO DESTREZA RATA ATRAPADA              </v>
          </cell>
          <cell r="D2043" t="str">
            <v xml:space="preserve">KUMA </v>
          </cell>
          <cell r="E2043">
            <v>165</v>
          </cell>
          <cell r="F2043">
            <v>191.39999999999998</v>
          </cell>
        </row>
        <row r="2044">
          <cell r="A2044">
            <v>2040</v>
          </cell>
          <cell r="B2044" t="str">
            <v xml:space="preserve">7506134905271   </v>
          </cell>
          <cell r="C2044" t="str">
            <v xml:space="preserve">JGO DESTREZA GALAXIA                    </v>
          </cell>
          <cell r="D2044" t="str">
            <v xml:space="preserve">KUMA </v>
          </cell>
          <cell r="E2044">
            <v>165</v>
          </cell>
          <cell r="F2044">
            <v>191.39999999999998</v>
          </cell>
        </row>
        <row r="2045">
          <cell r="A2045">
            <v>2041</v>
          </cell>
          <cell r="B2045" t="str">
            <v xml:space="preserve">7501991804125   </v>
          </cell>
          <cell r="C2045" t="str">
            <v xml:space="preserve">MINI GYM 6Pz (KID29)                    </v>
          </cell>
          <cell r="D2045" t="str">
            <v>LARIS</v>
          </cell>
          <cell r="E2045">
            <v>957</v>
          </cell>
          <cell r="F2045">
            <v>1110.1199999999999</v>
          </cell>
        </row>
        <row r="2046">
          <cell r="A2046">
            <v>2042</v>
          </cell>
          <cell r="B2046" t="str">
            <v xml:space="preserve">7501991850504   </v>
          </cell>
          <cell r="C2046" t="str">
            <v xml:space="preserve">CUBOTRICOLOR (30X30)cm 1Pz (04CCE)      </v>
          </cell>
          <cell r="D2046" t="str">
            <v>LARIS</v>
          </cell>
          <cell r="E2046">
            <v>237.6</v>
          </cell>
          <cell r="F2046">
            <v>275.61599999999999</v>
          </cell>
        </row>
        <row r="2047">
          <cell r="A2047">
            <v>2043</v>
          </cell>
          <cell r="B2047" t="str">
            <v xml:space="preserve">7501991850511   </v>
          </cell>
          <cell r="C2047" t="str">
            <v xml:space="preserve">CUBO TEXTURA (30X30)cm 1Pz (04CE)       </v>
          </cell>
          <cell r="D2047" t="str">
            <v>LARIS</v>
          </cell>
          <cell r="E2047">
            <v>237.6</v>
          </cell>
          <cell r="F2047">
            <v>275.61599999999999</v>
          </cell>
        </row>
        <row r="2048">
          <cell r="A2048">
            <v>2044</v>
          </cell>
          <cell r="B2048" t="str">
            <v xml:space="preserve">7501991850528   </v>
          </cell>
          <cell r="C2048" t="str">
            <v xml:space="preserve">GUANTE DIGITAL ANIMALITOS (E074)        </v>
          </cell>
          <cell r="D2048" t="str">
            <v>LARIS</v>
          </cell>
          <cell r="E2048">
            <v>168.29999999999998</v>
          </cell>
          <cell r="F2048">
            <v>195.22799999999998</v>
          </cell>
        </row>
        <row r="2049">
          <cell r="A2049">
            <v>2045</v>
          </cell>
          <cell r="B2049" t="str">
            <v xml:space="preserve">7501991850535   </v>
          </cell>
          <cell r="C2049" t="str">
            <v xml:space="preserve">GUANTE DIGITAL CUENTOS 68Pz (E074A)     </v>
          </cell>
          <cell r="D2049" t="str">
            <v>LARIS</v>
          </cell>
          <cell r="E2049">
            <v>168.29999999999998</v>
          </cell>
          <cell r="F2049">
            <v>195.22799999999998</v>
          </cell>
        </row>
        <row r="2050">
          <cell r="A2050">
            <v>2046</v>
          </cell>
          <cell r="B2050" t="str">
            <v xml:space="preserve">7501991850542   </v>
          </cell>
          <cell r="C2050" t="str">
            <v xml:space="preserve">BATITA MASCOTA CHICA 1Pz (E002)         </v>
          </cell>
          <cell r="D2050" t="str">
            <v>LARIS</v>
          </cell>
          <cell r="E2050">
            <v>44.55</v>
          </cell>
          <cell r="F2050">
            <v>51.67799999999999</v>
          </cell>
        </row>
        <row r="2051">
          <cell r="A2051">
            <v>2047</v>
          </cell>
          <cell r="B2051" t="str">
            <v xml:space="preserve">7501991850559   </v>
          </cell>
          <cell r="C2051" t="str">
            <v xml:space="preserve">DIGITAL CAPERUCITA ROJA 4Pz (E098A)     </v>
          </cell>
          <cell r="D2051" t="str">
            <v>LARIS</v>
          </cell>
          <cell r="E2051">
            <v>74.249999999999986</v>
          </cell>
          <cell r="F2051">
            <v>86.129999999999981</v>
          </cell>
        </row>
        <row r="2052">
          <cell r="A2052">
            <v>2048</v>
          </cell>
          <cell r="B2052" t="str">
            <v xml:space="preserve">7501991850566   </v>
          </cell>
          <cell r="C2052" t="str">
            <v xml:space="preserve">DIGITAL 3 COCHINITOS 5Pz (E098B)        </v>
          </cell>
          <cell r="D2052" t="str">
            <v>LARIS</v>
          </cell>
          <cell r="E2052">
            <v>94.05</v>
          </cell>
          <cell r="F2052">
            <v>109.09799999999998</v>
          </cell>
        </row>
        <row r="2053">
          <cell r="A2053">
            <v>2049</v>
          </cell>
          <cell r="B2053" t="str">
            <v xml:space="preserve">7501991850573   </v>
          </cell>
          <cell r="C2053" t="str">
            <v xml:space="preserve">DIGITAL LA FAMILIA 7Pz (E098C)          </v>
          </cell>
          <cell r="D2053" t="str">
            <v>LARIS</v>
          </cell>
          <cell r="E2053">
            <v>130.35</v>
          </cell>
          <cell r="F2053">
            <v>151.20599999999999</v>
          </cell>
        </row>
        <row r="2054">
          <cell r="A2054">
            <v>2050</v>
          </cell>
          <cell r="B2054" t="str">
            <v xml:space="preserve">7501991850580   </v>
          </cell>
          <cell r="C2054" t="str">
            <v xml:space="preserve">DIGITAL ANIMALES SALVAJES 6Pz (E098D)   </v>
          </cell>
          <cell r="D2054" t="str">
            <v>LARIS</v>
          </cell>
          <cell r="E2054">
            <v>112.2</v>
          </cell>
          <cell r="F2054">
            <v>130.15199999999999</v>
          </cell>
        </row>
        <row r="2055">
          <cell r="A2055">
            <v>2051</v>
          </cell>
          <cell r="B2055" t="str">
            <v xml:space="preserve">7501991850597   </v>
          </cell>
          <cell r="C2055" t="str">
            <v xml:space="preserve">DIGITAL ANIMALES GRANJA 7Pz (E098E)     </v>
          </cell>
          <cell r="D2055" t="str">
            <v>LARIS</v>
          </cell>
          <cell r="E2055">
            <v>130.35</v>
          </cell>
          <cell r="F2055">
            <v>151.20599999999999</v>
          </cell>
        </row>
        <row r="2056">
          <cell r="A2056">
            <v>2052</v>
          </cell>
          <cell r="B2056" t="str">
            <v xml:space="preserve">7501991850603   </v>
          </cell>
          <cell r="C2056" t="str">
            <v>DIGITAL SERVIDORES PUBLICOS 10Pz (E098F)</v>
          </cell>
          <cell r="D2056" t="str">
            <v>LARIS</v>
          </cell>
          <cell r="E2056">
            <v>171.59999999999997</v>
          </cell>
          <cell r="F2056">
            <v>199.05599999999995</v>
          </cell>
        </row>
        <row r="2057">
          <cell r="A2057">
            <v>2053</v>
          </cell>
          <cell r="B2057" t="str">
            <v xml:space="preserve">7501991850610   </v>
          </cell>
          <cell r="C2057" t="str">
            <v xml:space="preserve">DIGITAL ANIMALES MARINOS 5Pz (E098G)    </v>
          </cell>
          <cell r="D2057" t="str">
            <v>LARIS</v>
          </cell>
          <cell r="E2057">
            <v>94.05</v>
          </cell>
          <cell r="F2057">
            <v>109.09799999999998</v>
          </cell>
        </row>
        <row r="2058">
          <cell r="A2058">
            <v>2054</v>
          </cell>
          <cell r="B2058" t="str">
            <v xml:space="preserve">7501991850627   </v>
          </cell>
          <cell r="C2058" t="str">
            <v xml:space="preserve">DIGITAL RICITOS DE ORO 4Pz (E098H)      </v>
          </cell>
          <cell r="D2058" t="str">
            <v>LARIS</v>
          </cell>
          <cell r="E2058">
            <v>74.249999999999986</v>
          </cell>
          <cell r="F2058">
            <v>86.129999999999981</v>
          </cell>
        </row>
        <row r="2059">
          <cell r="A2059">
            <v>2055</v>
          </cell>
          <cell r="B2059" t="str">
            <v xml:space="preserve">7501991850634   </v>
          </cell>
          <cell r="C2059" t="str">
            <v xml:space="preserve">DIGITAL MASCOTAS 6Pz (E098I)            </v>
          </cell>
          <cell r="D2059" t="str">
            <v>LARIS</v>
          </cell>
          <cell r="E2059">
            <v>112.2</v>
          </cell>
          <cell r="F2059">
            <v>130.15199999999999</v>
          </cell>
        </row>
        <row r="2060">
          <cell r="A2060">
            <v>2056</v>
          </cell>
          <cell r="B2060" t="str">
            <v xml:space="preserve">7501991850641   </v>
          </cell>
          <cell r="C2060" t="str">
            <v xml:space="preserve">DIGITAL HANSEL Y GRETEL 5Pz (E098J)     </v>
          </cell>
          <cell r="D2060" t="str">
            <v>LARIS</v>
          </cell>
          <cell r="E2060">
            <v>94.05</v>
          </cell>
          <cell r="F2060">
            <v>109.09799999999998</v>
          </cell>
        </row>
        <row r="2061">
          <cell r="A2061">
            <v>2057</v>
          </cell>
          <cell r="B2061" t="str">
            <v xml:space="preserve">7501991850658   </v>
          </cell>
          <cell r="C2061" t="str">
            <v xml:space="preserve">GUANTE DIGITAL NACIMIENTO 13Pz (E074C)  </v>
          </cell>
          <cell r="D2061" t="str">
            <v>LARIS</v>
          </cell>
          <cell r="E2061">
            <v>186.44999999999996</v>
          </cell>
          <cell r="F2061">
            <v>216.28199999999995</v>
          </cell>
        </row>
        <row r="2062">
          <cell r="A2062">
            <v>2058</v>
          </cell>
          <cell r="B2062" t="str">
            <v xml:space="preserve">7501991850665   </v>
          </cell>
          <cell r="C2062" t="str">
            <v xml:space="preserve">DELANTAL CON BROCHES 1Pz (T090)         </v>
          </cell>
          <cell r="D2062" t="str">
            <v>LARIS</v>
          </cell>
          <cell r="E2062">
            <v>122.09999999999998</v>
          </cell>
          <cell r="F2062">
            <v>141.63599999999997</v>
          </cell>
        </row>
        <row r="2063">
          <cell r="A2063">
            <v>2059</v>
          </cell>
          <cell r="B2063" t="str">
            <v xml:space="preserve">7501991850672   </v>
          </cell>
          <cell r="C2063" t="str">
            <v xml:space="preserve">MANTEL INDIVIDUAL 1Pz (E026)            </v>
          </cell>
          <cell r="D2063" t="str">
            <v>LARIS</v>
          </cell>
          <cell r="E2063">
            <v>18.149999999999999</v>
          </cell>
          <cell r="F2063">
            <v>21.053999999999998</v>
          </cell>
        </row>
        <row r="2064">
          <cell r="A2064">
            <v>2060</v>
          </cell>
          <cell r="B2064" t="str">
            <v xml:space="preserve">7501991850689   </v>
          </cell>
          <cell r="C2064" t="str">
            <v xml:space="preserve">BATITA LISA CHICA 1Pz (E003)            </v>
          </cell>
          <cell r="D2064" t="str">
            <v>LARIS</v>
          </cell>
          <cell r="E2064">
            <v>44.55</v>
          </cell>
          <cell r="F2064">
            <v>51.67799999999999</v>
          </cell>
        </row>
        <row r="2065">
          <cell r="A2065">
            <v>2061</v>
          </cell>
          <cell r="B2065" t="str">
            <v xml:space="preserve">7501991850696   </v>
          </cell>
          <cell r="C2065" t="str">
            <v xml:space="preserve">CHALECOS SERVIDORES PUBLICOS 7MOD.      </v>
          </cell>
          <cell r="D2065" t="str">
            <v>LARIS</v>
          </cell>
          <cell r="E2065">
            <v>202.94999999999996</v>
          </cell>
          <cell r="F2065">
            <v>235.42199999999994</v>
          </cell>
        </row>
        <row r="2066">
          <cell r="A2066">
            <v>2062</v>
          </cell>
          <cell r="B2066" t="str">
            <v xml:space="preserve">7501991850719   </v>
          </cell>
          <cell r="C2066" t="str">
            <v xml:space="preserve">BATITA LISA GRANDE 1Pz (E005)           </v>
          </cell>
          <cell r="D2066" t="str">
            <v>LARIS</v>
          </cell>
          <cell r="E2066">
            <v>49.5</v>
          </cell>
          <cell r="F2066">
            <v>57.419999999999995</v>
          </cell>
        </row>
        <row r="2067">
          <cell r="A2067">
            <v>2063</v>
          </cell>
          <cell r="B2067" t="str">
            <v xml:space="preserve">7501991850733   </v>
          </cell>
          <cell r="C2067" t="str">
            <v xml:space="preserve">DELANTAL MASCOTA GRANDE 1Pz             </v>
          </cell>
          <cell r="D2067" t="str">
            <v>LARIS</v>
          </cell>
          <cell r="E2067">
            <v>49.5</v>
          </cell>
          <cell r="F2067">
            <v>57.419999999999995</v>
          </cell>
        </row>
        <row r="2068">
          <cell r="A2068">
            <v>2064</v>
          </cell>
          <cell r="B2068" t="str">
            <v xml:space="preserve">7501991850740   </v>
          </cell>
          <cell r="C2068" t="str">
            <v xml:space="preserve">BATITA MASCOTA GRANDE 1 PZA             </v>
          </cell>
          <cell r="D2068" t="str">
            <v>LARIS</v>
          </cell>
          <cell r="E2068">
            <v>49.5</v>
          </cell>
          <cell r="F2068">
            <v>57.419999999999995</v>
          </cell>
        </row>
        <row r="2069">
          <cell r="A2069">
            <v>2065</v>
          </cell>
          <cell r="B2069" t="str">
            <v xml:space="preserve">7501991850757   </v>
          </cell>
          <cell r="C2069" t="str">
            <v xml:space="preserve">CUBO DE TEXTURA 1Pz (10X10)cm (04CT)    </v>
          </cell>
          <cell r="D2069" t="str">
            <v>LARIS</v>
          </cell>
          <cell r="E2069">
            <v>54.449999999999989</v>
          </cell>
          <cell r="F2069">
            <v>63.161999999999985</v>
          </cell>
        </row>
        <row r="2070">
          <cell r="A2070">
            <v>2066</v>
          </cell>
          <cell r="B2070" t="str">
            <v xml:space="preserve">7501991850764   </v>
          </cell>
          <cell r="C2070" t="str">
            <v xml:space="preserve">CUBO TRICOLOR (20X20)cm: 1Pz (04TG)     </v>
          </cell>
          <cell r="D2070" t="str">
            <v>LARIS</v>
          </cell>
          <cell r="E2070">
            <v>123.75</v>
          </cell>
          <cell r="F2070">
            <v>143.54999999999998</v>
          </cell>
        </row>
        <row r="2071">
          <cell r="A2071">
            <v>2067</v>
          </cell>
          <cell r="B2071" t="str">
            <v xml:space="preserve">7501991850771   </v>
          </cell>
          <cell r="C2071" t="str">
            <v xml:space="preserve">CUBO TRICOLOR (10X10)cm (04TR)          </v>
          </cell>
          <cell r="D2071" t="str">
            <v>LARIS</v>
          </cell>
          <cell r="E2071">
            <v>47.85</v>
          </cell>
          <cell r="F2071">
            <v>55.506</v>
          </cell>
        </row>
        <row r="2072">
          <cell r="A2072">
            <v>2068</v>
          </cell>
          <cell r="B2072" t="str">
            <v xml:space="preserve">7501991850788   </v>
          </cell>
          <cell r="C2072" t="str">
            <v xml:space="preserve">CUBO TEXTURA (20X20)cm 1Pz (04XG)       </v>
          </cell>
          <cell r="D2072" t="str">
            <v>LARIS</v>
          </cell>
          <cell r="E2072">
            <v>112.2</v>
          </cell>
          <cell r="F2072">
            <v>130.15199999999999</v>
          </cell>
        </row>
        <row r="2073">
          <cell r="A2073">
            <v>2069</v>
          </cell>
          <cell r="B2073" t="str">
            <v xml:space="preserve">7501991850795   </v>
          </cell>
          <cell r="C2073" t="str">
            <v xml:space="preserve">CUBO TRICOLOR DE (5x5)cm (04TR.)        </v>
          </cell>
          <cell r="D2073" t="str">
            <v>LARIS</v>
          </cell>
          <cell r="E2073">
            <v>13.2</v>
          </cell>
          <cell r="F2073">
            <v>15.311999999999998</v>
          </cell>
        </row>
        <row r="2074">
          <cell r="A2074">
            <v>2070</v>
          </cell>
          <cell r="B2074" t="str">
            <v xml:space="preserve">7501991850801   </v>
          </cell>
          <cell r="C2074" t="str">
            <v>CUBO (11x11)cm FORRADO EN PLASTICO(04TP)</v>
          </cell>
          <cell r="D2074" t="str">
            <v>LARIS</v>
          </cell>
          <cell r="E2074">
            <v>44.55</v>
          </cell>
          <cell r="F2074">
            <v>51.67799999999999</v>
          </cell>
        </row>
        <row r="2075">
          <cell r="A2075">
            <v>2071</v>
          </cell>
          <cell r="B2075" t="str">
            <v xml:space="preserve">7501991850818   </v>
          </cell>
          <cell r="C2075" t="str">
            <v xml:space="preserve">MUÑECO ENSARTADOR (HOYITOS) 1Pz (04ME)  </v>
          </cell>
          <cell r="D2075" t="str">
            <v>LARIS</v>
          </cell>
          <cell r="E2075">
            <v>115.49999999999997</v>
          </cell>
          <cell r="F2075">
            <v>133.97999999999996</v>
          </cell>
        </row>
        <row r="2076">
          <cell r="A2076">
            <v>2072</v>
          </cell>
          <cell r="B2076" t="str">
            <v xml:space="preserve">7501991850825   </v>
          </cell>
          <cell r="C2076" t="str">
            <v xml:space="preserve">SABANITAS PARA CUNA                     </v>
          </cell>
          <cell r="D2076" t="str">
            <v>LARIS</v>
          </cell>
          <cell r="E2076">
            <v>326.69999999999993</v>
          </cell>
          <cell r="F2076">
            <v>378.97199999999992</v>
          </cell>
        </row>
        <row r="2077">
          <cell r="A2077">
            <v>2073</v>
          </cell>
          <cell r="B2077" t="str">
            <v xml:space="preserve">7501991850832   </v>
          </cell>
          <cell r="C2077" t="str">
            <v xml:space="preserve">MANTEL INDIVIDUAL GRANDES               </v>
          </cell>
          <cell r="D2077" t="str">
            <v>LARIS</v>
          </cell>
          <cell r="E2077">
            <v>26.4</v>
          </cell>
          <cell r="F2077">
            <v>30.623999999999995</v>
          </cell>
        </row>
        <row r="2078">
          <cell r="A2078">
            <v>2074</v>
          </cell>
          <cell r="B2078" t="str">
            <v xml:space="preserve">7501991850849   </v>
          </cell>
          <cell r="C2078" t="str">
            <v xml:space="preserve">TITERE DIGITAL 1Pz                      </v>
          </cell>
          <cell r="D2078" t="str">
            <v>LARIS</v>
          </cell>
          <cell r="E2078">
            <v>23.099999999999998</v>
          </cell>
          <cell r="F2078">
            <v>26.795999999999996</v>
          </cell>
        </row>
        <row r="2079">
          <cell r="A2079">
            <v>2075</v>
          </cell>
          <cell r="B2079" t="str">
            <v xml:space="preserve">7501991850856   </v>
          </cell>
          <cell r="C2079" t="str">
            <v xml:space="preserve">BATITA ARTES PLASTICAS CHICA            </v>
          </cell>
          <cell r="D2079" t="str">
            <v>LARIS</v>
          </cell>
          <cell r="E2079">
            <v>54.449999999999989</v>
          </cell>
          <cell r="F2079">
            <v>63.161999999999985</v>
          </cell>
        </row>
        <row r="2080">
          <cell r="A2080">
            <v>2076</v>
          </cell>
          <cell r="B2080" t="str">
            <v xml:space="preserve">7501991850863   </v>
          </cell>
          <cell r="C2080" t="str">
            <v xml:space="preserve">BATITA ARTES PLASTICAS MEDIANA          </v>
          </cell>
          <cell r="D2080" t="str">
            <v>LARIS</v>
          </cell>
          <cell r="E2080">
            <v>59.4</v>
          </cell>
          <cell r="F2080">
            <v>68.903999999999996</v>
          </cell>
        </row>
        <row r="2081">
          <cell r="A2081">
            <v>2077</v>
          </cell>
          <cell r="B2081" t="str">
            <v xml:space="preserve">7501991850870   </v>
          </cell>
          <cell r="C2081" t="str">
            <v xml:space="preserve">BATITA ARTES PLASTICAS GRANDE           </v>
          </cell>
          <cell r="D2081" t="str">
            <v>LARIS</v>
          </cell>
          <cell r="E2081">
            <v>63.524999999999999</v>
          </cell>
          <cell r="F2081">
            <v>73.688999999999993</v>
          </cell>
        </row>
        <row r="2082">
          <cell r="A2082">
            <v>2078</v>
          </cell>
          <cell r="B2082" t="str">
            <v xml:space="preserve">7501991850887   </v>
          </cell>
          <cell r="C2082" t="str">
            <v>PELOTA DE ESTIMULACION (60cms DE DIAMETR</v>
          </cell>
          <cell r="D2082" t="str">
            <v>LARIS</v>
          </cell>
          <cell r="E2082">
            <v>2356.1999999999998</v>
          </cell>
          <cell r="F2082">
            <v>2733.1919999999996</v>
          </cell>
        </row>
        <row r="2083">
          <cell r="A2083">
            <v>2079</v>
          </cell>
          <cell r="B2083" t="str">
            <v xml:space="preserve">7501991830001   </v>
          </cell>
          <cell r="C2083" t="str">
            <v xml:space="preserve">SELLO ANIMALITOS 1-A (SL001) 12PZ       </v>
          </cell>
          <cell r="D2083" t="str">
            <v>LIMON</v>
          </cell>
          <cell r="E2083">
            <v>117.15</v>
          </cell>
          <cell r="F2083">
            <v>135.89400000000001</v>
          </cell>
        </row>
        <row r="2084">
          <cell r="A2084">
            <v>2080</v>
          </cell>
          <cell r="B2084" t="str">
            <v xml:space="preserve">7501991830018   </v>
          </cell>
          <cell r="C2084" t="str">
            <v>SELLO MOTIVADOR 1-E (SL002)(ESPAÑOL)12Pz</v>
          </cell>
          <cell r="D2084" t="str">
            <v>LIMON</v>
          </cell>
          <cell r="E2084">
            <v>117.15</v>
          </cell>
          <cell r="F2084">
            <v>135.89400000000001</v>
          </cell>
        </row>
        <row r="2085">
          <cell r="A2085">
            <v>2081</v>
          </cell>
          <cell r="B2085" t="str">
            <v xml:space="preserve">7501991830025   </v>
          </cell>
          <cell r="C2085" t="str">
            <v xml:space="preserve">SELLO DIPLOMAS 6Pz (SL003) 6 PZ         </v>
          </cell>
          <cell r="D2085" t="str">
            <v>LIMON</v>
          </cell>
          <cell r="E2085">
            <v>117.15</v>
          </cell>
          <cell r="F2085">
            <v>135.89400000000001</v>
          </cell>
        </row>
        <row r="2086">
          <cell r="A2086">
            <v>2082</v>
          </cell>
          <cell r="B2086" t="str">
            <v xml:space="preserve">7501991830032   </v>
          </cell>
          <cell r="C2086" t="str">
            <v xml:space="preserve">SELLO SISMICO 6Pz (SL004) 6 PZ          </v>
          </cell>
          <cell r="D2086" t="str">
            <v>LIMON</v>
          </cell>
          <cell r="E2086">
            <v>117.15</v>
          </cell>
          <cell r="F2086">
            <v>135.89400000000001</v>
          </cell>
        </row>
        <row r="2087">
          <cell r="A2087">
            <v>2083</v>
          </cell>
          <cell r="B2087" t="str">
            <v xml:space="preserve">7501991830049   </v>
          </cell>
          <cell r="C2087" t="str">
            <v xml:space="preserve">SELLO FRUTAS (SL005) 12Pz               </v>
          </cell>
          <cell r="D2087" t="str">
            <v>LIMON</v>
          </cell>
          <cell r="E2087">
            <v>117.15</v>
          </cell>
          <cell r="F2087">
            <v>135.89400000000001</v>
          </cell>
        </row>
        <row r="2088">
          <cell r="A2088">
            <v>2084</v>
          </cell>
          <cell r="B2088" t="str">
            <v xml:space="preserve">7501991830056   </v>
          </cell>
          <cell r="C2088" t="str">
            <v xml:space="preserve">SELLO MOTIVADOR (SL006) 8/12PZ          </v>
          </cell>
          <cell r="D2088" t="str">
            <v>LIMON</v>
          </cell>
          <cell r="E2088">
            <v>117.15</v>
          </cell>
          <cell r="F2088">
            <v>135.89400000000001</v>
          </cell>
        </row>
        <row r="2089">
          <cell r="A2089">
            <v>2085</v>
          </cell>
          <cell r="B2089" t="str">
            <v xml:space="preserve">7501991830063   </v>
          </cell>
          <cell r="C2089" t="str">
            <v>SELLO ESTACIONES DEL AÑO 13-E SL007 12PZ</v>
          </cell>
          <cell r="D2089" t="str">
            <v>LIMON</v>
          </cell>
          <cell r="E2089">
            <v>117.15</v>
          </cell>
          <cell r="F2089">
            <v>135.89400000000001</v>
          </cell>
        </row>
        <row r="2090">
          <cell r="A2090">
            <v>2086</v>
          </cell>
          <cell r="B2090" t="str">
            <v xml:space="preserve">7501991830070   </v>
          </cell>
          <cell r="C2090" t="str">
            <v xml:space="preserve">SELLO MOTIVADOR # 4 (SL008) 12PZ        </v>
          </cell>
          <cell r="D2090" t="str">
            <v>LIMON</v>
          </cell>
          <cell r="E2090">
            <v>117.15</v>
          </cell>
          <cell r="F2090">
            <v>135.89400000000001</v>
          </cell>
        </row>
        <row r="2091">
          <cell r="A2091">
            <v>2087</v>
          </cell>
          <cell r="B2091" t="str">
            <v xml:space="preserve">7501991830087   </v>
          </cell>
          <cell r="C2091" t="str">
            <v xml:space="preserve">SELLO MOTIVADOR 88 (SL009) 12PZ         </v>
          </cell>
          <cell r="D2091" t="str">
            <v>LIMON</v>
          </cell>
          <cell r="E2091">
            <v>117.15</v>
          </cell>
          <cell r="F2091">
            <v>135.89400000000001</v>
          </cell>
        </row>
        <row r="2092">
          <cell r="A2092">
            <v>2088</v>
          </cell>
          <cell r="B2092" t="str">
            <v xml:space="preserve">7501991830094   </v>
          </cell>
          <cell r="C2092" t="str">
            <v>SELLO PRISMAS Y PIRAMIDES 54 (SL010)12PZ</v>
          </cell>
          <cell r="D2092" t="str">
            <v>LIMON</v>
          </cell>
          <cell r="E2092">
            <v>117.15</v>
          </cell>
          <cell r="F2092">
            <v>135.89400000000001</v>
          </cell>
        </row>
        <row r="2093">
          <cell r="A2093">
            <v>2089</v>
          </cell>
          <cell r="B2093" t="str">
            <v xml:space="preserve">7501991830100   </v>
          </cell>
          <cell r="C2093" t="str">
            <v xml:space="preserve">SELLO FIGURAS GEOMETRICAS 55(SL011)12PZ </v>
          </cell>
          <cell r="D2093" t="str">
            <v>LIMON</v>
          </cell>
          <cell r="E2093">
            <v>117.15</v>
          </cell>
          <cell r="F2093">
            <v>135.89400000000001</v>
          </cell>
        </row>
        <row r="2094">
          <cell r="A2094">
            <v>2090</v>
          </cell>
          <cell r="B2094" t="str">
            <v xml:space="preserve">7501991830117   </v>
          </cell>
          <cell r="C2094" t="str">
            <v>SELLO ABC SCRIP (1Cj) (1 ó 2) SL012 29PZ</v>
          </cell>
          <cell r="D2094" t="str">
            <v>LIMON</v>
          </cell>
          <cell r="E2094">
            <v>318.45</v>
          </cell>
          <cell r="F2094">
            <v>369.40199999999999</v>
          </cell>
        </row>
        <row r="2095">
          <cell r="A2095">
            <v>2091</v>
          </cell>
          <cell r="B2095" t="str">
            <v xml:space="preserve">7501991830124   </v>
          </cell>
          <cell r="C2095" t="str">
            <v xml:space="preserve">SELLO CONTINENTE AFRICA (SL013) 2PZ     </v>
          </cell>
          <cell r="D2095" t="str">
            <v>LIMON</v>
          </cell>
          <cell r="E2095">
            <v>117.15</v>
          </cell>
          <cell r="F2095">
            <v>135.89400000000001</v>
          </cell>
        </row>
        <row r="2096">
          <cell r="A2096">
            <v>2092</v>
          </cell>
          <cell r="B2096" t="str">
            <v xml:space="preserve">7501991830131   </v>
          </cell>
          <cell r="C2096" t="str">
            <v xml:space="preserve">SELLO CONTINENTE AMERICA (SL014) 2PZ    </v>
          </cell>
          <cell r="D2096" t="str">
            <v>LIMON</v>
          </cell>
          <cell r="E2096">
            <v>117.15</v>
          </cell>
          <cell r="F2096">
            <v>135.89400000000001</v>
          </cell>
        </row>
        <row r="2097">
          <cell r="A2097">
            <v>2093</v>
          </cell>
          <cell r="B2097" t="str">
            <v xml:space="preserve">7501991830148   </v>
          </cell>
          <cell r="C2097" t="str">
            <v xml:space="preserve">SELLO CONTINENTE ASIA (SL015) 2PZ       </v>
          </cell>
          <cell r="D2097" t="str">
            <v>LIMON</v>
          </cell>
          <cell r="E2097">
            <v>117.15</v>
          </cell>
          <cell r="F2097">
            <v>135.89400000000001</v>
          </cell>
        </row>
        <row r="2098">
          <cell r="A2098">
            <v>2094</v>
          </cell>
          <cell r="B2098" t="str">
            <v xml:space="preserve">7501991830155   </v>
          </cell>
          <cell r="C2098" t="str">
            <v xml:space="preserve">SELLO APARATO CIRCULATORIO(SL016) 2PZ   </v>
          </cell>
          <cell r="D2098" t="str">
            <v>LIMON</v>
          </cell>
          <cell r="E2098">
            <v>117.15</v>
          </cell>
          <cell r="F2098">
            <v>135.89400000000001</v>
          </cell>
        </row>
        <row r="2099">
          <cell r="A2099">
            <v>2095</v>
          </cell>
          <cell r="B2099" t="str">
            <v xml:space="preserve">7501991830162   </v>
          </cell>
          <cell r="C2099" t="str">
            <v xml:space="preserve">SELLO APARATO DIGESTIVO(SL017) 2PZ      </v>
          </cell>
          <cell r="D2099" t="str">
            <v>LIMON</v>
          </cell>
          <cell r="E2099">
            <v>117.15</v>
          </cell>
          <cell r="F2099">
            <v>135.89400000000001</v>
          </cell>
        </row>
        <row r="2100">
          <cell r="A2100">
            <v>2096</v>
          </cell>
          <cell r="B2100" t="str">
            <v xml:space="preserve">7501991830179   </v>
          </cell>
          <cell r="C2100" t="str">
            <v xml:space="preserve">SELLO APARATO REPRODUCTOR (SL018) 2PZ   </v>
          </cell>
          <cell r="D2100" t="str">
            <v>LIMON</v>
          </cell>
          <cell r="E2100">
            <v>117.15</v>
          </cell>
          <cell r="F2100">
            <v>135.89400000000001</v>
          </cell>
        </row>
        <row r="2101">
          <cell r="A2101">
            <v>2097</v>
          </cell>
          <cell r="B2101" t="str">
            <v xml:space="preserve">7501991830186   </v>
          </cell>
          <cell r="C2101" t="str">
            <v xml:space="preserve">SELLO APARATO RESPIRATORIO (SL019) 2PZ  </v>
          </cell>
          <cell r="D2101" t="str">
            <v>LIMON</v>
          </cell>
          <cell r="E2101">
            <v>117.15</v>
          </cell>
          <cell r="F2101">
            <v>135.89400000000001</v>
          </cell>
        </row>
        <row r="2102">
          <cell r="A2102">
            <v>2098</v>
          </cell>
          <cell r="B2102" t="str">
            <v xml:space="preserve">7501991830193   </v>
          </cell>
          <cell r="C2102" t="str">
            <v xml:space="preserve">SELLO AVISOS Y RECADOS 3 (SL020) 3PZ    </v>
          </cell>
          <cell r="D2102" t="str">
            <v>LIMON</v>
          </cell>
          <cell r="E2102">
            <v>117.15</v>
          </cell>
          <cell r="F2102">
            <v>135.89400000000001</v>
          </cell>
        </row>
        <row r="2103">
          <cell r="A2103">
            <v>2099</v>
          </cell>
          <cell r="B2103" t="str">
            <v xml:space="preserve">7501991830209   </v>
          </cell>
          <cell r="C2103" t="str">
            <v xml:space="preserve">SELLO AVISOS Y RECADOS 6 (SL021) 6PZ    </v>
          </cell>
          <cell r="D2103" t="str">
            <v>LIMON</v>
          </cell>
          <cell r="E2103">
            <v>117.15</v>
          </cell>
          <cell r="F2103">
            <v>135.89400000000001</v>
          </cell>
        </row>
        <row r="2104">
          <cell r="A2104">
            <v>2100</v>
          </cell>
          <cell r="B2104" t="str">
            <v xml:space="preserve">7501991830216   </v>
          </cell>
          <cell r="C2104" t="str">
            <v xml:space="preserve">SELLO ECOLOGICO (SL022) 6PZ             </v>
          </cell>
          <cell r="D2104" t="str">
            <v>LIMON</v>
          </cell>
          <cell r="E2104">
            <v>117.15</v>
          </cell>
          <cell r="F2104">
            <v>135.89400000000001</v>
          </cell>
        </row>
        <row r="2105">
          <cell r="A2105">
            <v>2101</v>
          </cell>
          <cell r="B2105" t="str">
            <v xml:space="preserve">7501991830223   </v>
          </cell>
          <cell r="C2105" t="str">
            <v xml:space="preserve">SELLO FLOR (SL023) 2PZ                  </v>
          </cell>
          <cell r="D2105" t="str">
            <v>LIMON</v>
          </cell>
          <cell r="E2105">
            <v>117.15</v>
          </cell>
          <cell r="F2105">
            <v>135.89400000000001</v>
          </cell>
        </row>
        <row r="2106">
          <cell r="A2106">
            <v>2102</v>
          </cell>
          <cell r="B2106" t="str">
            <v xml:space="preserve">7501991830230   </v>
          </cell>
          <cell r="C2106" t="str">
            <v xml:space="preserve">SELLO ESCUDO (SL024) 2PZ                </v>
          </cell>
          <cell r="D2106" t="str">
            <v>LIMON</v>
          </cell>
          <cell r="E2106">
            <v>117.15</v>
          </cell>
          <cell r="F2106">
            <v>135.89400000000001</v>
          </cell>
        </row>
        <row r="2107">
          <cell r="A2107">
            <v>2103</v>
          </cell>
          <cell r="B2107" t="str">
            <v xml:space="preserve">7501991830247   </v>
          </cell>
          <cell r="C2107" t="str">
            <v xml:space="preserve">SELLO SISTEMA NERVIOSO (SL025) 1PZ      </v>
          </cell>
          <cell r="D2107" t="str">
            <v>LIMON</v>
          </cell>
          <cell r="E2107">
            <v>117.15</v>
          </cell>
          <cell r="F2107">
            <v>135.89400000000001</v>
          </cell>
        </row>
        <row r="2108">
          <cell r="A2108">
            <v>2104</v>
          </cell>
          <cell r="B2108" t="str">
            <v xml:space="preserve">7501991830254   </v>
          </cell>
          <cell r="C2108" t="str">
            <v xml:space="preserve">SELLO DISTRITO FEDERAL (SL026) 2PZ      </v>
          </cell>
          <cell r="D2108" t="str">
            <v>LIMON</v>
          </cell>
          <cell r="E2108">
            <v>117.15</v>
          </cell>
          <cell r="F2108">
            <v>135.89400000000001</v>
          </cell>
        </row>
        <row r="2109">
          <cell r="A2109">
            <v>2105</v>
          </cell>
          <cell r="B2109" t="str">
            <v xml:space="preserve">7501991830261   </v>
          </cell>
          <cell r="C2109" t="str">
            <v xml:space="preserve">SELLO CARITAS ESPAÑOL (SL027) 12PZ      </v>
          </cell>
          <cell r="D2109" t="str">
            <v>LIMON</v>
          </cell>
          <cell r="E2109">
            <v>117.15</v>
          </cell>
          <cell r="F2109">
            <v>135.89400000000001</v>
          </cell>
        </row>
        <row r="2110">
          <cell r="A2110">
            <v>2106</v>
          </cell>
          <cell r="B2110" t="str">
            <v xml:space="preserve">7501991830278   </v>
          </cell>
          <cell r="C2110" t="str">
            <v xml:space="preserve">SELLO CALIFICACIONES (SL028) 6PZ        </v>
          </cell>
          <cell r="D2110" t="str">
            <v>LIMON</v>
          </cell>
          <cell r="E2110">
            <v>117.15</v>
          </cell>
          <cell r="F2110">
            <v>135.89400000000001</v>
          </cell>
        </row>
        <row r="2111">
          <cell r="A2111">
            <v>2107</v>
          </cell>
          <cell r="B2111" t="str">
            <v xml:space="preserve">7501991830285   </v>
          </cell>
          <cell r="C2111" t="str">
            <v xml:space="preserve">SELLO AVISO Y CITATORIO (SL029) 2PZ     </v>
          </cell>
          <cell r="D2111" t="str">
            <v>LIMON</v>
          </cell>
          <cell r="E2111">
            <v>117.15</v>
          </cell>
          <cell r="F2111">
            <v>135.89400000000001</v>
          </cell>
        </row>
        <row r="2112">
          <cell r="A2112">
            <v>2108</v>
          </cell>
          <cell r="B2112" t="str">
            <v xml:space="preserve">7501991830292   </v>
          </cell>
          <cell r="C2112" t="str">
            <v xml:space="preserve">SELLO CONJUNTOS (SL030) 12PZ            </v>
          </cell>
          <cell r="D2112" t="str">
            <v>LIMON</v>
          </cell>
          <cell r="E2112">
            <v>117.15</v>
          </cell>
          <cell r="F2112">
            <v>135.89400000000001</v>
          </cell>
        </row>
        <row r="2113">
          <cell r="A2113">
            <v>2109</v>
          </cell>
          <cell r="B2113" t="str">
            <v xml:space="preserve">7501991830308   </v>
          </cell>
          <cell r="C2113" t="str">
            <v xml:space="preserve">SELLO DERIVADOS (SL031) 12PZ            </v>
          </cell>
          <cell r="D2113" t="str">
            <v>LIMON</v>
          </cell>
          <cell r="E2113">
            <v>117.15</v>
          </cell>
          <cell r="F2113">
            <v>135.89400000000001</v>
          </cell>
        </row>
        <row r="2114">
          <cell r="A2114">
            <v>2110</v>
          </cell>
          <cell r="B2114" t="str">
            <v xml:space="preserve">7501991830315   </v>
          </cell>
          <cell r="C2114" t="str">
            <v xml:space="preserve">SELLO DEPORTES (SL032) 6PZ              </v>
          </cell>
          <cell r="D2114" t="str">
            <v>LIMON</v>
          </cell>
          <cell r="E2114">
            <v>117.15</v>
          </cell>
          <cell r="F2114">
            <v>135.89400000000001</v>
          </cell>
        </row>
        <row r="2115">
          <cell r="A2115">
            <v>2111</v>
          </cell>
          <cell r="B2115" t="str">
            <v xml:space="preserve">7501991830322   </v>
          </cell>
          <cell r="C2115" t="str">
            <v xml:space="preserve">SELLO ESCRITURAS (SL033) 12PZ           </v>
          </cell>
          <cell r="D2115" t="str">
            <v>LIMON</v>
          </cell>
          <cell r="E2115">
            <v>117.15</v>
          </cell>
          <cell r="F2115">
            <v>135.89400000000001</v>
          </cell>
        </row>
        <row r="2116">
          <cell r="A2116">
            <v>2112</v>
          </cell>
          <cell r="B2116" t="str">
            <v xml:space="preserve">7501991830339   </v>
          </cell>
          <cell r="C2116" t="str">
            <v xml:space="preserve">SELLO ESQUELETO (SL034) 2PZ             </v>
          </cell>
          <cell r="D2116" t="str">
            <v>LIMON</v>
          </cell>
          <cell r="E2116">
            <v>117.15</v>
          </cell>
          <cell r="F2116">
            <v>135.89400000000001</v>
          </cell>
        </row>
        <row r="2117">
          <cell r="A2117">
            <v>2113</v>
          </cell>
          <cell r="B2117" t="str">
            <v xml:space="preserve">7501991830346   </v>
          </cell>
          <cell r="C2117" t="str">
            <v xml:space="preserve">SELLO EL OIDO (SL035) 2PZ               </v>
          </cell>
          <cell r="D2117" t="str">
            <v>LIMON</v>
          </cell>
          <cell r="E2117">
            <v>117.15</v>
          </cell>
          <cell r="F2117">
            <v>135.89400000000001</v>
          </cell>
        </row>
        <row r="2118">
          <cell r="A2118">
            <v>2114</v>
          </cell>
          <cell r="B2118" t="str">
            <v xml:space="preserve">7501991830353   </v>
          </cell>
          <cell r="C2118" t="str">
            <v xml:space="preserve">SELLO EL OJO (SL036) 2PZ                </v>
          </cell>
          <cell r="D2118" t="str">
            <v>LIMON</v>
          </cell>
          <cell r="E2118">
            <v>117.15</v>
          </cell>
          <cell r="F2118">
            <v>135.89400000000001</v>
          </cell>
        </row>
        <row r="2119">
          <cell r="A2119">
            <v>2115</v>
          </cell>
          <cell r="B2119" t="str">
            <v xml:space="preserve">7501991830360   </v>
          </cell>
          <cell r="C2119" t="str">
            <v xml:space="preserve">SELLO EL SISTEMA SOLAR (SL037) 2PZ      </v>
          </cell>
          <cell r="D2119" t="str">
            <v>LIMON</v>
          </cell>
          <cell r="E2119">
            <v>117.15</v>
          </cell>
          <cell r="F2119">
            <v>135.89400000000001</v>
          </cell>
        </row>
        <row r="2120">
          <cell r="A2120">
            <v>2116</v>
          </cell>
          <cell r="B2120" t="str">
            <v xml:space="preserve">7501991830377   </v>
          </cell>
          <cell r="C2120" t="str">
            <v xml:space="preserve">SELLO CONTINENTE EUROPEO (SL038) 2PZ    </v>
          </cell>
          <cell r="D2120" t="str">
            <v>LIMON</v>
          </cell>
          <cell r="E2120">
            <v>117.15</v>
          </cell>
          <cell r="F2120">
            <v>135.89400000000001</v>
          </cell>
        </row>
        <row r="2121">
          <cell r="A2121">
            <v>2117</v>
          </cell>
          <cell r="B2121" t="str">
            <v xml:space="preserve">7501991830384   </v>
          </cell>
          <cell r="C2121" t="str">
            <v xml:space="preserve">SELLO FRACCIONES (SL039) 12PZ           </v>
          </cell>
          <cell r="D2121" t="str">
            <v>LIMON</v>
          </cell>
          <cell r="E2121">
            <v>117.15</v>
          </cell>
          <cell r="F2121">
            <v>135.89400000000001</v>
          </cell>
        </row>
        <row r="2122">
          <cell r="A2122">
            <v>2118</v>
          </cell>
          <cell r="B2122" t="str">
            <v xml:space="preserve">7501991830391   </v>
          </cell>
          <cell r="C2122" t="str">
            <v xml:space="preserve">SELLO HEROES 6 (SL040) 6PZ              </v>
          </cell>
          <cell r="D2122" t="str">
            <v>LIMON</v>
          </cell>
          <cell r="E2122">
            <v>117.15</v>
          </cell>
          <cell r="F2122">
            <v>135.89400000000001</v>
          </cell>
        </row>
        <row r="2123">
          <cell r="A2123">
            <v>2119</v>
          </cell>
          <cell r="B2123" t="str">
            <v xml:space="preserve">7501991830407   </v>
          </cell>
          <cell r="C2123" t="str">
            <v xml:space="preserve">SELLO HEROES 12 (SL041) 12PZ            </v>
          </cell>
          <cell r="D2123" t="str">
            <v>LIMON</v>
          </cell>
          <cell r="E2123">
            <v>117.15</v>
          </cell>
          <cell r="F2123">
            <v>135.89400000000001</v>
          </cell>
        </row>
        <row r="2124">
          <cell r="A2124">
            <v>2120</v>
          </cell>
          <cell r="B2124" t="str">
            <v xml:space="preserve">7501991830414   </v>
          </cell>
          <cell r="C2124" t="str">
            <v xml:space="preserve">SELLO CARITAS INGLES (SL042) 12PZ       </v>
          </cell>
          <cell r="D2124" t="str">
            <v>LIMON</v>
          </cell>
          <cell r="E2124">
            <v>117.15</v>
          </cell>
          <cell r="F2124">
            <v>135.89400000000001</v>
          </cell>
        </row>
        <row r="2125">
          <cell r="A2125">
            <v>2121</v>
          </cell>
          <cell r="B2125" t="str">
            <v xml:space="preserve">7501991830421   </v>
          </cell>
          <cell r="C2125" t="str">
            <v>SELLO REPUBLICA Y EDO DE MEX (SL043) 2PZ</v>
          </cell>
          <cell r="D2125" t="str">
            <v>LIMON</v>
          </cell>
          <cell r="E2125">
            <v>117.15</v>
          </cell>
          <cell r="F2125">
            <v>135.89400000000001</v>
          </cell>
        </row>
        <row r="2126">
          <cell r="A2126">
            <v>2122</v>
          </cell>
          <cell r="B2126" t="str">
            <v xml:space="preserve">7501991830438   </v>
          </cell>
          <cell r="C2126" t="str">
            <v xml:space="preserve">SELLO NUMEROS (SL044) 14PZ              </v>
          </cell>
          <cell r="D2126" t="str">
            <v>LIMON</v>
          </cell>
          <cell r="E2126">
            <v>117.15</v>
          </cell>
          <cell r="F2126">
            <v>135.89400000000001</v>
          </cell>
        </row>
        <row r="2127">
          <cell r="A2127">
            <v>2123</v>
          </cell>
          <cell r="B2127" t="str">
            <v xml:space="preserve">7501991830445   </v>
          </cell>
          <cell r="C2127" t="str">
            <v xml:space="preserve">SELLO REPUBLICA MEXICANA (SL045) 2PZ    </v>
          </cell>
          <cell r="D2127" t="str">
            <v>LIMON</v>
          </cell>
          <cell r="E2127">
            <v>117.15</v>
          </cell>
          <cell r="F2127">
            <v>135.89400000000001</v>
          </cell>
        </row>
        <row r="2128">
          <cell r="A2128">
            <v>2124</v>
          </cell>
          <cell r="B2128" t="str">
            <v xml:space="preserve">7501991830452   </v>
          </cell>
          <cell r="C2128" t="str">
            <v xml:space="preserve">SELLO LOS CINCO SENTIDOS (SL046) 5PZ    </v>
          </cell>
          <cell r="D2128" t="str">
            <v>LIMON</v>
          </cell>
          <cell r="E2128">
            <v>117.15</v>
          </cell>
          <cell r="F2128">
            <v>135.89400000000001</v>
          </cell>
        </row>
        <row r="2129">
          <cell r="A2129">
            <v>2125</v>
          </cell>
          <cell r="B2129" t="str">
            <v xml:space="preserve">7501991830469   </v>
          </cell>
          <cell r="C2129" t="str">
            <v xml:space="preserve">SELLO SERVIDORES PUBLICOS (SL047) 6PZ   </v>
          </cell>
          <cell r="D2129" t="str">
            <v>LIMON</v>
          </cell>
          <cell r="E2129">
            <v>117.15</v>
          </cell>
          <cell r="F2129">
            <v>135.89400000000001</v>
          </cell>
        </row>
        <row r="2130">
          <cell r="A2130">
            <v>2126</v>
          </cell>
          <cell r="B2130" t="str">
            <v xml:space="preserve">7501991830476   </v>
          </cell>
          <cell r="C2130" t="str">
            <v xml:space="preserve">SELLO TABLAS DE MULTIPLICAR (SL048) 6PZ </v>
          </cell>
          <cell r="D2130" t="str">
            <v>LIMON</v>
          </cell>
          <cell r="E2130">
            <v>117.15</v>
          </cell>
          <cell r="F2130">
            <v>135.89400000000001</v>
          </cell>
        </row>
        <row r="2131">
          <cell r="A2131">
            <v>2127</v>
          </cell>
          <cell r="B2131" t="str">
            <v xml:space="preserve">7501991830483   </v>
          </cell>
          <cell r="C2131" t="str">
            <v xml:space="preserve">SELLO LAS CINCO VOCALES (SL049) 5PZ     </v>
          </cell>
          <cell r="D2131" t="str">
            <v>LIMON</v>
          </cell>
          <cell r="E2131">
            <v>117.15</v>
          </cell>
          <cell r="F2131">
            <v>135.89400000000001</v>
          </cell>
        </row>
        <row r="2132">
          <cell r="A2132">
            <v>2128</v>
          </cell>
          <cell r="B2132" t="str">
            <v xml:space="preserve">7501991830490   </v>
          </cell>
          <cell r="C2132" t="str">
            <v xml:space="preserve">SELLO RELOJ (SL050) 6PZ                 </v>
          </cell>
          <cell r="D2132" t="str">
            <v>LIMON</v>
          </cell>
          <cell r="E2132">
            <v>117.15</v>
          </cell>
          <cell r="F2132">
            <v>135.89400000000001</v>
          </cell>
        </row>
        <row r="2133">
          <cell r="A2133">
            <v>2129</v>
          </cell>
          <cell r="B2133" t="str">
            <v xml:space="preserve">7501991830506   </v>
          </cell>
          <cell r="C2133" t="str">
            <v>SELLO CELULA ANIMAL Y VEGETAL(SL051) 4PZ</v>
          </cell>
          <cell r="D2133" t="str">
            <v>LIMON</v>
          </cell>
          <cell r="E2133">
            <v>117.15</v>
          </cell>
          <cell r="F2133">
            <v>135.89400000000001</v>
          </cell>
        </row>
        <row r="2134">
          <cell r="A2134">
            <v>2130</v>
          </cell>
          <cell r="B2134" t="str">
            <v xml:space="preserve">7501991830513   </v>
          </cell>
          <cell r="C2134" t="str">
            <v xml:space="preserve">SELLO ABC MANUSCRITA (2Cj)-SL052 30PZ   </v>
          </cell>
          <cell r="D2134" t="str">
            <v>LIMON</v>
          </cell>
          <cell r="E2134">
            <v>424.05</v>
          </cell>
          <cell r="F2134">
            <v>491.89799999999997</v>
          </cell>
        </row>
        <row r="2135">
          <cell r="A2135">
            <v>2131</v>
          </cell>
          <cell r="B2135" t="str">
            <v xml:space="preserve">7501991830520   </v>
          </cell>
          <cell r="C2135" t="str">
            <v xml:space="preserve">SELLO CUERPO HUMANO (SL053) 2PZ         </v>
          </cell>
          <cell r="D2135" t="str">
            <v>LIMON</v>
          </cell>
          <cell r="E2135">
            <v>117.15</v>
          </cell>
          <cell r="F2135">
            <v>135.89400000000001</v>
          </cell>
        </row>
        <row r="2136">
          <cell r="A2136">
            <v>2132</v>
          </cell>
          <cell r="B2136" t="str">
            <v xml:space="preserve">7501991830537   </v>
          </cell>
          <cell r="C2136" t="str">
            <v>SELLO MEDIOS DE COMUNICACION (SL054) 6PZ</v>
          </cell>
          <cell r="D2136" t="str">
            <v>LIMON</v>
          </cell>
          <cell r="E2136">
            <v>117.15</v>
          </cell>
          <cell r="F2136">
            <v>135.89400000000001</v>
          </cell>
        </row>
        <row r="2137">
          <cell r="A2137">
            <v>2133</v>
          </cell>
          <cell r="B2137" t="str">
            <v xml:space="preserve">7501991830544   </v>
          </cell>
          <cell r="C2137" t="str">
            <v xml:space="preserve">SELLO PRENDAS (SL055) 12PZ              </v>
          </cell>
          <cell r="D2137" t="str">
            <v>LIMON</v>
          </cell>
          <cell r="E2137">
            <v>117.15</v>
          </cell>
          <cell r="F2137">
            <v>135.89400000000001</v>
          </cell>
        </row>
        <row r="2138">
          <cell r="A2138">
            <v>2134</v>
          </cell>
          <cell r="B2138" t="str">
            <v xml:space="preserve">7501991830551   </v>
          </cell>
          <cell r="C2138" t="str">
            <v xml:space="preserve">SELLO ANIMALES DE GRANJA (SL056) 6PZ    </v>
          </cell>
          <cell r="D2138" t="str">
            <v>LIMON</v>
          </cell>
          <cell r="E2138">
            <v>117.15</v>
          </cell>
          <cell r="F2138">
            <v>135.89400000000001</v>
          </cell>
        </row>
        <row r="2139">
          <cell r="A2139">
            <v>2135</v>
          </cell>
          <cell r="B2139" t="str">
            <v xml:space="preserve">7501991830568   </v>
          </cell>
          <cell r="C2139" t="str">
            <v>SELLO INSTRUMENTOS MUSICALES (SL057) 6PZ</v>
          </cell>
          <cell r="D2139" t="str">
            <v>LIMON</v>
          </cell>
          <cell r="E2139">
            <v>117.15</v>
          </cell>
          <cell r="F2139">
            <v>135.89400000000001</v>
          </cell>
        </row>
        <row r="2140">
          <cell r="A2140">
            <v>2136</v>
          </cell>
          <cell r="B2140" t="str">
            <v xml:space="preserve">7501991830575   </v>
          </cell>
          <cell r="C2140" t="str">
            <v xml:space="preserve">SELLO ESTADO DE MEXICO (SL058)***       </v>
          </cell>
          <cell r="D2140" t="str">
            <v>LIMON</v>
          </cell>
          <cell r="E2140">
            <v>117.15</v>
          </cell>
          <cell r="F2140">
            <v>135.89400000000001</v>
          </cell>
        </row>
        <row r="2141">
          <cell r="A2141">
            <v>2137</v>
          </cell>
          <cell r="B2141" t="str">
            <v xml:space="preserve">7501991830582   </v>
          </cell>
          <cell r="C2141" t="str">
            <v>SELLO A. AEREOS Y TERRESTRES (SL059) 6PZ</v>
          </cell>
          <cell r="D2141" t="str">
            <v>LIMON</v>
          </cell>
          <cell r="E2141">
            <v>117.15</v>
          </cell>
          <cell r="F2141">
            <v>135.89400000000001</v>
          </cell>
        </row>
        <row r="2142">
          <cell r="A2142">
            <v>2138</v>
          </cell>
          <cell r="B2142" t="str">
            <v xml:space="preserve">7501991830599   </v>
          </cell>
          <cell r="C2142" t="str">
            <v>SELLO ACUATICOS INSECTOS Y REPTILES SL60</v>
          </cell>
          <cell r="D2142" t="str">
            <v>LIMON</v>
          </cell>
          <cell r="E2142">
            <v>117.15</v>
          </cell>
          <cell r="F2142">
            <v>135.89400000000001</v>
          </cell>
        </row>
        <row r="2143">
          <cell r="A2143">
            <v>2139</v>
          </cell>
          <cell r="B2143" t="str">
            <v xml:space="preserve">7501991830605   </v>
          </cell>
          <cell r="C2143" t="str">
            <v xml:space="preserve">SELLO VALORES (SL085) 6PZ               </v>
          </cell>
          <cell r="D2143" t="str">
            <v>LIMON</v>
          </cell>
          <cell r="E2143">
            <v>117.15</v>
          </cell>
          <cell r="F2143">
            <v>135.89400000000001</v>
          </cell>
        </row>
        <row r="2144">
          <cell r="A2144">
            <v>2140</v>
          </cell>
          <cell r="B2144" t="str">
            <v xml:space="preserve">7501991830612   </v>
          </cell>
          <cell r="C2144" t="str">
            <v xml:space="preserve">SELLO PLANISFERIO (SL062) 6PZ           </v>
          </cell>
          <cell r="D2144" t="str">
            <v>LIMON</v>
          </cell>
          <cell r="E2144">
            <v>117.15</v>
          </cell>
          <cell r="F2144">
            <v>135.89400000000001</v>
          </cell>
        </row>
        <row r="2145">
          <cell r="A2145">
            <v>2141</v>
          </cell>
          <cell r="B2145" t="str">
            <v xml:space="preserve">7501991830629   </v>
          </cell>
          <cell r="C2145" t="str">
            <v xml:space="preserve">SELLO MEDIOS DE TRANSPORTE (SL063) 6PZ  </v>
          </cell>
          <cell r="D2145" t="str">
            <v>LIMON</v>
          </cell>
          <cell r="E2145">
            <v>117.15</v>
          </cell>
          <cell r="F2145">
            <v>135.89400000000001</v>
          </cell>
        </row>
        <row r="2146">
          <cell r="A2146">
            <v>2142</v>
          </cell>
          <cell r="B2146" t="str">
            <v xml:space="preserve">7501991830636   </v>
          </cell>
          <cell r="C2146" t="str">
            <v xml:space="preserve">SELLO PUNTEADO DIDACTICO (SL064) 6PZ    </v>
          </cell>
          <cell r="D2146" t="str">
            <v>LIMON</v>
          </cell>
          <cell r="E2146">
            <v>117.15</v>
          </cell>
          <cell r="F2146">
            <v>135.89400000000001</v>
          </cell>
        </row>
        <row r="2147">
          <cell r="A2147">
            <v>2143</v>
          </cell>
          <cell r="B2147" t="str">
            <v xml:space="preserve">7501991830643   </v>
          </cell>
          <cell r="C2147" t="str">
            <v xml:space="preserve">SELLO PUNTEADO EDUCATIVO (SL065) 6PZ    </v>
          </cell>
          <cell r="D2147" t="str">
            <v>LIMON</v>
          </cell>
          <cell r="E2147">
            <v>117.15</v>
          </cell>
          <cell r="F2147">
            <v>135.89400000000001</v>
          </cell>
        </row>
        <row r="2148">
          <cell r="A2148">
            <v>2144</v>
          </cell>
          <cell r="B2148" t="str">
            <v xml:space="preserve">7501991830650   </v>
          </cell>
          <cell r="C2148" t="str">
            <v xml:space="preserve">SELLO PROFESIONES (SL066) 6PZ           </v>
          </cell>
          <cell r="D2148" t="str">
            <v>LIMON</v>
          </cell>
          <cell r="E2148">
            <v>117.15</v>
          </cell>
          <cell r="F2148">
            <v>135.89400000000001</v>
          </cell>
        </row>
        <row r="2149">
          <cell r="A2149">
            <v>2145</v>
          </cell>
          <cell r="B2149" t="str">
            <v xml:space="preserve">7501991830667   </v>
          </cell>
          <cell r="C2149" t="str">
            <v xml:space="preserve">SELLO NUMEROS EN INGLES (SL067) 12PZ    </v>
          </cell>
          <cell r="D2149" t="str">
            <v>LIMON</v>
          </cell>
          <cell r="E2149">
            <v>117.15</v>
          </cell>
          <cell r="F2149">
            <v>135.89400000000001</v>
          </cell>
        </row>
        <row r="2150">
          <cell r="A2150">
            <v>2146</v>
          </cell>
          <cell r="B2150" t="str">
            <v xml:space="preserve">7501991830674   </v>
          </cell>
          <cell r="C2150" t="str">
            <v xml:space="preserve">SELLO COLOREAR (SL068) 6PZ              </v>
          </cell>
          <cell r="D2150" t="str">
            <v>LIMON</v>
          </cell>
          <cell r="E2150">
            <v>117.15</v>
          </cell>
          <cell r="F2150">
            <v>135.89400000000001</v>
          </cell>
        </row>
        <row r="2151">
          <cell r="A2151">
            <v>2147</v>
          </cell>
          <cell r="B2151" t="str">
            <v xml:space="preserve">7501991830681   </v>
          </cell>
          <cell r="C2151" t="str">
            <v xml:space="preserve">SELLO FAMILIA (SL069) 6PZ               </v>
          </cell>
          <cell r="D2151" t="str">
            <v>LIMON</v>
          </cell>
          <cell r="E2151">
            <v>117.15</v>
          </cell>
          <cell r="F2151">
            <v>135.89400000000001</v>
          </cell>
        </row>
        <row r="2152">
          <cell r="A2152">
            <v>2148</v>
          </cell>
          <cell r="B2152" t="str">
            <v xml:space="preserve">7501991830698   </v>
          </cell>
          <cell r="C2152" t="str">
            <v xml:space="preserve">SELLO CON NOMBRE "PERSONALIZADO" (SL0A) </v>
          </cell>
          <cell r="D2152" t="str">
            <v>LIMON</v>
          </cell>
          <cell r="E2152">
            <v>59.4</v>
          </cell>
          <cell r="F2152">
            <v>68.903999999999996</v>
          </cell>
        </row>
        <row r="2153">
          <cell r="A2153">
            <v>2149</v>
          </cell>
          <cell r="B2153" t="str">
            <v xml:space="preserve">7501991830704   </v>
          </cell>
          <cell r="C2153" t="str">
            <v xml:space="preserve">SELLO INFORMATIVO (SL086) 11PZ          </v>
          </cell>
          <cell r="D2153" t="str">
            <v>LIMON</v>
          </cell>
          <cell r="E2153">
            <v>117.15</v>
          </cell>
          <cell r="F2153">
            <v>135.89400000000001</v>
          </cell>
        </row>
        <row r="2154">
          <cell r="A2154">
            <v>2150</v>
          </cell>
          <cell r="B2154" t="str">
            <v xml:space="preserve">7501991830711   </v>
          </cell>
          <cell r="C2154" t="str">
            <v xml:space="preserve">SELLO FIGURITAS (SL071) 12PZ            </v>
          </cell>
          <cell r="D2154" t="str">
            <v>LIMON</v>
          </cell>
          <cell r="E2154">
            <v>117.15</v>
          </cell>
          <cell r="F2154">
            <v>135.89400000000001</v>
          </cell>
        </row>
        <row r="2155">
          <cell r="A2155">
            <v>2151</v>
          </cell>
          <cell r="B2155" t="str">
            <v xml:space="preserve">7501991830728   </v>
          </cell>
          <cell r="C2155" t="str">
            <v xml:space="preserve">SELLO MOTIVADOR No.5 (SL072) 12PZ       </v>
          </cell>
          <cell r="D2155" t="str">
            <v>LIMON</v>
          </cell>
          <cell r="E2155">
            <v>117.15</v>
          </cell>
          <cell r="F2155">
            <v>135.89400000000001</v>
          </cell>
        </row>
        <row r="2156">
          <cell r="A2156">
            <v>2152</v>
          </cell>
          <cell r="B2156" t="str">
            <v xml:space="preserve">7501991830735   </v>
          </cell>
          <cell r="C2156" t="str">
            <v xml:space="preserve">SELLO ABC PUNTEADO (SL073) 29PZ         </v>
          </cell>
          <cell r="D2156" t="str">
            <v>LIMON</v>
          </cell>
          <cell r="E2156">
            <v>318.45</v>
          </cell>
          <cell r="F2156">
            <v>369.40199999999999</v>
          </cell>
        </row>
        <row r="2157">
          <cell r="A2157">
            <v>2153</v>
          </cell>
          <cell r="B2157" t="str">
            <v xml:space="preserve">7501991830742   </v>
          </cell>
          <cell r="C2157" t="str">
            <v xml:space="preserve">SELLO IMPRENTA ABC 1 (SL074) 29PZ       </v>
          </cell>
          <cell r="D2157" t="str">
            <v>LIMON</v>
          </cell>
          <cell r="E2157">
            <v>318.45</v>
          </cell>
          <cell r="F2157">
            <v>369.40199999999999</v>
          </cell>
        </row>
        <row r="2158">
          <cell r="A2158">
            <v>2154</v>
          </cell>
          <cell r="B2158" t="str">
            <v xml:space="preserve">7501991830759   </v>
          </cell>
          <cell r="C2158" t="str">
            <v xml:space="preserve">SELLO PERSONALIZADO 2 LINEAS (SL0F)     </v>
          </cell>
          <cell r="D2158" t="str">
            <v>LIMON</v>
          </cell>
          <cell r="E2158">
            <v>82.5</v>
          </cell>
          <cell r="F2158">
            <v>95.699999999999989</v>
          </cell>
        </row>
        <row r="2159">
          <cell r="A2159">
            <v>2155</v>
          </cell>
          <cell r="B2159" t="str">
            <v xml:space="preserve">7501991830766   </v>
          </cell>
          <cell r="C2159" t="str">
            <v xml:space="preserve">SELLO MOTIVADOR AZUL 12Pz (SL075)       </v>
          </cell>
          <cell r="D2159" t="str">
            <v>LIMON</v>
          </cell>
          <cell r="E2159">
            <v>117.15</v>
          </cell>
          <cell r="F2159">
            <v>135.89400000000001</v>
          </cell>
        </row>
        <row r="2160">
          <cell r="A2160">
            <v>2156</v>
          </cell>
          <cell r="B2160" t="str">
            <v xml:space="preserve">7501991830773   </v>
          </cell>
          <cell r="C2160" t="str">
            <v xml:space="preserve">SELLO MOTIVADOR VERDE (SL076) 12PZ      </v>
          </cell>
          <cell r="D2160" t="str">
            <v>LIMON</v>
          </cell>
          <cell r="E2160">
            <v>117.15</v>
          </cell>
          <cell r="F2160">
            <v>135.89400000000001</v>
          </cell>
        </row>
        <row r="2161">
          <cell r="A2161">
            <v>2157</v>
          </cell>
          <cell r="B2161" t="str">
            <v xml:space="preserve">7501991830780   </v>
          </cell>
          <cell r="C2161" t="str">
            <v xml:space="preserve">SELLO MOTIVADOR ROJO (SL077) 12PZ       </v>
          </cell>
          <cell r="D2161" t="str">
            <v>LIMON</v>
          </cell>
          <cell r="E2161">
            <v>117.15</v>
          </cell>
          <cell r="F2161">
            <v>135.89400000000001</v>
          </cell>
        </row>
        <row r="2162">
          <cell r="A2162">
            <v>2158</v>
          </cell>
          <cell r="B2162" t="str">
            <v xml:space="preserve">7501991830797   </v>
          </cell>
          <cell r="C2162" t="str">
            <v xml:space="preserve">SELLO PUNTEADO GEOMETRICOS (SL087) 4PZ  </v>
          </cell>
          <cell r="D2162" t="str">
            <v>LIMON</v>
          </cell>
          <cell r="E2162">
            <v>117.15</v>
          </cell>
          <cell r="F2162">
            <v>135.89400000000001</v>
          </cell>
        </row>
        <row r="2163">
          <cell r="A2163">
            <v>2159</v>
          </cell>
          <cell r="B2163" t="str">
            <v xml:space="preserve">7501991830803   </v>
          </cell>
          <cell r="C2163" t="str">
            <v>SELLO ABC SIGNOS ZORDO-MUDOS (SL088) 27P</v>
          </cell>
          <cell r="D2163" t="str">
            <v>LIMON</v>
          </cell>
          <cell r="E2163">
            <v>318.45</v>
          </cell>
          <cell r="F2163">
            <v>369.40199999999999</v>
          </cell>
        </row>
        <row r="2164">
          <cell r="A2164">
            <v>2160</v>
          </cell>
          <cell r="B2164" t="str">
            <v xml:space="preserve">7501991830810   </v>
          </cell>
          <cell r="C2164" t="str">
            <v xml:space="preserve">SELLO OFICIOS (SL078) 6PZ               </v>
          </cell>
          <cell r="D2164" t="str">
            <v>LIMON</v>
          </cell>
          <cell r="E2164">
            <v>117.15</v>
          </cell>
          <cell r="F2164">
            <v>135.89400000000001</v>
          </cell>
        </row>
        <row r="2165">
          <cell r="A2165">
            <v>2161</v>
          </cell>
          <cell r="B2165" t="str">
            <v xml:space="preserve">7501991830827   </v>
          </cell>
          <cell r="C2165" t="str">
            <v xml:space="preserve">SELLO LABERINTO (SL079) 10PZ            </v>
          </cell>
          <cell r="D2165" t="str">
            <v>LIMON</v>
          </cell>
          <cell r="E2165">
            <v>318.45</v>
          </cell>
          <cell r="F2165">
            <v>369.40199999999999</v>
          </cell>
        </row>
        <row r="2166">
          <cell r="A2166">
            <v>2162</v>
          </cell>
          <cell r="B2166" t="str">
            <v xml:space="preserve">7501991830834   </v>
          </cell>
          <cell r="C2166" t="str">
            <v xml:space="preserve">SELLO NIÑA Y NIÑO (SL080) 2PZ           </v>
          </cell>
          <cell r="D2166" t="str">
            <v>LIMON</v>
          </cell>
          <cell r="E2166">
            <v>117.15</v>
          </cell>
          <cell r="F2166">
            <v>135.89400000000001</v>
          </cell>
        </row>
        <row r="2167">
          <cell r="A2167">
            <v>2163</v>
          </cell>
          <cell r="B2167" t="str">
            <v xml:space="preserve">7501991830841   </v>
          </cell>
          <cell r="C2167" t="str">
            <v xml:space="preserve">SELLO CAMINITOS (SL082) 4PZ             </v>
          </cell>
          <cell r="D2167" t="str">
            <v>LIMON</v>
          </cell>
          <cell r="E2167">
            <v>117.15</v>
          </cell>
          <cell r="F2167">
            <v>135.89400000000001</v>
          </cell>
        </row>
        <row r="2168">
          <cell r="A2168">
            <v>2164</v>
          </cell>
          <cell r="B2168" t="str">
            <v xml:space="preserve">7501991830858   </v>
          </cell>
          <cell r="C2168" t="str">
            <v xml:space="preserve">SELLO ABC MIN. PUNTEADAS (SL083) 27PZ   </v>
          </cell>
          <cell r="D2168" t="str">
            <v>LIMON</v>
          </cell>
          <cell r="E2168">
            <v>318.45</v>
          </cell>
          <cell r="F2168">
            <v>369.40199999999999</v>
          </cell>
        </row>
        <row r="2169">
          <cell r="A2169">
            <v>2165</v>
          </cell>
          <cell r="B2169" t="str">
            <v xml:space="preserve">7501991830865   </v>
          </cell>
          <cell r="C2169" t="str">
            <v xml:space="preserve">SELLO ESTRELLITA (SL081) 6PZ            </v>
          </cell>
          <cell r="D2169" t="str">
            <v>LIMON</v>
          </cell>
          <cell r="E2169">
            <v>117.15</v>
          </cell>
          <cell r="F2169">
            <v>135.89400000000001</v>
          </cell>
        </row>
        <row r="2170">
          <cell r="A2170">
            <v>2166</v>
          </cell>
          <cell r="B2170" t="str">
            <v xml:space="preserve">7501991830872   </v>
          </cell>
          <cell r="C2170" t="str">
            <v xml:space="preserve">SELLO COLECCION (SL084) 12PZ            </v>
          </cell>
          <cell r="D2170" t="str">
            <v>LIMON</v>
          </cell>
          <cell r="E2170">
            <v>117.15</v>
          </cell>
          <cell r="F2170">
            <v>135.89400000000001</v>
          </cell>
        </row>
        <row r="2171">
          <cell r="A2171">
            <v>2167</v>
          </cell>
          <cell r="B2171" t="str">
            <v xml:space="preserve">7501991830889   </v>
          </cell>
          <cell r="C2171" t="str">
            <v xml:space="preserve">SELLO CALIGRAFIA (SL090) 8PZ            </v>
          </cell>
          <cell r="D2171" t="str">
            <v>LIMON</v>
          </cell>
          <cell r="E2171">
            <v>318.45</v>
          </cell>
          <cell r="F2171">
            <v>369.40199999999999</v>
          </cell>
        </row>
        <row r="2172">
          <cell r="A2172">
            <v>2168</v>
          </cell>
          <cell r="B2172" t="str">
            <v xml:space="preserve">7501991830896   </v>
          </cell>
          <cell r="C2172" t="str">
            <v xml:space="preserve">SELLO FRUTAS GRANDE (SL091) 9PZ         </v>
          </cell>
          <cell r="D2172" t="str">
            <v>LIMON</v>
          </cell>
          <cell r="E2172">
            <v>318.45</v>
          </cell>
          <cell r="F2172">
            <v>369.40199999999999</v>
          </cell>
        </row>
        <row r="2173">
          <cell r="A2173">
            <v>2169</v>
          </cell>
          <cell r="B2173" t="str">
            <v xml:space="preserve">7501991830902   </v>
          </cell>
          <cell r="C2173" t="str">
            <v xml:space="preserve">SELLO MATEMATICAS (SL092) 12PZ          </v>
          </cell>
          <cell r="D2173" t="str">
            <v>LIMON</v>
          </cell>
          <cell r="E2173">
            <v>117.15</v>
          </cell>
          <cell r="F2173">
            <v>135.89400000000001</v>
          </cell>
        </row>
        <row r="2174">
          <cell r="A2174">
            <v>2170</v>
          </cell>
          <cell r="B2174" t="str">
            <v xml:space="preserve">7501991830919   </v>
          </cell>
          <cell r="C2174" t="str">
            <v xml:space="preserve">SELLO TABLAS SALTEADAS (SL093) 10PZ     </v>
          </cell>
          <cell r="D2174" t="str">
            <v>LIMON</v>
          </cell>
          <cell r="E2174">
            <v>117.15</v>
          </cell>
          <cell r="F2174">
            <v>135.89400000000001</v>
          </cell>
        </row>
        <row r="2175">
          <cell r="A2175">
            <v>2171</v>
          </cell>
          <cell r="B2175" t="str">
            <v xml:space="preserve">7501991830926   </v>
          </cell>
          <cell r="C2175" t="str">
            <v xml:space="preserve">SELLO SUMAS (SL095) 10PZ                </v>
          </cell>
          <cell r="D2175" t="str">
            <v>LIMON</v>
          </cell>
          <cell r="E2175">
            <v>117.15</v>
          </cell>
          <cell r="F2175">
            <v>135.89400000000001</v>
          </cell>
        </row>
        <row r="2176">
          <cell r="A2176">
            <v>2172</v>
          </cell>
          <cell r="B2176" t="str">
            <v xml:space="preserve">7501991830933   </v>
          </cell>
          <cell r="C2176" t="str">
            <v xml:space="preserve">SELLO CASITA (SL096) 3PZ                </v>
          </cell>
          <cell r="D2176" t="str">
            <v>LIMON</v>
          </cell>
          <cell r="E2176">
            <v>117.15</v>
          </cell>
          <cell r="F2176">
            <v>135.89400000000001</v>
          </cell>
        </row>
        <row r="2177">
          <cell r="A2177">
            <v>2173</v>
          </cell>
          <cell r="B2177" t="str">
            <v xml:space="preserve">7501991830940   </v>
          </cell>
          <cell r="C2177" t="str">
            <v xml:space="preserve">SELLO EVALUACION (SL097) 8PZ            </v>
          </cell>
          <cell r="D2177" t="str">
            <v>LIMON</v>
          </cell>
          <cell r="E2177">
            <v>117.15</v>
          </cell>
          <cell r="F2177">
            <v>135.89400000000001</v>
          </cell>
        </row>
        <row r="2178">
          <cell r="A2178">
            <v>2174</v>
          </cell>
          <cell r="B2178" t="str">
            <v xml:space="preserve">7501991830957   </v>
          </cell>
          <cell r="C2178" t="str">
            <v xml:space="preserve">SELLO COMUNICADOS (SL098) 89Z           </v>
          </cell>
          <cell r="D2178" t="str">
            <v>LIMON</v>
          </cell>
          <cell r="E2178">
            <v>117.15</v>
          </cell>
          <cell r="F2178">
            <v>135.89400000000001</v>
          </cell>
        </row>
        <row r="2179">
          <cell r="A2179">
            <v>2175</v>
          </cell>
          <cell r="B2179" t="str">
            <v xml:space="preserve">7501991830964   </v>
          </cell>
          <cell r="C2179" t="str">
            <v xml:space="preserve">SELLO INGLES FELIZ (SL099) 12PZ         </v>
          </cell>
          <cell r="D2179" t="str">
            <v>LIMON</v>
          </cell>
          <cell r="E2179">
            <v>117.15</v>
          </cell>
          <cell r="F2179">
            <v>135.89400000000001</v>
          </cell>
        </row>
        <row r="2180">
          <cell r="A2180">
            <v>2176</v>
          </cell>
          <cell r="B2180" t="str">
            <v xml:space="preserve">7501991830971   </v>
          </cell>
          <cell r="C2180" t="str">
            <v xml:space="preserve">SELLO DIVISIONES (SL094) 10PZ           </v>
          </cell>
          <cell r="D2180" t="str">
            <v>LIMON</v>
          </cell>
          <cell r="E2180">
            <v>117.15</v>
          </cell>
          <cell r="F2180">
            <v>135.89400000000001</v>
          </cell>
        </row>
        <row r="2181">
          <cell r="A2181">
            <v>2177</v>
          </cell>
          <cell r="B2181" t="str">
            <v xml:space="preserve">7501991830988   </v>
          </cell>
          <cell r="C2181" t="str">
            <v xml:space="preserve">SELLO INGLES CAMPEON (SL100) 11PZ       </v>
          </cell>
          <cell r="D2181" t="str">
            <v>LIMON</v>
          </cell>
          <cell r="E2181">
            <v>117.15</v>
          </cell>
          <cell r="F2181">
            <v>135.89400000000001</v>
          </cell>
        </row>
        <row r="2182">
          <cell r="A2182">
            <v>2178</v>
          </cell>
          <cell r="B2182" t="str">
            <v xml:space="preserve">7501991830995   </v>
          </cell>
          <cell r="C2182" t="str">
            <v xml:space="preserve">SELLO ANTONIMOS PEQUEÑO (SL101) 6PZ     </v>
          </cell>
          <cell r="D2182" t="str">
            <v>LIMON</v>
          </cell>
          <cell r="E2182">
            <v>117.15</v>
          </cell>
          <cell r="F2182">
            <v>135.89400000000001</v>
          </cell>
        </row>
        <row r="2183">
          <cell r="A2183">
            <v>2179</v>
          </cell>
          <cell r="B2183" t="str">
            <v xml:space="preserve">7501991831008   </v>
          </cell>
          <cell r="C2183" t="str">
            <v xml:space="preserve">SELLO ANTONIMO CERCA (SL102) 6PZ        </v>
          </cell>
          <cell r="D2183" t="str">
            <v>LIMON</v>
          </cell>
          <cell r="E2183">
            <v>117.15</v>
          </cell>
          <cell r="F2183">
            <v>135.89400000000001</v>
          </cell>
        </row>
        <row r="2184">
          <cell r="A2184">
            <v>2180</v>
          </cell>
          <cell r="B2184" t="str">
            <v xml:space="preserve">7501991831015   </v>
          </cell>
          <cell r="C2184" t="str">
            <v xml:space="preserve">SELLO CALIGRAFIA CURVA (SL103) 6PZ      </v>
          </cell>
          <cell r="D2184" t="str">
            <v>LIMON</v>
          </cell>
          <cell r="E2184">
            <v>117.15</v>
          </cell>
          <cell r="F2184">
            <v>135.89400000000001</v>
          </cell>
        </row>
        <row r="2185">
          <cell r="A2185">
            <v>2181</v>
          </cell>
          <cell r="B2185" t="str">
            <v xml:space="preserve">7501991831022   </v>
          </cell>
          <cell r="C2185" t="str">
            <v xml:space="preserve">SELLO CALIGRAFIA DIBUJO (SL104) 6PZ     </v>
          </cell>
          <cell r="D2185" t="str">
            <v>LIMON</v>
          </cell>
          <cell r="E2185">
            <v>117.15</v>
          </cell>
          <cell r="F2185">
            <v>135.89400000000001</v>
          </cell>
        </row>
        <row r="2186">
          <cell r="A2186">
            <v>2182</v>
          </cell>
          <cell r="B2186" t="str">
            <v xml:space="preserve">7501991831039   </v>
          </cell>
          <cell r="C2186" t="str">
            <v xml:space="preserve">SELLO LABERINTO ENAMORADO (SL105) 7PZ   </v>
          </cell>
          <cell r="D2186" t="str">
            <v>LIMON</v>
          </cell>
          <cell r="E2186">
            <v>117.15</v>
          </cell>
          <cell r="F2186">
            <v>135.89400000000001</v>
          </cell>
        </row>
        <row r="2187">
          <cell r="A2187">
            <v>2183</v>
          </cell>
          <cell r="B2187" t="str">
            <v xml:space="preserve">7501991831046   </v>
          </cell>
          <cell r="C2187" t="str">
            <v xml:space="preserve">SELLO RECORDATORIOS (SL106) 12PZ        </v>
          </cell>
          <cell r="D2187" t="str">
            <v>LIMON</v>
          </cell>
          <cell r="E2187">
            <v>117.15</v>
          </cell>
          <cell r="F2187">
            <v>135.89400000000001</v>
          </cell>
        </row>
        <row r="2188">
          <cell r="A2188">
            <v>2184</v>
          </cell>
          <cell r="B2188" t="str">
            <v xml:space="preserve">7501991831053   </v>
          </cell>
          <cell r="C2188" t="str">
            <v xml:space="preserve">SELLO CORRECCIONES (SL107) 12PZ         </v>
          </cell>
          <cell r="D2188" t="str">
            <v>LIMON</v>
          </cell>
          <cell r="E2188">
            <v>117.15</v>
          </cell>
          <cell r="F2188">
            <v>135.89400000000001</v>
          </cell>
        </row>
        <row r="2189">
          <cell r="A2189">
            <v>2185</v>
          </cell>
          <cell r="B2189" t="str">
            <v xml:space="preserve">7501991831060   </v>
          </cell>
          <cell r="C2189" t="str">
            <v xml:space="preserve">SELLO PIMPOYO (SL108) 12Pz              </v>
          </cell>
          <cell r="D2189" t="str">
            <v>LIMON</v>
          </cell>
          <cell r="E2189">
            <v>117.15</v>
          </cell>
          <cell r="F2189">
            <v>135.89400000000001</v>
          </cell>
        </row>
        <row r="2190">
          <cell r="A2190">
            <v>2186</v>
          </cell>
          <cell r="B2190" t="str">
            <v xml:space="preserve">7501991831077   </v>
          </cell>
          <cell r="C2190" t="str">
            <v xml:space="preserve">SELLO MAPAS MENTALES (SL109) 2PZ        </v>
          </cell>
          <cell r="D2190" t="str">
            <v>LIMON</v>
          </cell>
          <cell r="E2190">
            <v>117.15</v>
          </cell>
          <cell r="F2190">
            <v>135.89400000000001</v>
          </cell>
        </row>
        <row r="2191">
          <cell r="A2191">
            <v>2187</v>
          </cell>
          <cell r="B2191" t="str">
            <v xml:space="preserve">7501991831084   </v>
          </cell>
          <cell r="C2191" t="str">
            <v xml:space="preserve">SELLO NUMEROS PUNTEADOS (SL110) 12PZ    </v>
          </cell>
          <cell r="D2191" t="str">
            <v>LIMON</v>
          </cell>
          <cell r="E2191">
            <v>117.15</v>
          </cell>
          <cell r="F2191">
            <v>135.89400000000001</v>
          </cell>
        </row>
        <row r="2192">
          <cell r="A2192">
            <v>2188</v>
          </cell>
          <cell r="B2192" t="str">
            <v xml:space="preserve">7501991831091   </v>
          </cell>
          <cell r="C2192" t="str">
            <v xml:space="preserve">SELLO MERENGANITOS (SL111) 12PZ         </v>
          </cell>
          <cell r="D2192" t="str">
            <v>LIMON</v>
          </cell>
          <cell r="E2192">
            <v>117.15</v>
          </cell>
          <cell r="F2192">
            <v>135.89400000000001</v>
          </cell>
        </row>
        <row r="2193">
          <cell r="A2193">
            <v>2189</v>
          </cell>
          <cell r="B2193" t="str">
            <v xml:space="preserve">7501991831107   </v>
          </cell>
          <cell r="C2193" t="str">
            <v xml:space="preserve">SELLO MESES DEL AÑO (SL112) 12PZ        </v>
          </cell>
          <cell r="D2193" t="str">
            <v>LIMON</v>
          </cell>
          <cell r="E2193">
            <v>117.15</v>
          </cell>
          <cell r="F2193">
            <v>135.89400000000001</v>
          </cell>
        </row>
        <row r="2194">
          <cell r="A2194">
            <v>2190</v>
          </cell>
          <cell r="B2194" t="str">
            <v xml:space="preserve">7501991831114   </v>
          </cell>
          <cell r="C2194" t="str">
            <v xml:space="preserve">SELLO BURBUJITA (SL113) 12PZ            </v>
          </cell>
          <cell r="D2194" t="str">
            <v>LIMON</v>
          </cell>
          <cell r="E2194">
            <v>117.15</v>
          </cell>
          <cell r="F2194">
            <v>135.89400000000001</v>
          </cell>
        </row>
        <row r="2195">
          <cell r="A2195">
            <v>2191</v>
          </cell>
          <cell r="B2195" t="str">
            <v xml:space="preserve">7501991831121   </v>
          </cell>
          <cell r="C2195" t="str">
            <v xml:space="preserve">SELLO VALORES 12 (SL114) 12PZ           </v>
          </cell>
          <cell r="D2195" t="str">
            <v>LIMON</v>
          </cell>
          <cell r="E2195">
            <v>117.15</v>
          </cell>
          <cell r="F2195">
            <v>135.89400000000001</v>
          </cell>
        </row>
        <row r="2196">
          <cell r="A2196">
            <v>2192</v>
          </cell>
          <cell r="B2196" t="str">
            <v xml:space="preserve">7501991831138   </v>
          </cell>
          <cell r="C2196" t="str">
            <v xml:space="preserve">SELLO PIMPOYO EN INGLES (SL115) 12PZ    </v>
          </cell>
          <cell r="D2196" t="str">
            <v>LIMON</v>
          </cell>
          <cell r="E2196">
            <v>117.15</v>
          </cell>
          <cell r="F2196">
            <v>135.89400000000001</v>
          </cell>
        </row>
        <row r="2197">
          <cell r="A2197">
            <v>2193</v>
          </cell>
          <cell r="B2197" t="str">
            <v xml:space="preserve">7501991831145   </v>
          </cell>
          <cell r="C2197" t="str">
            <v xml:space="preserve">SELLO DINOSAURIOS (SL116) 12PZ          </v>
          </cell>
          <cell r="D2197" t="str">
            <v>LIMON</v>
          </cell>
          <cell r="E2197">
            <v>117.15</v>
          </cell>
          <cell r="F2197">
            <v>135.89400000000001</v>
          </cell>
        </row>
        <row r="2198">
          <cell r="A2198">
            <v>2194</v>
          </cell>
          <cell r="B2198" t="str">
            <v xml:space="preserve">7501991831152   </v>
          </cell>
          <cell r="C2198" t="str">
            <v xml:space="preserve">SELLO TANGRAM  (SL117) 1PZ              </v>
          </cell>
          <cell r="D2198" t="str">
            <v>LIMON</v>
          </cell>
          <cell r="E2198">
            <v>117.15</v>
          </cell>
          <cell r="F2198">
            <v>135.89400000000001</v>
          </cell>
        </row>
        <row r="2199">
          <cell r="A2199">
            <v>2195</v>
          </cell>
          <cell r="B2199" t="str">
            <v xml:space="preserve">7501991831169   </v>
          </cell>
          <cell r="C2199" t="str">
            <v xml:space="preserve">SELLO VARIEDADES 48A GDE (SL118) 30PZ   </v>
          </cell>
          <cell r="D2199" t="str">
            <v>LIMON</v>
          </cell>
          <cell r="E2199">
            <v>318.45</v>
          </cell>
          <cell r="F2199">
            <v>369.40199999999999</v>
          </cell>
        </row>
        <row r="2200">
          <cell r="A2200">
            <v>2196</v>
          </cell>
          <cell r="B2200" t="str">
            <v xml:space="preserve">7501991831176   </v>
          </cell>
          <cell r="C2200" t="str">
            <v xml:space="preserve">SELLO VARIEDADES 48B GDE (SL119) 30PZ   </v>
          </cell>
          <cell r="D2200" t="str">
            <v>LIMON</v>
          </cell>
          <cell r="E2200">
            <v>318.45</v>
          </cell>
          <cell r="F2200">
            <v>369.40199999999999</v>
          </cell>
        </row>
        <row r="2201">
          <cell r="A2201">
            <v>2197</v>
          </cell>
          <cell r="B2201" t="str">
            <v xml:space="preserve">7501991831183   </v>
          </cell>
          <cell r="C2201" t="str">
            <v xml:space="preserve">SELLO ANIMALES GRANJA DOS (SL126) 12PZ  </v>
          </cell>
          <cell r="D2201" t="str">
            <v>LIMON</v>
          </cell>
          <cell r="E2201">
            <v>117.15</v>
          </cell>
          <cell r="F2201">
            <v>135.89400000000001</v>
          </cell>
        </row>
        <row r="2202">
          <cell r="A2202">
            <v>2198</v>
          </cell>
          <cell r="B2202" t="str">
            <v xml:space="preserve">7501991831190   </v>
          </cell>
          <cell r="C2202" t="str">
            <v>SELLO INSECTOS Y REPTILES 2 (SL127)* 12P</v>
          </cell>
          <cell r="D2202" t="str">
            <v>LIMON</v>
          </cell>
          <cell r="E2202">
            <v>117.15</v>
          </cell>
          <cell r="F2202">
            <v>135.89400000000001</v>
          </cell>
        </row>
        <row r="2203">
          <cell r="A2203">
            <v>2199</v>
          </cell>
          <cell r="B2203" t="str">
            <v xml:space="preserve">7501991831206   </v>
          </cell>
          <cell r="C2203" t="str">
            <v xml:space="preserve">SELLO ANIMALITOS AVES 2 (SL128)* 12PZ   </v>
          </cell>
          <cell r="D2203" t="str">
            <v>LIMON</v>
          </cell>
          <cell r="E2203">
            <v>117.15</v>
          </cell>
          <cell r="F2203">
            <v>135.89400000000001</v>
          </cell>
        </row>
        <row r="2204">
          <cell r="A2204">
            <v>2200</v>
          </cell>
          <cell r="B2204" t="str">
            <v xml:space="preserve">7501991831213   </v>
          </cell>
          <cell r="C2204" t="str">
            <v xml:space="preserve">SELLO A. ZOOLOGICO 2 (SL129)* 12PZ      </v>
          </cell>
          <cell r="D2204" t="str">
            <v>LIMON</v>
          </cell>
          <cell r="E2204">
            <v>117.15</v>
          </cell>
          <cell r="F2204">
            <v>135.89400000000001</v>
          </cell>
        </row>
        <row r="2205">
          <cell r="A2205">
            <v>2201</v>
          </cell>
          <cell r="B2205" t="str">
            <v xml:space="preserve">7501991831220   </v>
          </cell>
          <cell r="C2205" t="str">
            <v xml:space="preserve">SELLO OFICIOS DOS (SL131) 12PZ          </v>
          </cell>
          <cell r="D2205" t="str">
            <v>LIMON</v>
          </cell>
          <cell r="E2205">
            <v>117.15</v>
          </cell>
          <cell r="F2205">
            <v>135.89400000000001</v>
          </cell>
        </row>
        <row r="2206">
          <cell r="A2206">
            <v>2202</v>
          </cell>
          <cell r="B2206" t="str">
            <v xml:space="preserve">7501991831237   </v>
          </cell>
          <cell r="C2206" t="str">
            <v xml:space="preserve">SELLO PRECIOSOS (SL200) 8PZ             </v>
          </cell>
          <cell r="D2206" t="str">
            <v>LIMON</v>
          </cell>
          <cell r="E2206">
            <v>117.15</v>
          </cell>
          <cell r="F2206">
            <v>135.89400000000001</v>
          </cell>
        </row>
        <row r="2207">
          <cell r="A2207">
            <v>2203</v>
          </cell>
          <cell r="B2207" t="str">
            <v xml:space="preserve">7501991831244   </v>
          </cell>
          <cell r="C2207" t="str">
            <v xml:space="preserve">SELLO PRECIOSOS INGLES (SL201) 8PZ      </v>
          </cell>
          <cell r="D2207" t="str">
            <v>LIMON</v>
          </cell>
          <cell r="E2207">
            <v>117.15</v>
          </cell>
          <cell r="F2207">
            <v>135.89400000000001</v>
          </cell>
        </row>
        <row r="2208">
          <cell r="A2208">
            <v>2204</v>
          </cell>
          <cell r="B2208" t="str">
            <v xml:space="preserve">7501991831251   </v>
          </cell>
          <cell r="C2208" t="str">
            <v xml:space="preserve">SELLO CAMINITOS 2 (SL122) 4PZ           </v>
          </cell>
          <cell r="D2208" t="str">
            <v>LIMON</v>
          </cell>
          <cell r="E2208">
            <v>117.15</v>
          </cell>
          <cell r="F2208">
            <v>135.89400000000001</v>
          </cell>
        </row>
        <row r="2209">
          <cell r="A2209">
            <v>2205</v>
          </cell>
          <cell r="B2209" t="str">
            <v xml:space="preserve">7501991831275   </v>
          </cell>
          <cell r="C2209" t="str">
            <v xml:space="preserve">SELLO SERVIDORES PUBLICOS (SL133) 12PZ  </v>
          </cell>
          <cell r="D2209" t="str">
            <v>LIMON</v>
          </cell>
          <cell r="E2209">
            <v>117.15</v>
          </cell>
          <cell r="F2209">
            <v>135.89400000000001</v>
          </cell>
        </row>
        <row r="2210">
          <cell r="A2210">
            <v>2206</v>
          </cell>
          <cell r="B2210" t="str">
            <v xml:space="preserve">7501991831282   </v>
          </cell>
          <cell r="C2210" t="str">
            <v>SELLO VOCALES SCRIP PUNTEADAS (SL124) 5P</v>
          </cell>
          <cell r="D2210" t="str">
            <v>LIMON</v>
          </cell>
          <cell r="E2210">
            <v>117.15</v>
          </cell>
          <cell r="F2210">
            <v>135.89400000000001</v>
          </cell>
        </row>
        <row r="2211">
          <cell r="A2211">
            <v>2207</v>
          </cell>
          <cell r="B2211" t="str">
            <v xml:space="preserve">7501991831299   </v>
          </cell>
          <cell r="C2211" t="str">
            <v xml:space="preserve">SELLO ESTADOS DE ANIMO (SL125) 12PZ     </v>
          </cell>
          <cell r="D2211" t="str">
            <v>LIMON</v>
          </cell>
          <cell r="E2211">
            <v>117.15</v>
          </cell>
          <cell r="F2211">
            <v>135.89400000000001</v>
          </cell>
        </row>
        <row r="2212">
          <cell r="A2212">
            <v>2208</v>
          </cell>
          <cell r="B2212" t="str">
            <v xml:space="preserve">7501991831305   </v>
          </cell>
          <cell r="C2212" t="str">
            <v xml:space="preserve">SELLO PROFESIONES Y ARTES (SL132) 12PZ  </v>
          </cell>
          <cell r="D2212" t="str">
            <v>LIMON</v>
          </cell>
          <cell r="E2212">
            <v>117.15</v>
          </cell>
          <cell r="F2212">
            <v>135.89400000000001</v>
          </cell>
        </row>
        <row r="2213">
          <cell r="A2213">
            <v>2209</v>
          </cell>
          <cell r="B2213" t="str">
            <v xml:space="preserve">7501991831312   </v>
          </cell>
          <cell r="C2213" t="str">
            <v xml:space="preserve">SELLO VOCALES RELLENO (SL121) 10PZ      </v>
          </cell>
          <cell r="D2213" t="str">
            <v>LIMON</v>
          </cell>
          <cell r="E2213">
            <v>117.15</v>
          </cell>
          <cell r="F2213">
            <v>135.89400000000001</v>
          </cell>
        </row>
        <row r="2214">
          <cell r="A2214">
            <v>2210</v>
          </cell>
          <cell r="B2214" t="str">
            <v xml:space="preserve">7501991831329   </v>
          </cell>
          <cell r="C2214" t="str">
            <v xml:space="preserve">SELLO ABC DIBUJO (SL123) 30PZ           </v>
          </cell>
          <cell r="D2214" t="str">
            <v>LIMON</v>
          </cell>
          <cell r="E2214">
            <v>318.45</v>
          </cell>
          <cell r="F2214">
            <v>369.40199999999999</v>
          </cell>
        </row>
        <row r="2215">
          <cell r="A2215">
            <v>2211</v>
          </cell>
          <cell r="B2215" t="str">
            <v xml:space="preserve">7501991831336   </v>
          </cell>
          <cell r="C2215" t="str">
            <v xml:space="preserve">SELLO ACUATICOS DOS (SL130) 12PZ        </v>
          </cell>
          <cell r="D2215" t="str">
            <v>LIMON</v>
          </cell>
          <cell r="E2215">
            <v>117.15</v>
          </cell>
          <cell r="F2215">
            <v>135.89400000000001</v>
          </cell>
        </row>
        <row r="2216">
          <cell r="A2216">
            <v>2212</v>
          </cell>
          <cell r="B2216" t="str">
            <v xml:space="preserve">7501991831343   </v>
          </cell>
          <cell r="C2216" t="str">
            <v xml:space="preserve">SELLO NUMEROS RELLENOS  (SL120) 10PZ    </v>
          </cell>
          <cell r="D2216" t="str">
            <v>LIMON</v>
          </cell>
          <cell r="E2216">
            <v>117.15</v>
          </cell>
          <cell r="F2216">
            <v>135.89400000000001</v>
          </cell>
        </row>
        <row r="2217">
          <cell r="A2217">
            <v>2213</v>
          </cell>
          <cell r="B2217" t="str">
            <v xml:space="preserve">7501991831350   </v>
          </cell>
          <cell r="C2217" t="str">
            <v xml:space="preserve">SELLO MOTIVADOR 1-E INGLES (SL002) 12PZ </v>
          </cell>
          <cell r="D2217" t="str">
            <v>LIMON</v>
          </cell>
          <cell r="E2217">
            <v>117.15</v>
          </cell>
          <cell r="F2217">
            <v>135.89400000000001</v>
          </cell>
        </row>
        <row r="2218">
          <cell r="A2218">
            <v>2214</v>
          </cell>
          <cell r="B2218" t="str">
            <v xml:space="preserve">7501991831367   </v>
          </cell>
          <cell r="C2218" t="str">
            <v>SELLO ABC RELLENO SCRIP MIN. (SL134) 27P</v>
          </cell>
          <cell r="D2218" t="str">
            <v>LIMON</v>
          </cell>
          <cell r="E2218">
            <v>318.45</v>
          </cell>
          <cell r="F2218">
            <v>369.40199999999999</v>
          </cell>
        </row>
        <row r="2219">
          <cell r="A2219">
            <v>2215</v>
          </cell>
          <cell r="B2219" t="str">
            <v xml:space="preserve">7501991831374   </v>
          </cell>
          <cell r="C2219" t="str">
            <v>SELLO ABC RELLENO SCRIP MAY. (SL135) 27P</v>
          </cell>
          <cell r="D2219" t="str">
            <v>LIMON</v>
          </cell>
          <cell r="E2219">
            <v>318.45</v>
          </cell>
          <cell r="F2219">
            <v>369.40199999999999</v>
          </cell>
        </row>
        <row r="2220">
          <cell r="A2220">
            <v>2216</v>
          </cell>
          <cell r="B2220" t="str">
            <v xml:space="preserve">7501991831381   </v>
          </cell>
          <cell r="C2220" t="str">
            <v xml:space="preserve">SELLO GOTITAS (SL203) 10PZ              </v>
          </cell>
          <cell r="D2220" t="str">
            <v>LIMON</v>
          </cell>
          <cell r="E2220">
            <v>117.15</v>
          </cell>
          <cell r="F2220">
            <v>135.89400000000001</v>
          </cell>
        </row>
        <row r="2221">
          <cell r="A2221">
            <v>2217</v>
          </cell>
          <cell r="B2221" t="str">
            <v xml:space="preserve">7501991831398   </v>
          </cell>
          <cell r="C2221" t="str">
            <v xml:space="preserve">SELLO INVITACIONES (SL204) 10PZ         </v>
          </cell>
          <cell r="D2221" t="str">
            <v>LIMON</v>
          </cell>
          <cell r="E2221">
            <v>117.15</v>
          </cell>
          <cell r="F2221">
            <v>135.89400000000001</v>
          </cell>
        </row>
        <row r="2222">
          <cell r="A2222">
            <v>2218</v>
          </cell>
          <cell r="B2222" t="str">
            <v xml:space="preserve">7501991831404   </v>
          </cell>
          <cell r="C2222" t="str">
            <v xml:space="preserve">SELLO BONITOS (SL205) 10PZ              </v>
          </cell>
          <cell r="D2222" t="str">
            <v>LIMON</v>
          </cell>
          <cell r="E2222">
            <v>117.15</v>
          </cell>
          <cell r="F2222">
            <v>135.89400000000001</v>
          </cell>
        </row>
        <row r="2223">
          <cell r="A2223">
            <v>2219</v>
          </cell>
          <cell r="B2223" t="str">
            <v xml:space="preserve">7501991831411   </v>
          </cell>
          <cell r="C2223" t="str">
            <v>SELLO DE BOLSILLO TIPO PLUMA PERSONALIZA</v>
          </cell>
          <cell r="D2223" t="str">
            <v>LIMON</v>
          </cell>
          <cell r="E2223">
            <v>435.59999999999991</v>
          </cell>
          <cell r="F2223">
            <v>505.29599999999988</v>
          </cell>
        </row>
        <row r="2224">
          <cell r="A2224">
            <v>2220</v>
          </cell>
          <cell r="B2224" t="str">
            <v xml:space="preserve">7501991831428   </v>
          </cell>
          <cell r="C2224" t="str">
            <v xml:space="preserve">SELLO BRILLANTES (SL202) 8Pz            </v>
          </cell>
          <cell r="D2224" t="str">
            <v>LIMON</v>
          </cell>
          <cell r="E2224">
            <v>117.15</v>
          </cell>
          <cell r="F2224">
            <v>135.89400000000001</v>
          </cell>
        </row>
        <row r="2225">
          <cell r="A2225">
            <v>2221</v>
          </cell>
          <cell r="B2225" t="str">
            <v xml:space="preserve">7501991831442   </v>
          </cell>
          <cell r="C2225" t="str">
            <v xml:space="preserve">SELLO VERDURAS 12Pz (SL005.)            </v>
          </cell>
          <cell r="D2225" t="str">
            <v>LIMON</v>
          </cell>
          <cell r="E2225">
            <v>117.15</v>
          </cell>
          <cell r="F2225">
            <v>135.89400000000001</v>
          </cell>
        </row>
        <row r="2226">
          <cell r="A2226">
            <v>2222</v>
          </cell>
          <cell r="B2226" t="str">
            <v xml:space="preserve">05004499        </v>
          </cell>
          <cell r="C2226" t="str">
            <v xml:space="preserve">ARENERO EN FORMA DE TORTUGA             </v>
          </cell>
          <cell r="D2226" t="str">
            <v>LITLE</v>
          </cell>
          <cell r="E2226">
            <v>1011.45</v>
          </cell>
          <cell r="F2226">
            <v>1173.2819999999999</v>
          </cell>
        </row>
        <row r="2227">
          <cell r="A2227">
            <v>2223</v>
          </cell>
          <cell r="B2227" t="str">
            <v xml:space="preserve">09304372        </v>
          </cell>
          <cell r="C2227" t="str">
            <v xml:space="preserve">BALLENA SUBE Y BAJA                     </v>
          </cell>
          <cell r="D2227" t="str">
            <v>LITLE</v>
          </cell>
          <cell r="E2227">
            <v>1521.3</v>
          </cell>
          <cell r="F2227">
            <v>1764.7079999999999</v>
          </cell>
        </row>
        <row r="2228">
          <cell r="A2228">
            <v>2224</v>
          </cell>
          <cell r="B2228" t="str">
            <v xml:space="preserve">09304373        </v>
          </cell>
          <cell r="C2228" t="str">
            <v xml:space="preserve">COCODRILO SUBE Y BAJA                   </v>
          </cell>
          <cell r="D2228" t="str">
            <v>LITLE</v>
          </cell>
          <cell r="E2228">
            <v>2616.8999999999996</v>
          </cell>
          <cell r="F2228">
            <v>3035.6039999999994</v>
          </cell>
        </row>
        <row r="2229">
          <cell r="A2229">
            <v>2225</v>
          </cell>
          <cell r="B2229" t="str">
            <v xml:space="preserve">09304958        </v>
          </cell>
          <cell r="C2229" t="str">
            <v xml:space="preserve">SET DE BASKETBALL AJUSTABLE             </v>
          </cell>
          <cell r="D2229" t="str">
            <v>LITLE</v>
          </cell>
          <cell r="E2229">
            <v>1268.8499999999999</v>
          </cell>
          <cell r="F2229">
            <v>1471.8659999999998</v>
          </cell>
        </row>
        <row r="2230">
          <cell r="A2230">
            <v>2226</v>
          </cell>
          <cell r="B2230" t="str">
            <v xml:space="preserve">7502222550163   </v>
          </cell>
          <cell r="C2230" t="str">
            <v xml:space="preserve">DIDACTI CROMOS LOS OPUESTOS             </v>
          </cell>
          <cell r="D2230" t="str">
            <v xml:space="preserve">LITO </v>
          </cell>
          <cell r="E2230">
            <v>26.4</v>
          </cell>
          <cell r="F2230">
            <v>30.623999999999995</v>
          </cell>
        </row>
        <row r="2231">
          <cell r="A2231">
            <v>2227</v>
          </cell>
          <cell r="B2231" t="str">
            <v xml:space="preserve">7502222550170   </v>
          </cell>
          <cell r="C2231" t="str">
            <v xml:space="preserve">PINTA POR NUMERO 4 modelos              </v>
          </cell>
          <cell r="D2231" t="str">
            <v xml:space="preserve">LITO </v>
          </cell>
          <cell r="E2231">
            <v>23.099999999999998</v>
          </cell>
          <cell r="F2231">
            <v>26.795999999999996</v>
          </cell>
        </row>
        <row r="2232">
          <cell r="A2232">
            <v>2228</v>
          </cell>
          <cell r="B2232" t="str">
            <v xml:space="preserve">7502241500019   </v>
          </cell>
          <cell r="C2232" t="str">
            <v xml:space="preserve">DIDACTI CROMOS LOS COLORES              </v>
          </cell>
          <cell r="D2232" t="str">
            <v xml:space="preserve">LITO </v>
          </cell>
          <cell r="E2232">
            <v>26.4</v>
          </cell>
          <cell r="F2232">
            <v>30.623999999999995</v>
          </cell>
        </row>
        <row r="2233">
          <cell r="A2233">
            <v>2229</v>
          </cell>
          <cell r="B2233" t="str">
            <v xml:space="preserve">7502241500026   </v>
          </cell>
          <cell r="C2233" t="str">
            <v xml:space="preserve">DIDACTI CROMOS LAS VOCALES              </v>
          </cell>
          <cell r="D2233" t="str">
            <v xml:space="preserve">LITO </v>
          </cell>
          <cell r="E2233">
            <v>26.4</v>
          </cell>
          <cell r="F2233">
            <v>30.623999999999995</v>
          </cell>
        </row>
        <row r="2234">
          <cell r="A2234">
            <v>2230</v>
          </cell>
          <cell r="B2234" t="str">
            <v xml:space="preserve">7502241500033   </v>
          </cell>
          <cell r="C2234" t="str">
            <v xml:space="preserve">DIDACTI CROMOS LOS NUMEROS              </v>
          </cell>
          <cell r="D2234" t="str">
            <v xml:space="preserve">LITO </v>
          </cell>
          <cell r="E2234">
            <v>26.4</v>
          </cell>
          <cell r="F2234">
            <v>30.623999999999995</v>
          </cell>
        </row>
        <row r="2235">
          <cell r="A2235">
            <v>2231</v>
          </cell>
          <cell r="B2235" t="str">
            <v xml:space="preserve">7502241500057   </v>
          </cell>
          <cell r="C2235" t="str">
            <v xml:space="preserve">DIDACTI CROMOS EL ABECEDARIO            </v>
          </cell>
          <cell r="D2235" t="str">
            <v xml:space="preserve">LITO </v>
          </cell>
          <cell r="E2235">
            <v>26.4</v>
          </cell>
          <cell r="F2235">
            <v>30.623999999999995</v>
          </cell>
        </row>
        <row r="2236">
          <cell r="A2236">
            <v>2232</v>
          </cell>
          <cell r="B2236" t="str">
            <v xml:space="preserve">7502241500064   </v>
          </cell>
          <cell r="C2236" t="str">
            <v xml:space="preserve">DIDACTI CROMOS MEMORIA DOBLE            </v>
          </cell>
          <cell r="D2236" t="str">
            <v xml:space="preserve">LITO </v>
          </cell>
          <cell r="E2236">
            <v>26.4</v>
          </cell>
          <cell r="F2236">
            <v>30.623999999999995</v>
          </cell>
        </row>
        <row r="2237">
          <cell r="A2237">
            <v>2233</v>
          </cell>
          <cell r="B2237" t="str">
            <v xml:space="preserve">7502241500071   </v>
          </cell>
          <cell r="C2237" t="str">
            <v xml:space="preserve">DIDACTI CROMOS DOMINO DE FIGURAS        </v>
          </cell>
          <cell r="D2237" t="str">
            <v xml:space="preserve">LITO </v>
          </cell>
          <cell r="E2237">
            <v>26.4</v>
          </cell>
          <cell r="F2237">
            <v>30.623999999999995</v>
          </cell>
        </row>
        <row r="2238">
          <cell r="A2238">
            <v>2234</v>
          </cell>
          <cell r="B2238" t="str">
            <v xml:space="preserve">7502241500088   </v>
          </cell>
          <cell r="C2238" t="str">
            <v xml:space="preserve">DIDACTI CROMOS NUMEROS ROMANOS          </v>
          </cell>
          <cell r="D2238" t="str">
            <v xml:space="preserve">LITO </v>
          </cell>
          <cell r="E2238">
            <v>26.4</v>
          </cell>
          <cell r="F2238">
            <v>30.623999999999995</v>
          </cell>
        </row>
        <row r="2239">
          <cell r="A2239">
            <v>2235</v>
          </cell>
          <cell r="B2239" t="str">
            <v xml:space="preserve">7502241500095   </v>
          </cell>
          <cell r="C2239" t="str">
            <v xml:space="preserve">ARMABOL                                 </v>
          </cell>
          <cell r="D2239" t="str">
            <v xml:space="preserve">LITO </v>
          </cell>
          <cell r="E2239">
            <v>23.099999999999998</v>
          </cell>
          <cell r="F2239">
            <v>26.795999999999996</v>
          </cell>
        </row>
        <row r="2240">
          <cell r="A2240">
            <v>2236</v>
          </cell>
          <cell r="B2240" t="str">
            <v xml:space="preserve">7502241500491   </v>
          </cell>
          <cell r="C2240" t="str">
            <v xml:space="preserve">DIDACTI CROMOS 2 ROM. REVOLUCION        </v>
          </cell>
          <cell r="D2240" t="str">
            <v xml:space="preserve">LITO </v>
          </cell>
          <cell r="E2240">
            <v>26.4</v>
          </cell>
          <cell r="F2240">
            <v>30.623999999999995</v>
          </cell>
        </row>
        <row r="2241">
          <cell r="A2241">
            <v>2237</v>
          </cell>
          <cell r="B2241" t="str">
            <v xml:space="preserve">7502241500507   </v>
          </cell>
          <cell r="C2241" t="str">
            <v xml:space="preserve">DIDACT CROMOS CULTURAS AZTECAS          </v>
          </cell>
          <cell r="D2241" t="str">
            <v xml:space="preserve">LITO </v>
          </cell>
          <cell r="E2241">
            <v>26.4</v>
          </cell>
          <cell r="F2241">
            <v>30.623999999999995</v>
          </cell>
        </row>
        <row r="2242">
          <cell r="A2242">
            <v>2238</v>
          </cell>
          <cell r="B2242" t="str">
            <v xml:space="preserve">7502241500545   </v>
          </cell>
          <cell r="C2242" t="str">
            <v>DIDACTICROMO RC DESCUBRIMIENTO Y CONQUIS</v>
          </cell>
          <cell r="D2242" t="str">
            <v xml:space="preserve">LITO </v>
          </cell>
          <cell r="E2242">
            <v>26.4</v>
          </cell>
          <cell r="F2242">
            <v>30.623999999999995</v>
          </cell>
        </row>
        <row r="2243">
          <cell r="A2243">
            <v>2239</v>
          </cell>
          <cell r="B2243" t="str">
            <v xml:space="preserve">7502241500552   </v>
          </cell>
          <cell r="C2243" t="str">
            <v xml:space="preserve">6 TANGRAMS                              </v>
          </cell>
          <cell r="D2243" t="str">
            <v xml:space="preserve">LITO </v>
          </cell>
          <cell r="E2243">
            <v>26.4</v>
          </cell>
          <cell r="F2243">
            <v>30.623999999999995</v>
          </cell>
        </row>
        <row r="2244">
          <cell r="A2244">
            <v>2240</v>
          </cell>
          <cell r="B2244" t="str">
            <v xml:space="preserve">ALBUM           </v>
          </cell>
          <cell r="C2244" t="str">
            <v xml:space="preserve">ALBUM DE CUERPOS GEOMETRICOS            </v>
          </cell>
          <cell r="D2244" t="str">
            <v xml:space="preserve">LITO </v>
          </cell>
          <cell r="E2244">
            <v>24.75</v>
          </cell>
          <cell r="F2244">
            <v>28.709999999999997</v>
          </cell>
        </row>
        <row r="2245">
          <cell r="A2245">
            <v>2241</v>
          </cell>
          <cell r="B2245" t="str">
            <v xml:space="preserve">RELOJES         </v>
          </cell>
          <cell r="C2245" t="str">
            <v xml:space="preserve">PAQUETE 8 RELOJES CARTON                </v>
          </cell>
          <cell r="D2245" t="str">
            <v xml:space="preserve">LITO </v>
          </cell>
          <cell r="E2245">
            <v>26.4</v>
          </cell>
          <cell r="F2245">
            <v>30.623999999999995</v>
          </cell>
        </row>
        <row r="2246">
          <cell r="A2246">
            <v>2242</v>
          </cell>
          <cell r="B2246" t="str">
            <v xml:space="preserve">7503001199009   </v>
          </cell>
          <cell r="C2246" t="str">
            <v xml:space="preserve">TABIQUES 48Pz (C-002)                   </v>
          </cell>
          <cell r="D2246" t="str">
            <v xml:space="preserve">MAC  </v>
          </cell>
          <cell r="E2246">
            <v>39.599999999999994</v>
          </cell>
          <cell r="F2246">
            <v>45.935999999999993</v>
          </cell>
        </row>
        <row r="2247">
          <cell r="A2247">
            <v>2243</v>
          </cell>
          <cell r="B2247" t="str">
            <v xml:space="preserve">7503001199016   </v>
          </cell>
          <cell r="C2247" t="str">
            <v xml:space="preserve">DONA 100Pz (C-001)                      </v>
          </cell>
          <cell r="D2247" t="str">
            <v xml:space="preserve">MAC  </v>
          </cell>
          <cell r="E2247">
            <v>39.599999999999994</v>
          </cell>
          <cell r="F2247">
            <v>45.935999999999993</v>
          </cell>
        </row>
        <row r="2248">
          <cell r="A2248">
            <v>2244</v>
          </cell>
          <cell r="B2248" t="str">
            <v xml:space="preserve">7503001199023   </v>
          </cell>
          <cell r="C2248" t="str">
            <v xml:space="preserve">BILLETES Y MONEDAS 220Pz (C-023)        </v>
          </cell>
          <cell r="D2248" t="str">
            <v xml:space="preserve">MAC  </v>
          </cell>
          <cell r="E2248">
            <v>41.25</v>
          </cell>
          <cell r="F2248">
            <v>47.849999999999994</v>
          </cell>
        </row>
        <row r="2249">
          <cell r="A2249">
            <v>2245</v>
          </cell>
          <cell r="B2249" t="str">
            <v xml:space="preserve">7503001199047   </v>
          </cell>
          <cell r="C2249" t="str">
            <v xml:space="preserve">CUADRITOS BOLSA (C-016)                 </v>
          </cell>
          <cell r="D2249" t="str">
            <v xml:space="preserve">MAC  </v>
          </cell>
          <cell r="E2249">
            <v>41.25</v>
          </cell>
          <cell r="F2249">
            <v>47.849999999999994</v>
          </cell>
        </row>
        <row r="2250">
          <cell r="A2250">
            <v>2246</v>
          </cell>
          <cell r="B2250" t="str">
            <v xml:space="preserve">7503001199054   </v>
          </cell>
          <cell r="C2250" t="str">
            <v xml:space="preserve">HEXAGONO 8Pz (C-017)                    </v>
          </cell>
          <cell r="D2250" t="str">
            <v xml:space="preserve">MAC  </v>
          </cell>
          <cell r="E2250">
            <v>42.899999999999991</v>
          </cell>
          <cell r="F2250">
            <v>49.763999999999989</v>
          </cell>
        </row>
        <row r="2251">
          <cell r="A2251">
            <v>2247</v>
          </cell>
          <cell r="B2251" t="str">
            <v xml:space="preserve">7503001199061   </v>
          </cell>
          <cell r="C2251" t="str">
            <v xml:space="preserve">DEDITOS 28Pz (C-003)                    </v>
          </cell>
          <cell r="D2251" t="str">
            <v xml:space="preserve">MAC  </v>
          </cell>
          <cell r="E2251">
            <v>41.25</v>
          </cell>
          <cell r="F2251">
            <v>47.849999999999994</v>
          </cell>
        </row>
        <row r="2252">
          <cell r="A2252">
            <v>2248</v>
          </cell>
          <cell r="B2252" t="str">
            <v xml:space="preserve">7503001199085   </v>
          </cell>
          <cell r="C2252" t="str">
            <v xml:space="preserve">FLOR 10Pz (C-006)                       </v>
          </cell>
          <cell r="D2252" t="str">
            <v xml:space="preserve">MAC  </v>
          </cell>
          <cell r="E2252">
            <v>39.599999999999994</v>
          </cell>
          <cell r="F2252">
            <v>45.935999999999993</v>
          </cell>
        </row>
        <row r="2253">
          <cell r="A2253">
            <v>2249</v>
          </cell>
          <cell r="B2253" t="str">
            <v xml:space="preserve">7503001199115   </v>
          </cell>
          <cell r="C2253" t="str">
            <v xml:space="preserve">TRONQUITOS 50Pz (BLOCK CONSTRUCTOR)     </v>
          </cell>
          <cell r="D2253" t="str">
            <v xml:space="preserve">MAC  </v>
          </cell>
          <cell r="E2253">
            <v>39.599999999999994</v>
          </cell>
          <cell r="F2253">
            <v>45.935999999999993</v>
          </cell>
        </row>
        <row r="2254">
          <cell r="A2254">
            <v>2250</v>
          </cell>
          <cell r="B2254" t="str">
            <v xml:space="preserve">7503001199146   </v>
          </cell>
          <cell r="C2254" t="str">
            <v xml:space="preserve">CUBOS 12Pz (CUBO JUMBO)                 </v>
          </cell>
          <cell r="D2254" t="str">
            <v xml:space="preserve">MAC  </v>
          </cell>
          <cell r="E2254">
            <v>39.599999999999994</v>
          </cell>
          <cell r="F2254">
            <v>45.935999999999993</v>
          </cell>
        </row>
        <row r="2255">
          <cell r="A2255">
            <v>2251</v>
          </cell>
          <cell r="B2255" t="str">
            <v xml:space="preserve">7503001199207   </v>
          </cell>
          <cell r="C2255" t="str">
            <v xml:space="preserve">CUBITOS 8Pz (C-007)                     </v>
          </cell>
          <cell r="D2255" t="str">
            <v xml:space="preserve">MAC  </v>
          </cell>
          <cell r="E2255">
            <v>41.25</v>
          </cell>
          <cell r="F2255">
            <v>47.849999999999994</v>
          </cell>
        </row>
        <row r="2256">
          <cell r="A2256">
            <v>2252</v>
          </cell>
          <cell r="B2256" t="str">
            <v xml:space="preserve">7503001199214   </v>
          </cell>
          <cell r="C2256" t="str">
            <v xml:space="preserve">TRIANGULOS EN BOLSA 110Pz (C-009)       </v>
          </cell>
          <cell r="D2256" t="str">
            <v xml:space="preserve">MAC  </v>
          </cell>
          <cell r="E2256">
            <v>39.599999999999994</v>
          </cell>
          <cell r="F2256">
            <v>45.935999999999993</v>
          </cell>
        </row>
        <row r="2257">
          <cell r="A2257">
            <v>2253</v>
          </cell>
          <cell r="B2257" t="str">
            <v xml:space="preserve">7503001199245   </v>
          </cell>
          <cell r="C2257" t="str">
            <v xml:space="preserve">ARITO 125Pz (C-024)                     </v>
          </cell>
          <cell r="D2257" t="str">
            <v xml:space="preserve">MAC  </v>
          </cell>
          <cell r="E2257">
            <v>39.599999999999994</v>
          </cell>
          <cell r="F2257">
            <v>45.935999999999993</v>
          </cell>
        </row>
        <row r="2258">
          <cell r="A2258">
            <v>2254</v>
          </cell>
          <cell r="B2258" t="str">
            <v xml:space="preserve">7503001199320   </v>
          </cell>
          <cell r="C2258" t="str">
            <v xml:space="preserve">CADENA DE LETRAS APROXI 90Pz (C-012)    </v>
          </cell>
          <cell r="D2258" t="str">
            <v xml:space="preserve">MAC  </v>
          </cell>
          <cell r="E2258">
            <v>39.599999999999994</v>
          </cell>
          <cell r="F2258">
            <v>45.935999999999993</v>
          </cell>
        </row>
        <row r="2259">
          <cell r="A2259">
            <v>2255</v>
          </cell>
          <cell r="B2259" t="str">
            <v xml:space="preserve">7503001199344   </v>
          </cell>
          <cell r="C2259" t="str">
            <v xml:space="preserve">ESFERA 10Pz (C-013)                     </v>
          </cell>
          <cell r="D2259" t="str">
            <v xml:space="preserve">MAC  </v>
          </cell>
          <cell r="E2259">
            <v>39.599999999999994</v>
          </cell>
          <cell r="F2259">
            <v>45.935999999999993</v>
          </cell>
        </row>
        <row r="2260">
          <cell r="A2260">
            <v>2256</v>
          </cell>
          <cell r="B2260" t="str">
            <v xml:space="preserve">7503001199351   </v>
          </cell>
          <cell r="C2260" t="str">
            <v xml:space="preserve">FICHAS 100Pz (C-010)                    </v>
          </cell>
          <cell r="D2260" t="str">
            <v xml:space="preserve">MAC  </v>
          </cell>
          <cell r="E2260">
            <v>39.599999999999994</v>
          </cell>
          <cell r="F2260">
            <v>45.935999999999993</v>
          </cell>
        </row>
        <row r="2261">
          <cell r="A2261">
            <v>2257</v>
          </cell>
          <cell r="B2261" t="str">
            <v xml:space="preserve">7503001199368   </v>
          </cell>
          <cell r="C2261" t="str">
            <v xml:space="preserve">FORMA H 12Pz (C-004)                    </v>
          </cell>
          <cell r="D2261" t="str">
            <v xml:space="preserve">MAC  </v>
          </cell>
          <cell r="E2261">
            <v>39.599999999999994</v>
          </cell>
          <cell r="F2261">
            <v>45.935999999999993</v>
          </cell>
        </row>
        <row r="2262">
          <cell r="A2262">
            <v>2258</v>
          </cell>
          <cell r="B2262" t="str">
            <v xml:space="preserve">7503001199375   </v>
          </cell>
          <cell r="C2262" t="str">
            <v xml:space="preserve">TUBITOS 12Pz (C-005)                    </v>
          </cell>
          <cell r="D2262" t="str">
            <v xml:space="preserve">MAC  </v>
          </cell>
          <cell r="E2262">
            <v>39.599999999999994</v>
          </cell>
          <cell r="F2262">
            <v>45.935999999999993</v>
          </cell>
        </row>
        <row r="2263">
          <cell r="A2263">
            <v>2259</v>
          </cell>
          <cell r="B2263" t="str">
            <v xml:space="preserve">7503001199450   </v>
          </cell>
          <cell r="C2263" t="str">
            <v xml:space="preserve">ESQUINAS 12Pz (C-018)                   </v>
          </cell>
          <cell r="D2263" t="str">
            <v xml:space="preserve">MAC  </v>
          </cell>
          <cell r="E2263">
            <v>39.599999999999994</v>
          </cell>
          <cell r="F2263">
            <v>45.935999999999993</v>
          </cell>
        </row>
        <row r="2264">
          <cell r="A2264">
            <v>2260</v>
          </cell>
          <cell r="B2264" t="str">
            <v xml:space="preserve">7503001199474   </v>
          </cell>
          <cell r="C2264" t="str">
            <v xml:space="preserve">CURVA 14Pz (C-008)                      </v>
          </cell>
          <cell r="D2264" t="str">
            <v xml:space="preserve">MAC  </v>
          </cell>
          <cell r="E2264">
            <v>39.599999999999994</v>
          </cell>
          <cell r="F2264">
            <v>45.935999999999993</v>
          </cell>
        </row>
        <row r="2265">
          <cell r="A2265">
            <v>2261</v>
          </cell>
          <cell r="B2265" t="str">
            <v xml:space="preserve">7503001199504   </v>
          </cell>
          <cell r="C2265" t="str">
            <v xml:space="preserve">CADENA DE NUMEROS 150 GRS. (C-014)      </v>
          </cell>
          <cell r="D2265" t="str">
            <v xml:space="preserve">MAC  </v>
          </cell>
          <cell r="E2265">
            <v>39.599999999999994</v>
          </cell>
          <cell r="F2265">
            <v>45.935999999999993</v>
          </cell>
        </row>
        <row r="2266">
          <cell r="A2266">
            <v>2262</v>
          </cell>
          <cell r="B2266" t="str">
            <v xml:space="preserve">7501991802503   </v>
          </cell>
          <cell r="C2266" t="str">
            <v xml:space="preserve">TUNEL CON TRANSPARENCIA (60x3.0) mts    </v>
          </cell>
          <cell r="D2266" t="str">
            <v>MACIA</v>
          </cell>
          <cell r="E2266">
            <v>468.6</v>
          </cell>
          <cell r="F2266">
            <v>543.57600000000002</v>
          </cell>
        </row>
        <row r="2267">
          <cell r="A2267">
            <v>2263</v>
          </cell>
          <cell r="B2267" t="str">
            <v xml:space="preserve">7501991802510   </v>
          </cell>
          <cell r="C2267" t="str">
            <v xml:space="preserve">TUNEL CON 8 AROS (60x240) mts           </v>
          </cell>
          <cell r="D2267" t="str">
            <v>MACIA</v>
          </cell>
          <cell r="E2267">
            <v>612.15</v>
          </cell>
          <cell r="F2267">
            <v>710.09399999999994</v>
          </cell>
        </row>
        <row r="2268">
          <cell r="A2268">
            <v>2264</v>
          </cell>
          <cell r="B2268" t="str">
            <v xml:space="preserve">7501991802527   </v>
          </cell>
          <cell r="C2268" t="str">
            <v xml:space="preserve">H93 TUNEL GUSANO (60x2.40)mts 1Pz       </v>
          </cell>
          <cell r="D2268" t="str">
            <v>MACIA</v>
          </cell>
          <cell r="E2268">
            <v>448.8</v>
          </cell>
          <cell r="F2268">
            <v>520.60799999999995</v>
          </cell>
        </row>
        <row r="2269">
          <cell r="A2269">
            <v>2265</v>
          </cell>
          <cell r="B2269" t="str">
            <v xml:space="preserve">7501991802534   </v>
          </cell>
          <cell r="C2269" t="str">
            <v xml:space="preserve">PARACAIDAS 2mts 1Pz                     </v>
          </cell>
          <cell r="D2269" t="str">
            <v>MACIA</v>
          </cell>
          <cell r="E2269">
            <v>354.74999999999994</v>
          </cell>
          <cell r="F2269">
            <v>411.50999999999993</v>
          </cell>
        </row>
        <row r="2270">
          <cell r="A2270">
            <v>2266</v>
          </cell>
          <cell r="B2270" t="str">
            <v xml:space="preserve">7501991802541   </v>
          </cell>
          <cell r="C2270" t="str">
            <v xml:space="preserve">PARACAIDAS 3mts 1Pz                     </v>
          </cell>
          <cell r="D2270" t="str">
            <v>MACIA</v>
          </cell>
          <cell r="E2270">
            <v>424.05</v>
          </cell>
          <cell r="F2270">
            <v>491.89799999999997</v>
          </cell>
        </row>
        <row r="2271">
          <cell r="A2271">
            <v>2267</v>
          </cell>
          <cell r="B2271" t="str">
            <v xml:space="preserve">7501991802558   </v>
          </cell>
          <cell r="C2271" t="str">
            <v xml:space="preserve">PARACAIDAS 2mts CON HOYOS               </v>
          </cell>
          <cell r="D2271" t="str">
            <v>MACIA</v>
          </cell>
          <cell r="E2271">
            <v>400.95</v>
          </cell>
          <cell r="F2271">
            <v>465.10199999999998</v>
          </cell>
        </row>
        <row r="2272">
          <cell r="A2272">
            <v>2268</v>
          </cell>
          <cell r="B2272" t="str">
            <v xml:space="preserve">7501991802565   </v>
          </cell>
          <cell r="C2272" t="str">
            <v xml:space="preserve">PARACAIDAS 3mts CON CANASTA             </v>
          </cell>
          <cell r="D2272" t="str">
            <v>MACIA</v>
          </cell>
          <cell r="E2272">
            <v>470.24999999999994</v>
          </cell>
          <cell r="F2272">
            <v>545.4899999999999</v>
          </cell>
        </row>
        <row r="2273">
          <cell r="A2273">
            <v>2269</v>
          </cell>
          <cell r="B2273" t="str">
            <v xml:space="preserve">7501991802572   </v>
          </cell>
          <cell r="C2273" t="str">
            <v xml:space="preserve">PARACAIDAS 2mts CON CANASTA             </v>
          </cell>
          <cell r="D2273" t="str">
            <v>MACIA</v>
          </cell>
          <cell r="E2273">
            <v>400.95</v>
          </cell>
          <cell r="F2273">
            <v>465.10199999999998</v>
          </cell>
        </row>
        <row r="2274">
          <cell r="A2274">
            <v>2270</v>
          </cell>
          <cell r="B2274" t="str">
            <v xml:space="preserve">7501991802589   </v>
          </cell>
          <cell r="C2274" t="str">
            <v xml:space="preserve">ALBERCA EN BOLSA HANDS 1.5 DIAM         </v>
          </cell>
          <cell r="D2274" t="str">
            <v>MACIA</v>
          </cell>
          <cell r="E2274">
            <v>754.05000000000007</v>
          </cell>
          <cell r="F2274">
            <v>874.69799999999998</v>
          </cell>
        </row>
        <row r="2275">
          <cell r="A2275">
            <v>2271</v>
          </cell>
          <cell r="B2275" t="str">
            <v xml:space="preserve">7501991802596   </v>
          </cell>
          <cell r="C2275" t="str">
            <v xml:space="preserve">COSTAL BRINCOLIN (63x53)cm 1Pz          </v>
          </cell>
          <cell r="D2275" t="str">
            <v>MACIA</v>
          </cell>
          <cell r="E2275">
            <v>105.6</v>
          </cell>
          <cell r="F2275">
            <v>122.49599999999998</v>
          </cell>
        </row>
        <row r="2276">
          <cell r="A2276">
            <v>2272</v>
          </cell>
          <cell r="B2276" t="str">
            <v xml:space="preserve">7501991802602   </v>
          </cell>
          <cell r="C2276" t="str">
            <v>SILLON (ANCHO 50, LARGO 1.20, ALTO 60)cm</v>
          </cell>
          <cell r="D2276" t="str">
            <v>MACIA</v>
          </cell>
          <cell r="E2276">
            <v>684.75</v>
          </cell>
          <cell r="F2276">
            <v>794.31</v>
          </cell>
        </row>
        <row r="2277">
          <cell r="A2277">
            <v>2273</v>
          </cell>
          <cell r="B2277" t="str">
            <v xml:space="preserve">7501991802619   </v>
          </cell>
          <cell r="C2277" t="str">
            <v xml:space="preserve">ALBERCA 1mt. DIAMETRO x 45cm. ALTO      </v>
          </cell>
          <cell r="D2277" t="str">
            <v>MACIA</v>
          </cell>
          <cell r="E2277">
            <v>612.15</v>
          </cell>
          <cell r="F2277">
            <v>710.09399999999994</v>
          </cell>
        </row>
        <row r="2278">
          <cell r="A2278">
            <v>2274</v>
          </cell>
          <cell r="B2278" t="str">
            <v xml:space="preserve">7501991802626   </v>
          </cell>
          <cell r="C2278" t="str">
            <v xml:space="preserve">CASITA MAGICA (90x1.40)cm               </v>
          </cell>
          <cell r="D2278" t="str">
            <v>MACIA</v>
          </cell>
          <cell r="E2278">
            <v>440.54999999999995</v>
          </cell>
          <cell r="F2278">
            <v>511.0379999999999</v>
          </cell>
        </row>
        <row r="2279">
          <cell r="A2279">
            <v>2275</v>
          </cell>
          <cell r="B2279" t="str">
            <v xml:space="preserve">AB1             </v>
          </cell>
          <cell r="C2279" t="str">
            <v xml:space="preserve">ALBERCA EN BOLSA IND 1 MT DIAMETRO      </v>
          </cell>
          <cell r="D2279" t="str">
            <v>MACIA</v>
          </cell>
          <cell r="E2279">
            <v>471.90000000000003</v>
          </cell>
          <cell r="F2279">
            <v>547.404</v>
          </cell>
        </row>
        <row r="2280">
          <cell r="A2280">
            <v>2276</v>
          </cell>
          <cell r="B2280" t="str">
            <v xml:space="preserve">ABI             </v>
          </cell>
          <cell r="C2280" t="str">
            <v xml:space="preserve">ALBERCA EN BOLSA INDIVIDUAL             </v>
          </cell>
          <cell r="D2280" t="str">
            <v>MACIA</v>
          </cell>
          <cell r="E2280">
            <v>471.90000000000003</v>
          </cell>
          <cell r="F2280">
            <v>547.404</v>
          </cell>
        </row>
        <row r="2281">
          <cell r="A2281">
            <v>2277</v>
          </cell>
          <cell r="B2281" t="str">
            <v xml:space="preserve">K-1865          </v>
          </cell>
          <cell r="C2281" t="str">
            <v xml:space="preserve">COLCHONETA PLEGADIZA (110x55x5)cm       </v>
          </cell>
          <cell r="D2281" t="str">
            <v>MACIA</v>
          </cell>
          <cell r="E2281">
            <v>377.84999999999997</v>
          </cell>
          <cell r="F2281">
            <v>438.30599999999993</v>
          </cell>
        </row>
        <row r="2282">
          <cell r="A2282">
            <v>2278</v>
          </cell>
          <cell r="B2282" t="str">
            <v xml:space="preserve">7501991810102   </v>
          </cell>
          <cell r="C2282" t="str">
            <v xml:space="preserve">R.Q. GEOMETRICO 4Pz                     </v>
          </cell>
          <cell r="D2282" t="str">
            <v xml:space="preserve">MAD  </v>
          </cell>
          <cell r="E2282">
            <v>51.15</v>
          </cell>
          <cell r="F2282">
            <v>59.333999999999996</v>
          </cell>
        </row>
        <row r="2283">
          <cell r="A2283">
            <v>2279</v>
          </cell>
          <cell r="B2283" t="str">
            <v xml:space="preserve">7501991810324   </v>
          </cell>
          <cell r="C2283" t="str">
            <v xml:space="preserve">CUBO APILABLE DE MADERA 5Pz             </v>
          </cell>
          <cell r="D2283" t="str">
            <v xml:space="preserve">MAD  </v>
          </cell>
          <cell r="E2283">
            <v>207.9</v>
          </cell>
          <cell r="F2283">
            <v>241.16399999999999</v>
          </cell>
        </row>
        <row r="2284">
          <cell r="A2284">
            <v>2280</v>
          </cell>
          <cell r="B2284" t="str">
            <v xml:space="preserve">7501991810355   </v>
          </cell>
          <cell r="C2284" t="str">
            <v xml:space="preserve">CAJA DE LETRAS MAY. Y MIN.              </v>
          </cell>
          <cell r="D2284" t="str">
            <v xml:space="preserve">MAD  </v>
          </cell>
          <cell r="E2284">
            <v>348.15000000000003</v>
          </cell>
          <cell r="F2284">
            <v>403.85399999999998</v>
          </cell>
        </row>
        <row r="2285">
          <cell r="A2285">
            <v>2281</v>
          </cell>
          <cell r="B2285" t="str">
            <v xml:space="preserve">7501991810485   </v>
          </cell>
          <cell r="C2285" t="str">
            <v xml:space="preserve">CAJA DE HERRAMIENTAS 20Pz               </v>
          </cell>
          <cell r="D2285" t="str">
            <v xml:space="preserve">MAD  </v>
          </cell>
          <cell r="E2285">
            <v>353.09999999999997</v>
          </cell>
          <cell r="F2285">
            <v>409.59599999999995</v>
          </cell>
        </row>
        <row r="2286">
          <cell r="A2286">
            <v>2282</v>
          </cell>
          <cell r="B2286" t="str">
            <v xml:space="preserve">7501991810775   </v>
          </cell>
          <cell r="C2286" t="str">
            <v xml:space="preserve">CUBOS DE COLOR (3.5x3.5)cm 50Pz         </v>
          </cell>
          <cell r="D2286" t="str">
            <v xml:space="preserve">MAD  </v>
          </cell>
          <cell r="E2286">
            <v>198</v>
          </cell>
          <cell r="F2286">
            <v>229.67999999999998</v>
          </cell>
        </row>
        <row r="2287">
          <cell r="A2287">
            <v>2283</v>
          </cell>
          <cell r="B2287" t="str">
            <v xml:space="preserve">7501991810805   </v>
          </cell>
          <cell r="C2287" t="str">
            <v xml:space="preserve">CAJA ALCANCIA 6 CAVIDADES 12Pz          </v>
          </cell>
          <cell r="D2287" t="str">
            <v xml:space="preserve">MAD  </v>
          </cell>
          <cell r="E2287">
            <v>217.79999999999995</v>
          </cell>
          <cell r="F2287">
            <v>252.64799999999994</v>
          </cell>
        </row>
        <row r="2288">
          <cell r="A2288">
            <v>2284</v>
          </cell>
          <cell r="B2288" t="str">
            <v xml:space="preserve">7501991810850   </v>
          </cell>
          <cell r="C2288" t="str">
            <v xml:space="preserve">CUERPOS SOLIDOS GEOMETRICOS 9PZ         </v>
          </cell>
          <cell r="D2288" t="str">
            <v xml:space="preserve">MAD  </v>
          </cell>
          <cell r="E2288">
            <v>232.64999999999998</v>
          </cell>
          <cell r="F2288">
            <v>269.87399999999997</v>
          </cell>
        </row>
        <row r="2289">
          <cell r="A2289">
            <v>2285</v>
          </cell>
          <cell r="B2289" t="str">
            <v xml:space="preserve">7501991810874   </v>
          </cell>
          <cell r="C2289" t="str">
            <v xml:space="preserve">MOSAICO DE COLORES 32Pz                 </v>
          </cell>
          <cell r="D2289" t="str">
            <v xml:space="preserve">MAD  </v>
          </cell>
          <cell r="E2289">
            <v>118.8</v>
          </cell>
          <cell r="F2289">
            <v>137.80799999999999</v>
          </cell>
        </row>
        <row r="2290">
          <cell r="A2290">
            <v>2286</v>
          </cell>
          <cell r="B2290" t="str">
            <v xml:space="preserve">7501991810881   </v>
          </cell>
          <cell r="C2290" t="str">
            <v xml:space="preserve">MOSAICO DE COLORES CON TAPA 32Pz        </v>
          </cell>
          <cell r="D2290" t="str">
            <v xml:space="preserve">MAD  </v>
          </cell>
          <cell r="E2290">
            <v>130.35</v>
          </cell>
          <cell r="F2290">
            <v>151.20599999999999</v>
          </cell>
        </row>
        <row r="2291">
          <cell r="A2291">
            <v>2287</v>
          </cell>
          <cell r="B2291" t="str">
            <v xml:space="preserve">7501991810935   </v>
          </cell>
          <cell r="C2291" t="str">
            <v xml:space="preserve">RC. CHICO R01                           </v>
          </cell>
          <cell r="D2291" t="str">
            <v xml:space="preserve">MAD  </v>
          </cell>
          <cell r="E2291">
            <v>52.8</v>
          </cell>
          <cell r="F2291">
            <v>61.24799999999999</v>
          </cell>
        </row>
        <row r="2292">
          <cell r="A2292">
            <v>2288</v>
          </cell>
          <cell r="B2292" t="str">
            <v xml:space="preserve">7501991810942   </v>
          </cell>
          <cell r="C2292" t="str">
            <v xml:space="preserve">R.C. CHICO RZ DE (15x15)cm              </v>
          </cell>
          <cell r="D2292" t="str">
            <v xml:space="preserve">MAD  </v>
          </cell>
          <cell r="E2292">
            <v>47.85</v>
          </cell>
          <cell r="F2292">
            <v>55.506</v>
          </cell>
        </row>
        <row r="2293">
          <cell r="A2293">
            <v>2289</v>
          </cell>
          <cell r="B2293" t="str">
            <v xml:space="preserve">7501991811055   </v>
          </cell>
          <cell r="C2293" t="str">
            <v xml:space="preserve">R.C. ECON. MOD. NUEVOS 10 ó + Pz        </v>
          </cell>
          <cell r="D2293" t="str">
            <v xml:space="preserve">MAD  </v>
          </cell>
          <cell r="E2293">
            <v>47.85</v>
          </cell>
          <cell r="F2293">
            <v>55.506</v>
          </cell>
        </row>
        <row r="2294">
          <cell r="A2294">
            <v>2290</v>
          </cell>
          <cell r="B2294" t="str">
            <v xml:space="preserve">7501991811086   </v>
          </cell>
          <cell r="C2294" t="str">
            <v xml:space="preserve">R.C. CUERPO HUMANO 12Pz                 </v>
          </cell>
          <cell r="D2294" t="str">
            <v xml:space="preserve">MAD  </v>
          </cell>
          <cell r="E2294">
            <v>191.4</v>
          </cell>
          <cell r="F2294">
            <v>222.024</v>
          </cell>
        </row>
        <row r="2295">
          <cell r="A2295">
            <v>2291</v>
          </cell>
          <cell r="B2295" t="str">
            <v xml:space="preserve">7501991811093   </v>
          </cell>
          <cell r="C2295" t="str">
            <v xml:space="preserve">RC GRANDE BARCO (RM01)                  </v>
          </cell>
          <cell r="D2295" t="str">
            <v xml:space="preserve">MAD  </v>
          </cell>
          <cell r="E2295">
            <v>165</v>
          </cell>
          <cell r="F2295">
            <v>191.39999999999998</v>
          </cell>
        </row>
        <row r="2296">
          <cell r="A2296">
            <v>2292</v>
          </cell>
          <cell r="B2296" t="str">
            <v xml:space="preserve">7501991811215   </v>
          </cell>
          <cell r="C2296" t="str">
            <v xml:space="preserve">AROS Y POSTES CHICO 20Pz                </v>
          </cell>
          <cell r="D2296" t="str">
            <v xml:space="preserve">MAD  </v>
          </cell>
          <cell r="E2296">
            <v>221.10000000000002</v>
          </cell>
          <cell r="F2296">
            <v>256.476</v>
          </cell>
        </row>
        <row r="2297">
          <cell r="A2297">
            <v>2293</v>
          </cell>
          <cell r="B2297" t="str">
            <v xml:space="preserve">7501991811284   </v>
          </cell>
          <cell r="C2297" t="str">
            <v xml:space="preserve">CAJA ALCANCIA 3 TAPAS 13Pz              </v>
          </cell>
          <cell r="D2297" t="str">
            <v xml:space="preserve">MAD  </v>
          </cell>
          <cell r="E2297">
            <v>206.25</v>
          </cell>
          <cell r="F2297">
            <v>239.25</v>
          </cell>
        </row>
        <row r="2298">
          <cell r="A2298">
            <v>2294</v>
          </cell>
          <cell r="B2298" t="str">
            <v xml:space="preserve">7501991811307   </v>
          </cell>
          <cell r="C2298" t="str">
            <v xml:space="preserve">CASA TOBOGAN 6Pz                        </v>
          </cell>
          <cell r="D2298" t="str">
            <v xml:space="preserve">MAD  </v>
          </cell>
          <cell r="E2298">
            <v>273.89999999999998</v>
          </cell>
          <cell r="F2298">
            <v>317.72399999999993</v>
          </cell>
        </row>
        <row r="2299">
          <cell r="A2299">
            <v>2295</v>
          </cell>
          <cell r="B2299" t="str">
            <v xml:space="preserve">7501991811406   </v>
          </cell>
          <cell r="C2299" t="str">
            <v xml:space="preserve">R.C. ASOCIACION MADERA TAMAÑOS          </v>
          </cell>
          <cell r="D2299" t="str">
            <v xml:space="preserve">MAD  </v>
          </cell>
          <cell r="E2299">
            <v>70.95</v>
          </cell>
          <cell r="F2299">
            <v>82.301999999999992</v>
          </cell>
        </row>
        <row r="2300">
          <cell r="A2300">
            <v>2296</v>
          </cell>
          <cell r="B2300" t="str">
            <v xml:space="preserve">7501991811413   </v>
          </cell>
          <cell r="C2300" t="str">
            <v xml:space="preserve">COMPAS DE MADERA 1Pz                    </v>
          </cell>
          <cell r="D2300" t="str">
            <v xml:space="preserve">MAD  </v>
          </cell>
          <cell r="E2300">
            <v>75.900000000000006</v>
          </cell>
          <cell r="F2300">
            <v>88.043999999999997</v>
          </cell>
        </row>
        <row r="2301">
          <cell r="A2301">
            <v>2297</v>
          </cell>
          <cell r="B2301" t="str">
            <v xml:space="preserve">7501991811420   </v>
          </cell>
          <cell r="C2301" t="str">
            <v xml:space="preserve">ESCUADRA DE MADERA GRANDE 1Pz           </v>
          </cell>
          <cell r="D2301" t="str">
            <v xml:space="preserve">MAD  </v>
          </cell>
          <cell r="E2301">
            <v>70.95</v>
          </cell>
          <cell r="F2301">
            <v>82.301999999999992</v>
          </cell>
        </row>
        <row r="2302">
          <cell r="A2302">
            <v>2298</v>
          </cell>
          <cell r="B2302" t="str">
            <v xml:space="preserve">7501991811437   </v>
          </cell>
          <cell r="C2302" t="str">
            <v xml:space="preserve">METRO DE MADERA 1Pz                     </v>
          </cell>
          <cell r="D2302" t="str">
            <v xml:space="preserve">MAD  </v>
          </cell>
          <cell r="E2302">
            <v>42.899999999999991</v>
          </cell>
          <cell r="F2302">
            <v>49.763999999999989</v>
          </cell>
        </row>
        <row r="2303">
          <cell r="A2303">
            <v>2299</v>
          </cell>
          <cell r="B2303" t="str">
            <v xml:space="preserve">7501991811444   </v>
          </cell>
          <cell r="C2303" t="str">
            <v xml:space="preserve">TRANSPORTADOR DE MADERA 1Pz             </v>
          </cell>
          <cell r="D2303" t="str">
            <v xml:space="preserve">MAD  </v>
          </cell>
          <cell r="E2303">
            <v>75.900000000000006</v>
          </cell>
          <cell r="F2303">
            <v>88.043999999999997</v>
          </cell>
        </row>
        <row r="2304">
          <cell r="A2304">
            <v>2300</v>
          </cell>
          <cell r="B2304" t="str">
            <v xml:space="preserve">7501991811451   </v>
          </cell>
          <cell r="C2304" t="str">
            <v xml:space="preserve">ESCUADRA DE MADERA CHICA 1Pz            </v>
          </cell>
          <cell r="D2304" t="str">
            <v xml:space="preserve">MAD  </v>
          </cell>
          <cell r="E2304">
            <v>70.95</v>
          </cell>
          <cell r="F2304">
            <v>82.301999999999992</v>
          </cell>
        </row>
        <row r="2305">
          <cell r="A2305">
            <v>2301</v>
          </cell>
          <cell r="B2305" t="str">
            <v xml:space="preserve">7501991811604   </v>
          </cell>
          <cell r="C2305" t="str">
            <v xml:space="preserve">CABALLO DE TELA 1Pz                     </v>
          </cell>
          <cell r="D2305" t="str">
            <v xml:space="preserve">MAD  </v>
          </cell>
          <cell r="E2305">
            <v>70.95</v>
          </cell>
          <cell r="F2305">
            <v>82.301999999999992</v>
          </cell>
        </row>
        <row r="2306">
          <cell r="A2306">
            <v>2302</v>
          </cell>
          <cell r="B2306" t="str">
            <v xml:space="preserve">7501991811628   </v>
          </cell>
          <cell r="C2306" t="str">
            <v xml:space="preserve">XILOFONO 8 NOTAS 11Pz                   </v>
          </cell>
          <cell r="D2306" t="str">
            <v xml:space="preserve">MAD  </v>
          </cell>
          <cell r="E2306">
            <v>153.44999999999999</v>
          </cell>
          <cell r="F2306">
            <v>178.00199999999998</v>
          </cell>
        </row>
        <row r="2307">
          <cell r="A2307">
            <v>2303</v>
          </cell>
          <cell r="B2307" t="str">
            <v xml:space="preserve">7501991811635   </v>
          </cell>
          <cell r="C2307" t="str">
            <v xml:space="preserve">XILOFONO 25 NOTAS 28Pz                  </v>
          </cell>
          <cell r="D2307" t="str">
            <v xml:space="preserve">MAD  </v>
          </cell>
          <cell r="E2307">
            <v>400.95</v>
          </cell>
          <cell r="F2307">
            <v>465.10199999999998</v>
          </cell>
        </row>
        <row r="2308">
          <cell r="A2308">
            <v>2304</v>
          </cell>
          <cell r="B2308" t="str">
            <v xml:space="preserve">7501991811642   </v>
          </cell>
          <cell r="C2308" t="str">
            <v xml:space="preserve">XILOFONO 15 NOTAS 18Pz                  </v>
          </cell>
          <cell r="D2308" t="str">
            <v xml:space="preserve">MAD  </v>
          </cell>
          <cell r="E2308">
            <v>247.5</v>
          </cell>
          <cell r="F2308">
            <v>287.09999999999997</v>
          </cell>
        </row>
        <row r="2309">
          <cell r="A2309">
            <v>2305</v>
          </cell>
          <cell r="B2309" t="str">
            <v xml:space="preserve">7501991811659   </v>
          </cell>
          <cell r="C2309" t="str">
            <v xml:space="preserve">DOMINO FIGURAS GEOMETRICAS 28Pz         </v>
          </cell>
          <cell r="D2309" t="str">
            <v xml:space="preserve">MAD  </v>
          </cell>
          <cell r="E2309">
            <v>94.05</v>
          </cell>
          <cell r="F2309">
            <v>109.09799999999998</v>
          </cell>
        </row>
        <row r="2310">
          <cell r="A2310">
            <v>2306</v>
          </cell>
          <cell r="B2310" t="str">
            <v xml:space="preserve">7501991811826   </v>
          </cell>
          <cell r="C2310" t="str">
            <v xml:space="preserve">MEMORAMA 9-MODELOS 24Pz                 </v>
          </cell>
          <cell r="D2310" t="str">
            <v xml:space="preserve">MAD  </v>
          </cell>
          <cell r="E2310">
            <v>85.799999999999983</v>
          </cell>
          <cell r="F2310">
            <v>99.527999999999977</v>
          </cell>
        </row>
        <row r="2311">
          <cell r="A2311">
            <v>2307</v>
          </cell>
          <cell r="B2311" t="str">
            <v xml:space="preserve">7501991811901   </v>
          </cell>
          <cell r="C2311" t="str">
            <v xml:space="preserve">ESCALA FRACCIONES 30Pz                  </v>
          </cell>
          <cell r="D2311" t="str">
            <v xml:space="preserve">MAD  </v>
          </cell>
          <cell r="E2311">
            <v>391.0499999999999</v>
          </cell>
          <cell r="F2311">
            <v>453.61799999999988</v>
          </cell>
        </row>
        <row r="2312">
          <cell r="A2312">
            <v>2308</v>
          </cell>
          <cell r="B2312" t="str">
            <v xml:space="preserve">7501991811994   </v>
          </cell>
          <cell r="C2312" t="str">
            <v>R.C. POLIESTER DE (28x22) VARIOS MODELOS</v>
          </cell>
          <cell r="D2312" t="str">
            <v xml:space="preserve">MAD  </v>
          </cell>
          <cell r="E2312">
            <v>66</v>
          </cell>
          <cell r="F2312">
            <v>76.559999999999988</v>
          </cell>
        </row>
        <row r="2313">
          <cell r="A2313">
            <v>2309</v>
          </cell>
          <cell r="B2313" t="str">
            <v xml:space="preserve">7501991812007   </v>
          </cell>
          <cell r="C2313" t="str">
            <v xml:space="preserve">ESCALA RUEDAS y NUMEROS 15Pz            </v>
          </cell>
          <cell r="D2313" t="str">
            <v xml:space="preserve">MAD  </v>
          </cell>
          <cell r="E2313">
            <v>193.05</v>
          </cell>
          <cell r="F2313">
            <v>223.93799999999999</v>
          </cell>
        </row>
        <row r="2314">
          <cell r="A2314">
            <v>2310</v>
          </cell>
          <cell r="B2314" t="str">
            <v xml:space="preserve">7501991812038   </v>
          </cell>
          <cell r="C2314" t="str">
            <v xml:space="preserve">TABLA CLAVIJERO COLORES 16Pz            </v>
          </cell>
          <cell r="D2314" t="str">
            <v xml:space="preserve">MAD  </v>
          </cell>
          <cell r="E2314">
            <v>183.15</v>
          </cell>
          <cell r="F2314">
            <v>212.45399999999998</v>
          </cell>
        </row>
        <row r="2315">
          <cell r="A2315">
            <v>2311</v>
          </cell>
          <cell r="B2315" t="str">
            <v xml:space="preserve">7501991812045   </v>
          </cell>
          <cell r="C2315" t="str">
            <v xml:space="preserve">CLASIFICADOR FORMAS GEOM. 16Pz          </v>
          </cell>
          <cell r="D2315" t="str">
            <v xml:space="preserve">MAD  </v>
          </cell>
          <cell r="E2315">
            <v>199.64999999999998</v>
          </cell>
          <cell r="F2315">
            <v>231.59399999999997</v>
          </cell>
        </row>
        <row r="2316">
          <cell r="A2316">
            <v>2312</v>
          </cell>
          <cell r="B2316" t="str">
            <v xml:space="preserve">7501991812052   </v>
          </cell>
          <cell r="C2316" t="str">
            <v xml:space="preserve">R.Q. FRUTAS y/o VERDURAS GRANDE         </v>
          </cell>
          <cell r="D2316" t="str">
            <v xml:space="preserve">MAD  </v>
          </cell>
          <cell r="E2316">
            <v>165</v>
          </cell>
          <cell r="F2316">
            <v>191.39999999999998</v>
          </cell>
        </row>
        <row r="2317">
          <cell r="A2317">
            <v>2313</v>
          </cell>
          <cell r="B2317" t="str">
            <v xml:space="preserve">7501991812182   </v>
          </cell>
          <cell r="C2317" t="str">
            <v xml:space="preserve">CANIQUERO CON GATO (E247G)              </v>
          </cell>
          <cell r="D2317" t="str">
            <v xml:space="preserve">MAD  </v>
          </cell>
          <cell r="E2317">
            <v>169.95</v>
          </cell>
          <cell r="F2317">
            <v>197.14199999999997</v>
          </cell>
        </row>
        <row r="2318">
          <cell r="A2318">
            <v>2314</v>
          </cell>
          <cell r="B2318" t="str">
            <v xml:space="preserve">7501991812250   </v>
          </cell>
          <cell r="C2318" t="str">
            <v xml:space="preserve">R.C. POLIESTER REP. MEX. ó AMERICA      </v>
          </cell>
          <cell r="D2318" t="str">
            <v xml:space="preserve">MAD  </v>
          </cell>
          <cell r="E2318">
            <v>61.04999999999999</v>
          </cell>
          <cell r="F2318">
            <v>70.817999999999984</v>
          </cell>
        </row>
        <row r="2319">
          <cell r="A2319">
            <v>2315</v>
          </cell>
          <cell r="B2319" t="str">
            <v xml:space="preserve">7501991812267   </v>
          </cell>
          <cell r="C2319" t="str">
            <v xml:space="preserve">R.C. POLIESTER PLANISFERIO              </v>
          </cell>
          <cell r="D2319" t="str">
            <v xml:space="preserve">MAD  </v>
          </cell>
          <cell r="E2319">
            <v>61.04999999999999</v>
          </cell>
          <cell r="F2319">
            <v>70.817999999999984</v>
          </cell>
        </row>
        <row r="2320">
          <cell r="A2320">
            <v>2316</v>
          </cell>
          <cell r="B2320" t="str">
            <v xml:space="preserve">7501991812274   </v>
          </cell>
          <cell r="C2320" t="str">
            <v xml:space="preserve">R.C. POLIESTER D.F.  O AFRICA           </v>
          </cell>
          <cell r="D2320" t="str">
            <v xml:space="preserve">MAD  </v>
          </cell>
          <cell r="E2320">
            <v>61.04999999999999</v>
          </cell>
          <cell r="F2320">
            <v>70.817999999999984</v>
          </cell>
        </row>
        <row r="2321">
          <cell r="A2321">
            <v>2317</v>
          </cell>
          <cell r="B2321" t="str">
            <v xml:space="preserve">7501991812281   </v>
          </cell>
          <cell r="C2321" t="str">
            <v xml:space="preserve">R.C. POLIESTER DISNEY 12Pz              </v>
          </cell>
          <cell r="D2321" t="str">
            <v xml:space="preserve">MAD  </v>
          </cell>
          <cell r="E2321">
            <v>24.75</v>
          </cell>
          <cell r="F2321">
            <v>28.709999999999997</v>
          </cell>
        </row>
        <row r="2322">
          <cell r="A2322">
            <v>2318</v>
          </cell>
          <cell r="B2322" t="str">
            <v xml:space="preserve">7501991812298   </v>
          </cell>
          <cell r="C2322" t="str">
            <v xml:space="preserve">R.Q. DE FRACCIONES EN 4 MOD. 10Pz.      </v>
          </cell>
          <cell r="D2322" t="str">
            <v xml:space="preserve">MAD  </v>
          </cell>
          <cell r="E2322">
            <v>125.4</v>
          </cell>
          <cell r="F2322">
            <v>145.464</v>
          </cell>
        </row>
        <row r="2323">
          <cell r="A2323">
            <v>2319</v>
          </cell>
          <cell r="B2323" t="str">
            <v xml:space="preserve">7501991812342   </v>
          </cell>
          <cell r="C2323" t="str">
            <v xml:space="preserve">CANIQUERO 6Pz                           </v>
          </cell>
          <cell r="D2323" t="str">
            <v xml:space="preserve">MAD  </v>
          </cell>
          <cell r="E2323">
            <v>135.29999999999998</v>
          </cell>
          <cell r="F2323">
            <v>156.94799999999998</v>
          </cell>
        </row>
        <row r="2324">
          <cell r="A2324">
            <v>2320</v>
          </cell>
          <cell r="B2324" t="str">
            <v xml:space="preserve">7501991812359   </v>
          </cell>
          <cell r="C2324" t="str">
            <v xml:space="preserve">R.C. POLIESTER MAPA EUROPA Ò ASIA       </v>
          </cell>
          <cell r="D2324" t="str">
            <v xml:space="preserve">MAD  </v>
          </cell>
          <cell r="E2324">
            <v>61.04999999999999</v>
          </cell>
          <cell r="F2324">
            <v>70.817999999999984</v>
          </cell>
        </row>
        <row r="2325">
          <cell r="A2325">
            <v>2321</v>
          </cell>
          <cell r="B2325" t="str">
            <v xml:space="preserve">7501991812397   </v>
          </cell>
          <cell r="C2325" t="str">
            <v xml:space="preserve">TORRE DE HANOI 8 DISCOS+1BASE           </v>
          </cell>
          <cell r="D2325" t="str">
            <v xml:space="preserve">MAD  </v>
          </cell>
          <cell r="E2325">
            <v>85.799999999999983</v>
          </cell>
          <cell r="F2325">
            <v>99.527999999999977</v>
          </cell>
        </row>
        <row r="2326">
          <cell r="A2326">
            <v>2322</v>
          </cell>
          <cell r="B2326" t="str">
            <v xml:space="preserve">7501991812489   </v>
          </cell>
          <cell r="C2326" t="str">
            <v xml:space="preserve">ABACO VERTICAL 10 HILERAS 101Pz         </v>
          </cell>
          <cell r="D2326" t="str">
            <v xml:space="preserve">MAD  </v>
          </cell>
          <cell r="E2326">
            <v>100.64999999999999</v>
          </cell>
          <cell r="F2326">
            <v>116.75399999999998</v>
          </cell>
        </row>
        <row r="2327">
          <cell r="A2327">
            <v>2323</v>
          </cell>
          <cell r="B2327" t="str">
            <v xml:space="preserve">7501991812809   </v>
          </cell>
          <cell r="C2327" t="str">
            <v xml:space="preserve">TREN GIGANTE DESARMABLE MADERA          </v>
          </cell>
          <cell r="D2327" t="str">
            <v xml:space="preserve">MAD  </v>
          </cell>
          <cell r="E2327">
            <v>518.09999999999991</v>
          </cell>
          <cell r="F2327">
            <v>600.99599999999987</v>
          </cell>
        </row>
        <row r="2328">
          <cell r="A2328">
            <v>2324</v>
          </cell>
          <cell r="B2328" t="str">
            <v xml:space="preserve">7501991813066   </v>
          </cell>
          <cell r="C2328" t="str">
            <v xml:space="preserve">ABACO VERTICAL 9 HILERAS 90Pz           </v>
          </cell>
          <cell r="D2328" t="str">
            <v xml:space="preserve">MAD  </v>
          </cell>
          <cell r="E2328">
            <v>107.24999999999999</v>
          </cell>
          <cell r="F2328">
            <v>124.40999999999998</v>
          </cell>
        </row>
        <row r="2329">
          <cell r="A2329">
            <v>2325</v>
          </cell>
          <cell r="B2329" t="str">
            <v xml:space="preserve">7501991813073   </v>
          </cell>
          <cell r="C2329" t="str">
            <v xml:space="preserve">ABACO VERTICAL 6 HILERAS 60Pz           </v>
          </cell>
          <cell r="D2329" t="str">
            <v xml:space="preserve">MAD  </v>
          </cell>
          <cell r="E2329">
            <v>62.7</v>
          </cell>
          <cell r="F2329">
            <v>72.731999999999999</v>
          </cell>
        </row>
        <row r="2330">
          <cell r="A2330">
            <v>2326</v>
          </cell>
          <cell r="B2330" t="str">
            <v xml:space="preserve">7501991813080   </v>
          </cell>
          <cell r="C2330" t="str">
            <v xml:space="preserve">ABACO VERTICAL 4 HILERAS 40Pz           </v>
          </cell>
          <cell r="D2330" t="str">
            <v xml:space="preserve">MAD  </v>
          </cell>
          <cell r="E2330">
            <v>46.199999999999996</v>
          </cell>
          <cell r="F2330">
            <v>53.591999999999992</v>
          </cell>
        </row>
        <row r="2331">
          <cell r="A2331">
            <v>2327</v>
          </cell>
          <cell r="B2331" t="str">
            <v xml:space="preserve">7501991813097   </v>
          </cell>
          <cell r="C2331" t="str">
            <v xml:space="preserve">ABACO VERTICAL 5 HILERAS 50Pz           </v>
          </cell>
          <cell r="D2331" t="str">
            <v xml:space="preserve">MAD  </v>
          </cell>
          <cell r="E2331">
            <v>56.1</v>
          </cell>
          <cell r="F2331">
            <v>65.075999999999993</v>
          </cell>
        </row>
        <row r="2332">
          <cell r="A2332">
            <v>2328</v>
          </cell>
          <cell r="B2332" t="str">
            <v xml:space="preserve">7501991813103   </v>
          </cell>
          <cell r="C2332" t="str">
            <v xml:space="preserve">ABACO VERTICAL 3 HILERAS 30Pz           </v>
          </cell>
          <cell r="D2332" t="str">
            <v xml:space="preserve">MAD  </v>
          </cell>
          <cell r="E2332">
            <v>39.599999999999994</v>
          </cell>
          <cell r="F2332">
            <v>45.935999999999993</v>
          </cell>
        </row>
        <row r="2333">
          <cell r="A2333">
            <v>2329</v>
          </cell>
          <cell r="B2333" t="str">
            <v xml:space="preserve">7501991813271   </v>
          </cell>
          <cell r="C2333" t="str">
            <v xml:space="preserve">MAPA DE EUROPA SIN PIJA 27Pz            </v>
          </cell>
          <cell r="D2333" t="str">
            <v xml:space="preserve">MAD  </v>
          </cell>
          <cell r="E2333">
            <v>171.59999999999997</v>
          </cell>
          <cell r="F2333">
            <v>199.05599999999995</v>
          </cell>
        </row>
        <row r="2334">
          <cell r="A2334">
            <v>2330</v>
          </cell>
          <cell r="B2334" t="str">
            <v xml:space="preserve">7501991813417   </v>
          </cell>
          <cell r="C2334" t="str">
            <v xml:space="preserve">OSITO TREPADOR 1Pz                      </v>
          </cell>
          <cell r="D2334" t="str">
            <v xml:space="preserve">MAD  </v>
          </cell>
          <cell r="E2334">
            <v>82.5</v>
          </cell>
          <cell r="F2334">
            <v>95.699999999999989</v>
          </cell>
        </row>
        <row r="2335">
          <cell r="A2335">
            <v>2331</v>
          </cell>
          <cell r="B2335" t="str">
            <v xml:space="preserve">7501991813509   </v>
          </cell>
          <cell r="C2335" t="str">
            <v xml:space="preserve">R.Q. MANO DOBLE 12Pz                    </v>
          </cell>
          <cell r="D2335" t="str">
            <v xml:space="preserve">MAD  </v>
          </cell>
          <cell r="E2335">
            <v>122.09999999999998</v>
          </cell>
          <cell r="F2335">
            <v>141.63599999999997</v>
          </cell>
        </row>
        <row r="2336">
          <cell r="A2336">
            <v>2332</v>
          </cell>
          <cell r="B2336" t="str">
            <v xml:space="preserve">7501991813554   </v>
          </cell>
          <cell r="C2336" t="str">
            <v xml:space="preserve">TABLA GEOMETRICA DECRECIENTE 12Pz       </v>
          </cell>
          <cell r="D2336" t="str">
            <v xml:space="preserve">MAD  </v>
          </cell>
          <cell r="E2336">
            <v>249.14999999999998</v>
          </cell>
          <cell r="F2336">
            <v>289.01399999999995</v>
          </cell>
        </row>
        <row r="2337">
          <cell r="A2337">
            <v>2333</v>
          </cell>
          <cell r="B2337" t="str">
            <v xml:space="preserve">7501991813752   </v>
          </cell>
          <cell r="C2337" t="str">
            <v xml:space="preserve">E115A BALANZA DE MADERA 12Pz            </v>
          </cell>
          <cell r="D2337" t="str">
            <v xml:space="preserve">MAD  </v>
          </cell>
          <cell r="E2337">
            <v>155.1</v>
          </cell>
          <cell r="F2337">
            <v>179.91599999999997</v>
          </cell>
        </row>
        <row r="2338">
          <cell r="A2338">
            <v>2334</v>
          </cell>
          <cell r="B2338" t="str">
            <v xml:space="preserve">7501991813776   </v>
          </cell>
          <cell r="C2338" t="str">
            <v xml:space="preserve">NO TE ENFADES/DAMAS CHINAS-INGL.        </v>
          </cell>
          <cell r="D2338" t="str">
            <v xml:space="preserve">MAD  </v>
          </cell>
          <cell r="E2338">
            <v>389.4</v>
          </cell>
          <cell r="F2338">
            <v>451.70399999999995</v>
          </cell>
        </row>
        <row r="2339">
          <cell r="A2339">
            <v>2335</v>
          </cell>
          <cell r="B2339" t="str">
            <v xml:space="preserve">7501991813806   </v>
          </cell>
          <cell r="C2339" t="str">
            <v xml:space="preserve">ABACO CON 5 HILERAS 1Pz                 </v>
          </cell>
          <cell r="D2339" t="str">
            <v xml:space="preserve">MAD  </v>
          </cell>
          <cell r="E2339">
            <v>105.6</v>
          </cell>
          <cell r="F2339">
            <v>122.49599999999998</v>
          </cell>
        </row>
        <row r="2340">
          <cell r="A2340">
            <v>2336</v>
          </cell>
          <cell r="B2340" t="str">
            <v xml:space="preserve">7501991813813   </v>
          </cell>
          <cell r="C2340" t="str">
            <v xml:space="preserve">ABACO No.1 10 HILERAS "CURVO" 1Pz       </v>
          </cell>
          <cell r="D2340" t="str">
            <v xml:space="preserve">MAD  </v>
          </cell>
          <cell r="E2340">
            <v>179.85</v>
          </cell>
          <cell r="F2340">
            <v>208.62599999999998</v>
          </cell>
        </row>
        <row r="2341">
          <cell r="A2341">
            <v>2337</v>
          </cell>
          <cell r="B2341" t="str">
            <v xml:space="preserve">7501991813837   </v>
          </cell>
          <cell r="C2341" t="str">
            <v xml:space="preserve">ABACO No.2 10 HIL."RECTO" 1Pz           </v>
          </cell>
          <cell r="D2341" t="str">
            <v xml:space="preserve">MAD  </v>
          </cell>
          <cell r="E2341">
            <v>176.54999999999998</v>
          </cell>
          <cell r="F2341">
            <v>204.79799999999997</v>
          </cell>
        </row>
        <row r="2342">
          <cell r="A2342">
            <v>2338</v>
          </cell>
          <cell r="B2342" t="str">
            <v xml:space="preserve">7501991813844   </v>
          </cell>
          <cell r="C2342" t="str">
            <v xml:space="preserve">T004 ABACO CON LETRAS 1Pz               </v>
          </cell>
          <cell r="D2342" t="str">
            <v xml:space="preserve">MAD  </v>
          </cell>
          <cell r="E2342">
            <v>191.4</v>
          </cell>
          <cell r="F2342">
            <v>222.024</v>
          </cell>
        </row>
        <row r="2343">
          <cell r="A2343">
            <v>2339</v>
          </cell>
          <cell r="B2343" t="str">
            <v xml:space="preserve">7501991813899   </v>
          </cell>
          <cell r="C2343" t="str">
            <v xml:space="preserve">ARQUITECTO CHICO CON TAPA 57Pz          </v>
          </cell>
          <cell r="D2343" t="str">
            <v xml:space="preserve">MAD  </v>
          </cell>
          <cell r="E2343">
            <v>282.14999999999998</v>
          </cell>
          <cell r="F2343">
            <v>327.29399999999998</v>
          </cell>
        </row>
        <row r="2344">
          <cell r="A2344">
            <v>2340</v>
          </cell>
          <cell r="B2344" t="str">
            <v xml:space="preserve">7501991813905   </v>
          </cell>
          <cell r="C2344" t="str">
            <v xml:space="preserve">AVIONCITO DESARMABLE 11Pz               </v>
          </cell>
          <cell r="D2344" t="str">
            <v xml:space="preserve">MAD  </v>
          </cell>
          <cell r="E2344">
            <v>113.84999999999998</v>
          </cell>
          <cell r="F2344">
            <v>132.06599999999997</v>
          </cell>
        </row>
        <row r="2345">
          <cell r="A2345">
            <v>2341</v>
          </cell>
          <cell r="B2345" t="str">
            <v xml:space="preserve">7501991814001   </v>
          </cell>
          <cell r="C2345" t="str">
            <v xml:space="preserve">METODO DE REGLETAS 2Pz                  </v>
          </cell>
          <cell r="D2345" t="str">
            <v xml:space="preserve">MAD  </v>
          </cell>
          <cell r="E2345">
            <v>115.49999999999997</v>
          </cell>
          <cell r="F2345">
            <v>133.97999999999996</v>
          </cell>
        </row>
        <row r="2346">
          <cell r="A2346">
            <v>2342</v>
          </cell>
          <cell r="B2346" t="str">
            <v xml:space="preserve">7501991814025   </v>
          </cell>
          <cell r="C2346" t="str">
            <v xml:space="preserve">CARRO ABC LETRA SCRIPT 24Pz             </v>
          </cell>
          <cell r="D2346" t="str">
            <v xml:space="preserve">MAD  </v>
          </cell>
          <cell r="E2346">
            <v>282.14999999999998</v>
          </cell>
          <cell r="F2346">
            <v>327.29399999999998</v>
          </cell>
        </row>
        <row r="2347">
          <cell r="A2347">
            <v>2343</v>
          </cell>
          <cell r="B2347" t="str">
            <v xml:space="preserve">7501991814094   </v>
          </cell>
          <cell r="C2347" t="str">
            <v xml:space="preserve">CLASIF.GEOMETRICO DECRECIENTE 20Pz      </v>
          </cell>
          <cell r="D2347" t="str">
            <v xml:space="preserve">MAD  </v>
          </cell>
          <cell r="E2347">
            <v>232.64999999999998</v>
          </cell>
          <cell r="F2347">
            <v>269.87399999999997</v>
          </cell>
        </row>
        <row r="2348">
          <cell r="A2348">
            <v>2344</v>
          </cell>
          <cell r="B2348" t="str">
            <v xml:space="preserve">7501991814124   </v>
          </cell>
          <cell r="C2348" t="str">
            <v xml:space="preserve">DOMINO PUNTOS COLOR GRANDE 28Pz         </v>
          </cell>
          <cell r="D2348" t="str">
            <v xml:space="preserve">MAD  </v>
          </cell>
          <cell r="E2348">
            <v>321.75</v>
          </cell>
          <cell r="F2348">
            <v>373.22999999999996</v>
          </cell>
        </row>
        <row r="2349">
          <cell r="A2349">
            <v>2345</v>
          </cell>
          <cell r="B2349" t="str">
            <v xml:space="preserve">7501991814155   </v>
          </cell>
          <cell r="C2349" t="str">
            <v xml:space="preserve">GOLPEADOR DE CLAVOS 2Pz                 </v>
          </cell>
          <cell r="D2349" t="str">
            <v xml:space="preserve">MAD  </v>
          </cell>
          <cell r="E2349">
            <v>183.15</v>
          </cell>
          <cell r="F2349">
            <v>212.45399999999998</v>
          </cell>
        </row>
        <row r="2350">
          <cell r="A2350">
            <v>2346</v>
          </cell>
          <cell r="B2350" t="str">
            <v xml:space="preserve">7501991814162   </v>
          </cell>
          <cell r="C2350" t="str">
            <v xml:space="preserve">GRUA CON IMAN 8Pz                       </v>
          </cell>
          <cell r="D2350" t="str">
            <v xml:space="preserve">MAD  </v>
          </cell>
          <cell r="E2350">
            <v>127.06649999999999</v>
          </cell>
          <cell r="F2350">
            <v>147.39713999999998</v>
          </cell>
        </row>
        <row r="2351">
          <cell r="A2351">
            <v>2347</v>
          </cell>
          <cell r="B2351" t="str">
            <v xml:space="preserve">7501991814193   </v>
          </cell>
          <cell r="C2351" t="str">
            <v xml:space="preserve">JUEGO AROS OCT.O RED. GDE. 6Pz          </v>
          </cell>
          <cell r="D2351" t="str">
            <v xml:space="preserve">MAD  </v>
          </cell>
          <cell r="E2351">
            <v>265.65000000000003</v>
          </cell>
          <cell r="F2351">
            <v>308.154</v>
          </cell>
        </row>
        <row r="2352">
          <cell r="A2352">
            <v>2348</v>
          </cell>
          <cell r="B2352" t="str">
            <v xml:space="preserve">7501991814209   </v>
          </cell>
          <cell r="C2352" t="str">
            <v xml:space="preserve">JUEGO DE AROS OCT. O RED. CH. 6Pz       </v>
          </cell>
          <cell r="D2352" t="str">
            <v xml:space="preserve">MAD  </v>
          </cell>
          <cell r="E2352">
            <v>176.54999999999998</v>
          </cell>
          <cell r="F2352">
            <v>204.79799999999997</v>
          </cell>
        </row>
        <row r="2353">
          <cell r="A2353">
            <v>2349</v>
          </cell>
          <cell r="B2353" t="str">
            <v xml:space="preserve">7501991814308   </v>
          </cell>
          <cell r="C2353" t="str">
            <v xml:space="preserve">MULTIPLICADOR DOBLE 1Pz                 </v>
          </cell>
          <cell r="D2353" t="str">
            <v xml:space="preserve">MAD  </v>
          </cell>
          <cell r="E2353">
            <v>244.19999999999996</v>
          </cell>
          <cell r="F2353">
            <v>283.27199999999993</v>
          </cell>
        </row>
        <row r="2354">
          <cell r="A2354">
            <v>2350</v>
          </cell>
          <cell r="B2354" t="str">
            <v xml:space="preserve">7501991814315   </v>
          </cell>
          <cell r="C2354" t="str">
            <v xml:space="preserve">MULTIPLICADOR SENCILLO 1Pz              </v>
          </cell>
          <cell r="D2354" t="str">
            <v xml:space="preserve">MAD  </v>
          </cell>
          <cell r="E2354">
            <v>189.74999999999997</v>
          </cell>
          <cell r="F2354">
            <v>220.10999999999996</v>
          </cell>
        </row>
        <row r="2355">
          <cell r="A2355">
            <v>2351</v>
          </cell>
          <cell r="B2355" t="str">
            <v xml:space="preserve">7501991814346   </v>
          </cell>
          <cell r="C2355" t="str">
            <v xml:space="preserve">PIRAMIDE SECCIONADA GRANDE 14Pz         </v>
          </cell>
          <cell r="D2355" t="str">
            <v xml:space="preserve">MAD  </v>
          </cell>
          <cell r="E2355">
            <v>221.10000000000002</v>
          </cell>
          <cell r="F2355">
            <v>256.476</v>
          </cell>
        </row>
        <row r="2356">
          <cell r="A2356">
            <v>2352</v>
          </cell>
          <cell r="B2356" t="str">
            <v xml:space="preserve">7501991814353   </v>
          </cell>
          <cell r="C2356" t="str">
            <v xml:space="preserve">PODADORA DOBLE 1Pz                      </v>
          </cell>
          <cell r="D2356" t="str">
            <v xml:space="preserve">MAD  </v>
          </cell>
          <cell r="E2356">
            <v>201.29999999999998</v>
          </cell>
          <cell r="F2356">
            <v>233.50799999999995</v>
          </cell>
        </row>
        <row r="2357">
          <cell r="A2357">
            <v>2353</v>
          </cell>
          <cell r="B2357" t="str">
            <v xml:space="preserve">7501991814421   </v>
          </cell>
          <cell r="C2357" t="str">
            <v xml:space="preserve">R.C. NIÑO ó NIÑA CHICO                  </v>
          </cell>
          <cell r="D2357" t="str">
            <v xml:space="preserve">MAD  </v>
          </cell>
          <cell r="E2357">
            <v>74.249999999999986</v>
          </cell>
          <cell r="F2357">
            <v>86.129999999999981</v>
          </cell>
        </row>
        <row r="2358">
          <cell r="A2358">
            <v>2354</v>
          </cell>
          <cell r="B2358" t="str">
            <v xml:space="preserve">7501991814438   </v>
          </cell>
          <cell r="C2358" t="str">
            <v xml:space="preserve">R.C. NIÑOóNIÑA FOLKLORE 2,4,5,6Pz       </v>
          </cell>
          <cell r="D2358" t="str">
            <v xml:space="preserve">MAD  </v>
          </cell>
          <cell r="E2358">
            <v>42.899999999999991</v>
          </cell>
          <cell r="F2358">
            <v>49.763999999999989</v>
          </cell>
        </row>
        <row r="2359">
          <cell r="A2359">
            <v>2355</v>
          </cell>
          <cell r="B2359" t="str">
            <v xml:space="preserve">7501991814605   </v>
          </cell>
          <cell r="C2359" t="str">
            <v xml:space="preserve">CUBETA-JUEGO ASEO No.6 1Pz              </v>
          </cell>
          <cell r="D2359" t="str">
            <v xml:space="preserve">MAD  </v>
          </cell>
          <cell r="E2359">
            <v>16.5</v>
          </cell>
          <cell r="F2359">
            <v>19.139999999999997</v>
          </cell>
        </row>
        <row r="2360">
          <cell r="A2360">
            <v>2356</v>
          </cell>
          <cell r="B2360" t="str">
            <v xml:space="preserve">7501991814612   </v>
          </cell>
          <cell r="C2360" t="str">
            <v xml:space="preserve">ESCOBA-JUEGO DE ASEO 1Pz                </v>
          </cell>
          <cell r="D2360" t="str">
            <v xml:space="preserve">MAD  </v>
          </cell>
          <cell r="E2360">
            <v>13.2</v>
          </cell>
          <cell r="F2360">
            <v>15.311999999999998</v>
          </cell>
        </row>
        <row r="2361">
          <cell r="A2361">
            <v>2357</v>
          </cell>
          <cell r="B2361" t="str">
            <v xml:space="preserve">7501991814629   </v>
          </cell>
          <cell r="C2361" t="str">
            <v xml:space="preserve">JALADOR-JUEGO ASEO GRANDE 1Pz           </v>
          </cell>
          <cell r="D2361" t="str">
            <v xml:space="preserve">MAD  </v>
          </cell>
          <cell r="E2361">
            <v>14.85</v>
          </cell>
          <cell r="F2361">
            <v>17.225999999999999</v>
          </cell>
        </row>
        <row r="2362">
          <cell r="A2362">
            <v>2358</v>
          </cell>
          <cell r="B2362" t="str">
            <v xml:space="preserve">7501991814636   </v>
          </cell>
          <cell r="C2362" t="str">
            <v xml:space="preserve">JERGA-JUEGO DE ASEO 1Pz                 </v>
          </cell>
          <cell r="D2362" t="str">
            <v xml:space="preserve">MAD  </v>
          </cell>
          <cell r="E2362">
            <v>4.9499999999999993</v>
          </cell>
          <cell r="F2362">
            <v>5.7419999999999991</v>
          </cell>
        </row>
        <row r="2363">
          <cell r="A2363">
            <v>2359</v>
          </cell>
          <cell r="B2363" t="str">
            <v xml:space="preserve">7501991814643   </v>
          </cell>
          <cell r="C2363" t="str">
            <v xml:space="preserve">MECHUDO-JUEGO DE ASEO 1Pz               </v>
          </cell>
          <cell r="D2363" t="str">
            <v xml:space="preserve">MAD  </v>
          </cell>
          <cell r="E2363">
            <v>8.25</v>
          </cell>
          <cell r="F2363">
            <v>9.5699999999999985</v>
          </cell>
        </row>
        <row r="2364">
          <cell r="A2364">
            <v>2360</v>
          </cell>
          <cell r="B2364" t="str">
            <v xml:space="preserve">7501991814650   </v>
          </cell>
          <cell r="C2364" t="str">
            <v xml:space="preserve">RECOGEDOR-JUEGO DE ASEO 1Pz             </v>
          </cell>
          <cell r="D2364" t="str">
            <v xml:space="preserve">MAD  </v>
          </cell>
          <cell r="E2364">
            <v>8.25</v>
          </cell>
          <cell r="F2364">
            <v>9.5699999999999985</v>
          </cell>
        </row>
        <row r="2365">
          <cell r="A2365">
            <v>2361</v>
          </cell>
          <cell r="B2365" t="str">
            <v xml:space="preserve">7501991814773   </v>
          </cell>
          <cell r="C2365" t="str">
            <v xml:space="preserve">ENSAMBLE ASOCIACION GRANDE 16Pz         </v>
          </cell>
          <cell r="D2365" t="str">
            <v xml:space="preserve">MAD  </v>
          </cell>
          <cell r="E2365">
            <v>201.29999999999998</v>
          </cell>
          <cell r="F2365">
            <v>233.50799999999995</v>
          </cell>
        </row>
        <row r="2366">
          <cell r="A2366">
            <v>2362</v>
          </cell>
          <cell r="B2366" t="str">
            <v xml:space="preserve">7501991814797   </v>
          </cell>
          <cell r="C2366" t="str">
            <v xml:space="preserve">CIUDAD GIGANTE 40 Pz                    </v>
          </cell>
          <cell r="D2366" t="str">
            <v xml:space="preserve">MAD  </v>
          </cell>
          <cell r="E2366">
            <v>1119.5250000000001</v>
          </cell>
          <cell r="F2366">
            <v>1298.6489999999999</v>
          </cell>
        </row>
        <row r="2367">
          <cell r="A2367">
            <v>2363</v>
          </cell>
          <cell r="B2367" t="str">
            <v xml:space="preserve">7501991814841   </v>
          </cell>
          <cell r="C2367" t="str">
            <v xml:space="preserve">TABLA DE TEJER:ANIM / COSAS o DINOS12Pz </v>
          </cell>
          <cell r="D2367" t="str">
            <v xml:space="preserve">MAD  </v>
          </cell>
          <cell r="E2367">
            <v>237.6</v>
          </cell>
          <cell r="F2367">
            <v>275.61599999999999</v>
          </cell>
        </row>
        <row r="2368">
          <cell r="A2368">
            <v>2364</v>
          </cell>
          <cell r="B2368" t="str">
            <v xml:space="preserve">7501991814858   </v>
          </cell>
          <cell r="C2368" t="str">
            <v xml:space="preserve">TABLA DE TEJER:HERRAM. o TRANS.12Pz     </v>
          </cell>
          <cell r="D2368" t="str">
            <v xml:space="preserve">MAD  </v>
          </cell>
          <cell r="E2368">
            <v>237.6</v>
          </cell>
          <cell r="F2368">
            <v>275.61599999999999</v>
          </cell>
        </row>
        <row r="2369">
          <cell r="A2369">
            <v>2365</v>
          </cell>
          <cell r="B2369" t="str">
            <v xml:space="preserve">7501991814865   </v>
          </cell>
          <cell r="C2369" t="str">
            <v xml:space="preserve">TABLA DE TEJER: GEOMETRICA 12Pz         </v>
          </cell>
          <cell r="D2369" t="str">
            <v xml:space="preserve">MAD  </v>
          </cell>
          <cell r="E2369">
            <v>188.1</v>
          </cell>
          <cell r="F2369">
            <v>218.19599999999997</v>
          </cell>
        </row>
        <row r="2370">
          <cell r="A2370">
            <v>2366</v>
          </cell>
          <cell r="B2370" t="str">
            <v xml:space="preserve">7501991814926   </v>
          </cell>
          <cell r="C2370" t="str">
            <v xml:space="preserve">FIGURAS GEOMETRICAS PLANAS 60Pz         </v>
          </cell>
          <cell r="D2370" t="str">
            <v xml:space="preserve">MAD  </v>
          </cell>
          <cell r="E2370">
            <v>155.1</v>
          </cell>
          <cell r="F2370">
            <v>179.91599999999997</v>
          </cell>
        </row>
        <row r="2371">
          <cell r="A2371">
            <v>2367</v>
          </cell>
          <cell r="B2371" t="str">
            <v xml:space="preserve">7501991815015   </v>
          </cell>
          <cell r="C2371" t="str">
            <v xml:space="preserve">R.C. ASOCIACION MADERA OPUESTOS         </v>
          </cell>
          <cell r="D2371" t="str">
            <v xml:space="preserve">MAD  </v>
          </cell>
          <cell r="E2371">
            <v>70.95</v>
          </cell>
          <cell r="F2371">
            <v>82.301999999999992</v>
          </cell>
        </row>
        <row r="2372">
          <cell r="A2372">
            <v>2368</v>
          </cell>
          <cell r="B2372" t="str">
            <v xml:space="preserve">7501991815022   </v>
          </cell>
          <cell r="C2372" t="str">
            <v xml:space="preserve">R.C. ASOCIACION MADERA NUMEROS 20P      </v>
          </cell>
          <cell r="D2372" t="str">
            <v xml:space="preserve">MAD  </v>
          </cell>
          <cell r="E2372">
            <v>70.95</v>
          </cell>
          <cell r="F2372">
            <v>82.301999999999992</v>
          </cell>
        </row>
        <row r="2373">
          <cell r="A2373">
            <v>2369</v>
          </cell>
          <cell r="B2373" t="str">
            <v xml:space="preserve">7501991815060   </v>
          </cell>
          <cell r="C2373" t="str">
            <v xml:space="preserve">R.C. ASOCIACION MADERA VOCALES          </v>
          </cell>
          <cell r="D2373" t="str">
            <v xml:space="preserve">MAD  </v>
          </cell>
          <cell r="E2373">
            <v>70.95</v>
          </cell>
          <cell r="F2373">
            <v>82.301999999999992</v>
          </cell>
        </row>
        <row r="2374">
          <cell r="A2374">
            <v>2370</v>
          </cell>
          <cell r="B2374" t="str">
            <v xml:space="preserve">7501991815473   </v>
          </cell>
          <cell r="C2374" t="str">
            <v xml:space="preserve">GUSANO NUMERICO 12Pz (new)              </v>
          </cell>
          <cell r="D2374" t="str">
            <v xml:space="preserve">MAD  </v>
          </cell>
          <cell r="E2374">
            <v>66</v>
          </cell>
          <cell r="F2374">
            <v>76.559999999999988</v>
          </cell>
        </row>
        <row r="2375">
          <cell r="A2375">
            <v>2371</v>
          </cell>
          <cell r="B2375" t="str">
            <v xml:space="preserve">7501991815763   </v>
          </cell>
          <cell r="C2375" t="str">
            <v xml:space="preserve">JUEGO CUBOS MATUTE MADERA 3Pz           </v>
          </cell>
          <cell r="D2375" t="str">
            <v xml:space="preserve">MAD  </v>
          </cell>
          <cell r="E2375">
            <v>33</v>
          </cell>
          <cell r="F2375">
            <v>38.279999999999994</v>
          </cell>
        </row>
        <row r="2376">
          <cell r="A2376">
            <v>2372</v>
          </cell>
          <cell r="B2376" t="str">
            <v xml:space="preserve">7501991860152   </v>
          </cell>
          <cell r="C2376" t="str">
            <v>R.Q. TRANSPORTES VARIOS C/PIJA 7Pz (new)</v>
          </cell>
          <cell r="D2376" t="str">
            <v xml:space="preserve">MAD  </v>
          </cell>
          <cell r="E2376">
            <v>99</v>
          </cell>
          <cell r="F2376">
            <v>114.83999999999999</v>
          </cell>
        </row>
        <row r="2377">
          <cell r="A2377">
            <v>2373</v>
          </cell>
          <cell r="B2377" t="str">
            <v xml:space="preserve">7501991860237   </v>
          </cell>
          <cell r="C2377" t="str">
            <v>DINOSAURIOS PARA ARMAR DIFERENTES MODELO</v>
          </cell>
          <cell r="D2377" t="str">
            <v xml:space="preserve">MAD  </v>
          </cell>
          <cell r="E2377">
            <v>102.3</v>
          </cell>
          <cell r="F2377">
            <v>118.66799999999999</v>
          </cell>
        </row>
        <row r="2378">
          <cell r="A2378">
            <v>2374</v>
          </cell>
          <cell r="B2378" t="str">
            <v xml:space="preserve">7501991810973   </v>
          </cell>
          <cell r="C2378" t="str">
            <v xml:space="preserve">R.C. BCO. DE 8 a 15Pz (20x20)cm         </v>
          </cell>
          <cell r="D2378" t="str">
            <v xml:space="preserve">MAD1 </v>
          </cell>
          <cell r="E2378">
            <v>37.950000000000003</v>
          </cell>
          <cell r="F2378">
            <v>44.021999999999998</v>
          </cell>
        </row>
        <row r="2379">
          <cell r="A2379">
            <v>2375</v>
          </cell>
          <cell r="B2379" t="str">
            <v xml:space="preserve">7501991811727   </v>
          </cell>
          <cell r="C2379" t="str">
            <v xml:space="preserve">R.C. MEDIANO DISNEY (40x28)cm           </v>
          </cell>
          <cell r="D2379" t="str">
            <v xml:space="preserve">MAD1 </v>
          </cell>
          <cell r="E2379">
            <v>69.3</v>
          </cell>
          <cell r="F2379">
            <v>80.387999999999991</v>
          </cell>
        </row>
        <row r="2380">
          <cell r="A2380">
            <v>2376</v>
          </cell>
          <cell r="B2380" t="str">
            <v xml:space="preserve">7501991815350   </v>
          </cell>
          <cell r="C2380" t="str">
            <v xml:space="preserve">R.C. CON FONDO DE (30x35)cm             </v>
          </cell>
          <cell r="D2380" t="str">
            <v xml:space="preserve">MAD1 </v>
          </cell>
          <cell r="E2380">
            <v>122.09999999999998</v>
          </cell>
          <cell r="F2380">
            <v>141.63599999999997</v>
          </cell>
        </row>
        <row r="2381">
          <cell r="A2381">
            <v>2377</v>
          </cell>
          <cell r="B2381" t="str">
            <v xml:space="preserve">7501991815367   </v>
          </cell>
          <cell r="C2381" t="str">
            <v xml:space="preserve">R.C. BLANCO DE 2 A 6Pz (20x16)cm        </v>
          </cell>
          <cell r="D2381" t="str">
            <v xml:space="preserve">MAD1 </v>
          </cell>
          <cell r="E2381">
            <v>49.5</v>
          </cell>
          <cell r="F2381">
            <v>57.419999999999995</v>
          </cell>
        </row>
        <row r="2382">
          <cell r="A2382">
            <v>2378</v>
          </cell>
          <cell r="B2382" t="str">
            <v xml:space="preserve">7501991815374   </v>
          </cell>
          <cell r="C2382" t="str">
            <v xml:space="preserve">R.C. BLANCO DE 16 a 22Pz (29x21)        </v>
          </cell>
          <cell r="D2382" t="str">
            <v xml:space="preserve">MAD1 </v>
          </cell>
          <cell r="E2382">
            <v>77.55</v>
          </cell>
          <cell r="F2382">
            <v>89.957999999999984</v>
          </cell>
        </row>
        <row r="2383">
          <cell r="A2383">
            <v>2379</v>
          </cell>
          <cell r="B2383" t="str">
            <v xml:space="preserve">7501991815381   </v>
          </cell>
          <cell r="C2383" t="str">
            <v xml:space="preserve">R.C. SUPER ECONOMICO DE (20x20)cm       </v>
          </cell>
          <cell r="D2383" t="str">
            <v xml:space="preserve">MAD1 </v>
          </cell>
          <cell r="E2383">
            <v>46.199999999999996</v>
          </cell>
          <cell r="F2383">
            <v>53.591999999999992</v>
          </cell>
        </row>
        <row r="2384">
          <cell r="A2384">
            <v>2380</v>
          </cell>
          <cell r="B2384" t="str">
            <v xml:space="preserve">7501991815398   </v>
          </cell>
          <cell r="C2384" t="str">
            <v xml:space="preserve">R.C. SUPER ECONOMICO DE (20x16)cm       </v>
          </cell>
          <cell r="D2384" t="str">
            <v xml:space="preserve">MAD1 </v>
          </cell>
          <cell r="E2384">
            <v>39.599999999999994</v>
          </cell>
          <cell r="F2384">
            <v>45.935999999999993</v>
          </cell>
        </row>
        <row r="2385">
          <cell r="A2385">
            <v>2381</v>
          </cell>
          <cell r="B2385" t="str">
            <v xml:space="preserve">7501991815589   </v>
          </cell>
          <cell r="C2385" t="str">
            <v xml:space="preserve">R.C. SUPER ECONOMICOS (29x21)cm         </v>
          </cell>
          <cell r="D2385" t="str">
            <v xml:space="preserve">MAD1 </v>
          </cell>
          <cell r="E2385">
            <v>56.1</v>
          </cell>
          <cell r="F2385">
            <v>65.075999999999993</v>
          </cell>
        </row>
        <row r="2386">
          <cell r="A2386">
            <v>2382</v>
          </cell>
          <cell r="B2386" t="str">
            <v xml:space="preserve">7501991825663   </v>
          </cell>
          <cell r="C2386" t="str">
            <v xml:space="preserve">E038E11 R.C. TEMAS (30x35)cm            </v>
          </cell>
          <cell r="D2386" t="str">
            <v xml:space="preserve">MAD1 </v>
          </cell>
          <cell r="E2386">
            <v>117.15</v>
          </cell>
          <cell r="F2386">
            <v>135.89400000000001</v>
          </cell>
        </row>
        <row r="2387">
          <cell r="A2387">
            <v>2383</v>
          </cell>
          <cell r="B2387" t="str">
            <v xml:space="preserve">7501991825670   </v>
          </cell>
          <cell r="C2387" t="str">
            <v xml:space="preserve">E038E12 R.C. BLANCO REP. MEX. (35x40)cm </v>
          </cell>
          <cell r="D2387" t="str">
            <v xml:space="preserve">MAD1 </v>
          </cell>
          <cell r="E2387">
            <v>122.09999999999998</v>
          </cell>
          <cell r="F2387">
            <v>141.63599999999997</v>
          </cell>
        </row>
        <row r="2388">
          <cell r="A2388">
            <v>2384</v>
          </cell>
          <cell r="B2388" t="str">
            <v xml:space="preserve">7501991810072   </v>
          </cell>
          <cell r="C2388" t="str">
            <v xml:space="preserve">NUMEROS CON ATRIL 48Pz                  </v>
          </cell>
          <cell r="D2388" t="str">
            <v xml:space="preserve">MAD2 </v>
          </cell>
          <cell r="E2388">
            <v>148.49999999999997</v>
          </cell>
          <cell r="F2388">
            <v>172.25999999999996</v>
          </cell>
        </row>
        <row r="2389">
          <cell r="A2389">
            <v>2385</v>
          </cell>
          <cell r="B2389" t="str">
            <v xml:space="preserve">7501991810232   </v>
          </cell>
          <cell r="C2389" t="str">
            <v xml:space="preserve">RELOJ REDONDO GRANDE CON PIJA 12Pz      </v>
          </cell>
          <cell r="D2389" t="str">
            <v xml:space="preserve">MAD2 </v>
          </cell>
          <cell r="E2389">
            <v>176.54999999999998</v>
          </cell>
          <cell r="F2389">
            <v>204.79799999999997</v>
          </cell>
        </row>
        <row r="2390">
          <cell r="A2390">
            <v>2386</v>
          </cell>
          <cell r="B2390" t="str">
            <v xml:space="preserve">7501991810249   </v>
          </cell>
          <cell r="C2390" t="str">
            <v xml:space="preserve">RELOJ REDONDO MEDIANO 12Pz              </v>
          </cell>
          <cell r="D2390" t="str">
            <v xml:space="preserve">MAD2 </v>
          </cell>
          <cell r="E2390">
            <v>153.44999999999999</v>
          </cell>
          <cell r="F2390">
            <v>178.00199999999998</v>
          </cell>
        </row>
        <row r="2391">
          <cell r="A2391">
            <v>2387</v>
          </cell>
          <cell r="B2391" t="str">
            <v xml:space="preserve">7501991810300   </v>
          </cell>
          <cell r="C2391" t="str">
            <v xml:space="preserve">TANGRAM DE MADERA DOBLE 14Pz            </v>
          </cell>
          <cell r="D2391" t="str">
            <v xml:space="preserve">MAD2 </v>
          </cell>
          <cell r="E2391">
            <v>129.52499999999998</v>
          </cell>
          <cell r="F2391">
            <v>150.24899999999997</v>
          </cell>
        </row>
        <row r="2392">
          <cell r="A2392">
            <v>2388</v>
          </cell>
          <cell r="B2392" t="str">
            <v xml:space="preserve">7501991810898   </v>
          </cell>
          <cell r="C2392" t="str">
            <v xml:space="preserve">NIÑO Y NIÑA PARA VESTIR 12Pz            </v>
          </cell>
          <cell r="D2392" t="str">
            <v xml:space="preserve">MAD2 </v>
          </cell>
          <cell r="E2392">
            <v>183.15</v>
          </cell>
          <cell r="F2392">
            <v>212.45399999999998</v>
          </cell>
        </row>
        <row r="2393">
          <cell r="A2393">
            <v>2389</v>
          </cell>
          <cell r="B2393" t="str">
            <v xml:space="preserve">7501991810911   </v>
          </cell>
          <cell r="C2393" t="str">
            <v xml:space="preserve">R.C. DIF. MODELOS DE 2 a 10Pz           </v>
          </cell>
          <cell r="D2393" t="str">
            <v xml:space="preserve">MAD2 </v>
          </cell>
          <cell r="E2393">
            <v>47.85</v>
          </cell>
          <cell r="F2393">
            <v>55.506</v>
          </cell>
        </row>
        <row r="2394">
          <cell r="A2394">
            <v>2390</v>
          </cell>
          <cell r="B2394" t="str">
            <v xml:space="preserve">7501991811345   </v>
          </cell>
          <cell r="C2394" t="str">
            <v xml:space="preserve">DOMINO DE FRUTAS ó FIG.GEOM. 28Pz       </v>
          </cell>
          <cell r="D2394" t="str">
            <v xml:space="preserve">MAD2 </v>
          </cell>
          <cell r="E2394">
            <v>141.9</v>
          </cell>
          <cell r="F2394">
            <v>164.60399999999998</v>
          </cell>
        </row>
        <row r="2395">
          <cell r="A2395">
            <v>2391</v>
          </cell>
          <cell r="B2395" t="str">
            <v xml:space="preserve">7501991811352   </v>
          </cell>
          <cell r="C2395" t="str">
            <v xml:space="preserve">DOMINO DE TRANSPORTES O ZOOL.28Pz       </v>
          </cell>
          <cell r="D2395" t="str">
            <v xml:space="preserve">MAD2 </v>
          </cell>
          <cell r="E2395">
            <v>141.9</v>
          </cell>
          <cell r="F2395">
            <v>164.60399999999998</v>
          </cell>
        </row>
        <row r="2396">
          <cell r="A2396">
            <v>2392</v>
          </cell>
          <cell r="B2396" t="str">
            <v xml:space="preserve">7501991811482   </v>
          </cell>
          <cell r="C2396" t="str">
            <v xml:space="preserve">R.Q. FAMILIA CON PIJA 5Pz               </v>
          </cell>
          <cell r="D2396" t="str">
            <v xml:space="preserve">MAD2 </v>
          </cell>
          <cell r="E2396">
            <v>61.04999999999999</v>
          </cell>
          <cell r="F2396">
            <v>70.817999999999984</v>
          </cell>
        </row>
        <row r="2397">
          <cell r="A2397">
            <v>2393</v>
          </cell>
          <cell r="B2397" t="str">
            <v xml:space="preserve">7501991811543   </v>
          </cell>
          <cell r="C2397" t="str">
            <v xml:space="preserve">TABLA DE FRACCIONES DE COLOR 55Pz       </v>
          </cell>
          <cell r="D2397" t="str">
            <v xml:space="preserve">MAD2 </v>
          </cell>
          <cell r="E2397">
            <v>252.45000000000002</v>
          </cell>
          <cell r="F2397">
            <v>292.84199999999998</v>
          </cell>
        </row>
        <row r="2398">
          <cell r="A2398">
            <v>2394</v>
          </cell>
          <cell r="B2398" t="str">
            <v xml:space="preserve">7501991811703   </v>
          </cell>
          <cell r="C2398" t="str">
            <v xml:space="preserve">R.C. NIÑ0 ó NIÑA GRANDE 12Pz            </v>
          </cell>
          <cell r="D2398" t="str">
            <v xml:space="preserve">MAD2 </v>
          </cell>
          <cell r="E2398">
            <v>216.14999999999998</v>
          </cell>
          <cell r="F2398">
            <v>250.73399999999995</v>
          </cell>
        </row>
        <row r="2399">
          <cell r="A2399">
            <v>2395</v>
          </cell>
          <cell r="B2399" t="str">
            <v xml:space="preserve">7501991811796   </v>
          </cell>
          <cell r="C2399" t="str">
            <v xml:space="preserve">MEMORAMA EN COLOR ANIMALES 20Pz         </v>
          </cell>
          <cell r="D2399" t="str">
            <v xml:space="preserve">MAD2 </v>
          </cell>
          <cell r="E2399">
            <v>67.649999999999991</v>
          </cell>
          <cell r="F2399">
            <v>78.47399999999999</v>
          </cell>
        </row>
        <row r="2400">
          <cell r="A2400">
            <v>2396</v>
          </cell>
          <cell r="B2400" t="str">
            <v xml:space="preserve">7501991812373   </v>
          </cell>
          <cell r="C2400" t="str">
            <v xml:space="preserve">TANGRAM ESTUCHE MADERA 7Pz              </v>
          </cell>
          <cell r="D2400" t="str">
            <v xml:space="preserve">MAD2 </v>
          </cell>
          <cell r="E2400">
            <v>62.7</v>
          </cell>
          <cell r="F2400">
            <v>72.731999999999999</v>
          </cell>
        </row>
        <row r="2401">
          <cell r="A2401">
            <v>2397</v>
          </cell>
          <cell r="B2401" t="str">
            <v xml:space="preserve">7501991812816   </v>
          </cell>
          <cell r="C2401" t="str">
            <v xml:space="preserve">R.Q. FIGURAS GEOMETRICAS 9Pz +          </v>
          </cell>
          <cell r="D2401" t="str">
            <v xml:space="preserve">MAD2 </v>
          </cell>
          <cell r="E2401">
            <v>153.44999999999999</v>
          </cell>
          <cell r="F2401">
            <v>178.00199999999998</v>
          </cell>
        </row>
        <row r="2402">
          <cell r="A2402">
            <v>2398</v>
          </cell>
          <cell r="B2402" t="str">
            <v xml:space="preserve">7501991812939   </v>
          </cell>
          <cell r="C2402" t="str">
            <v xml:space="preserve">R.Q.TORTUGA NUMEROS y LETRAS 41Pz       </v>
          </cell>
          <cell r="D2402" t="str">
            <v xml:space="preserve">MAD2 </v>
          </cell>
          <cell r="E2402">
            <v>160.05000000000001</v>
          </cell>
          <cell r="F2402">
            <v>185.65799999999999</v>
          </cell>
        </row>
        <row r="2403">
          <cell r="A2403">
            <v>2399</v>
          </cell>
          <cell r="B2403" t="str">
            <v xml:space="preserve">7501991813165   </v>
          </cell>
          <cell r="C2403" t="str">
            <v xml:space="preserve">CAJA TORRE TRIANGULAR 10Pz              </v>
          </cell>
          <cell r="D2403" t="str">
            <v xml:space="preserve">MAD2 </v>
          </cell>
          <cell r="E2403">
            <v>353.09999999999997</v>
          </cell>
          <cell r="F2403">
            <v>409.59599999999995</v>
          </cell>
        </row>
        <row r="2404">
          <cell r="A2404">
            <v>2400</v>
          </cell>
          <cell r="B2404" t="str">
            <v xml:space="preserve">7501991813349   </v>
          </cell>
          <cell r="C2404" t="str">
            <v xml:space="preserve">MAPA REP. MEXICANA CON PIJA 25Pz        </v>
          </cell>
          <cell r="D2404" t="str">
            <v xml:space="preserve">MAD2 </v>
          </cell>
          <cell r="E2404">
            <v>160.05000000000001</v>
          </cell>
          <cell r="F2404">
            <v>185.65799999999999</v>
          </cell>
        </row>
        <row r="2405">
          <cell r="A2405">
            <v>2401</v>
          </cell>
          <cell r="B2405" t="str">
            <v xml:space="preserve">7501991813356   </v>
          </cell>
          <cell r="C2405" t="str">
            <v xml:space="preserve">MAPA REPUBLICA MEXICANA REALZADO        </v>
          </cell>
          <cell r="D2405" t="str">
            <v xml:space="preserve">MAD2 </v>
          </cell>
          <cell r="E2405">
            <v>169.95</v>
          </cell>
          <cell r="F2405">
            <v>197.14199999999997</v>
          </cell>
        </row>
        <row r="2406">
          <cell r="A2406">
            <v>2402</v>
          </cell>
          <cell r="B2406" t="str">
            <v xml:space="preserve">7501991813677   </v>
          </cell>
          <cell r="C2406" t="str">
            <v xml:space="preserve">R.Q. GRANJA                             </v>
          </cell>
          <cell r="D2406" t="str">
            <v xml:space="preserve">MAD2 </v>
          </cell>
          <cell r="E2406">
            <v>89.1</v>
          </cell>
          <cell r="F2406">
            <v>103.35599999999998</v>
          </cell>
        </row>
        <row r="2407">
          <cell r="A2407">
            <v>2403</v>
          </cell>
          <cell r="B2407" t="str">
            <v xml:space="preserve">7501991813684   </v>
          </cell>
          <cell r="C2407" t="str">
            <v xml:space="preserve">R.Q. DEL MAR 7Pz                        </v>
          </cell>
          <cell r="D2407" t="str">
            <v xml:space="preserve">MAD2 </v>
          </cell>
          <cell r="E2407">
            <v>89.1</v>
          </cell>
          <cell r="F2407">
            <v>103.35599999999998</v>
          </cell>
        </row>
        <row r="2408">
          <cell r="A2408">
            <v>2404</v>
          </cell>
          <cell r="B2408" t="str">
            <v xml:space="preserve">7501991814469   </v>
          </cell>
          <cell r="C2408" t="str">
            <v xml:space="preserve">R.Q. GEOMETRICO LARGO 5Pz               </v>
          </cell>
          <cell r="D2408" t="str">
            <v xml:space="preserve">MAD2 </v>
          </cell>
          <cell r="E2408">
            <v>94.05</v>
          </cell>
          <cell r="F2408">
            <v>109.09799999999998</v>
          </cell>
        </row>
        <row r="2409">
          <cell r="A2409">
            <v>2405</v>
          </cell>
          <cell r="B2409" t="str">
            <v xml:space="preserve">7501991815237   </v>
          </cell>
          <cell r="C2409" t="str">
            <v xml:space="preserve">CAJA LETRAS MINUSCULAS C/ATRIL 60Pz     </v>
          </cell>
          <cell r="D2409" t="str">
            <v xml:space="preserve">MAD2 </v>
          </cell>
          <cell r="E2409">
            <v>254.1</v>
          </cell>
          <cell r="F2409">
            <v>294.75599999999997</v>
          </cell>
        </row>
        <row r="2410">
          <cell r="A2410">
            <v>2406</v>
          </cell>
          <cell r="B2410" t="str">
            <v xml:space="preserve">7501991810003   </v>
          </cell>
          <cell r="C2410" t="str">
            <v xml:space="preserve">A02 CAJON DE BOLEO SIN ACCESORIOS       </v>
          </cell>
          <cell r="D2410" t="str">
            <v xml:space="preserve">MAD3 </v>
          </cell>
          <cell r="E2410">
            <v>66</v>
          </cell>
          <cell r="F2410">
            <v>76.559999999999988</v>
          </cell>
        </row>
        <row r="2411">
          <cell r="A2411">
            <v>2407</v>
          </cell>
          <cell r="B2411" t="str">
            <v xml:space="preserve">7501991810010   </v>
          </cell>
          <cell r="C2411" t="str">
            <v xml:space="preserve">A02. ACCESORIOS CAJON DE BOLEO 3Pz      </v>
          </cell>
          <cell r="D2411" t="str">
            <v xml:space="preserve">MAD3 </v>
          </cell>
          <cell r="E2411">
            <v>66</v>
          </cell>
          <cell r="F2411">
            <v>76.559999999999988</v>
          </cell>
        </row>
        <row r="2412">
          <cell r="A2412">
            <v>2408</v>
          </cell>
          <cell r="B2412" t="str">
            <v xml:space="preserve">7501991811277   </v>
          </cell>
          <cell r="C2412" t="str">
            <v xml:space="preserve">BARRA DE EQUILIBRIO 7Pz                 </v>
          </cell>
          <cell r="D2412" t="str">
            <v xml:space="preserve">MAD3 </v>
          </cell>
          <cell r="E2412">
            <v>734.24999999999989</v>
          </cell>
          <cell r="F2412">
            <v>851.72999999999979</v>
          </cell>
        </row>
        <row r="2413">
          <cell r="A2413">
            <v>2409</v>
          </cell>
          <cell r="B2413" t="str">
            <v xml:space="preserve">7501991812403   </v>
          </cell>
          <cell r="C2413" t="str">
            <v xml:space="preserve">TEATRO FIJO DESARMABLE(80x78)cm3Pz      </v>
          </cell>
          <cell r="D2413" t="str">
            <v xml:space="preserve">MAD3 </v>
          </cell>
          <cell r="E2413">
            <v>343.19999999999993</v>
          </cell>
          <cell r="F2413">
            <v>398.11199999999991</v>
          </cell>
        </row>
        <row r="2414">
          <cell r="A2414">
            <v>2410</v>
          </cell>
          <cell r="B2414" t="str">
            <v xml:space="preserve">7501991812410   </v>
          </cell>
          <cell r="C2414" t="str">
            <v xml:space="preserve">TEATRINO DIGITAL 1Pz                    </v>
          </cell>
          <cell r="D2414" t="str">
            <v xml:space="preserve">MAD3 </v>
          </cell>
          <cell r="E2414">
            <v>150.15</v>
          </cell>
          <cell r="F2414">
            <v>174.17399999999998</v>
          </cell>
        </row>
        <row r="2415">
          <cell r="A2415">
            <v>2411</v>
          </cell>
          <cell r="B2415" t="str">
            <v xml:space="preserve">7501991812632   </v>
          </cell>
          <cell r="C2415" t="str">
            <v xml:space="preserve">JARDINERA CON ACCESORIOS 11Pz           </v>
          </cell>
          <cell r="D2415" t="str">
            <v xml:space="preserve">MAD3 </v>
          </cell>
          <cell r="E2415">
            <v>331.65000000000003</v>
          </cell>
          <cell r="F2415">
            <v>384.714</v>
          </cell>
        </row>
        <row r="2416">
          <cell r="A2416">
            <v>2412</v>
          </cell>
          <cell r="B2416" t="str">
            <v xml:space="preserve">7501991812656   </v>
          </cell>
          <cell r="C2416" t="str">
            <v xml:space="preserve">TRICICLO TRICOLOR 1Pz                   </v>
          </cell>
          <cell r="D2416" t="str">
            <v xml:space="preserve">MAD3 </v>
          </cell>
          <cell r="E2416">
            <v>377.84999999999997</v>
          </cell>
          <cell r="F2416">
            <v>438.30599999999993</v>
          </cell>
        </row>
        <row r="2417">
          <cell r="A2417">
            <v>2413</v>
          </cell>
          <cell r="B2417" t="str">
            <v xml:space="preserve">7501991812748   </v>
          </cell>
          <cell r="C2417" t="str">
            <v xml:space="preserve">BARRA DE EQUILIBRIO 1.20mts. 3Pz        </v>
          </cell>
          <cell r="D2417" t="str">
            <v xml:space="preserve">MAD3 </v>
          </cell>
          <cell r="E2417">
            <v>265.65000000000003</v>
          </cell>
          <cell r="F2417">
            <v>308.154</v>
          </cell>
        </row>
        <row r="2418">
          <cell r="A2418">
            <v>2414</v>
          </cell>
          <cell r="B2418" t="str">
            <v xml:space="preserve">7501991812755   </v>
          </cell>
          <cell r="C2418" t="str">
            <v xml:space="preserve">R.Q. DE FRACCIONES CUADRADO 18Pz        </v>
          </cell>
          <cell r="D2418" t="str">
            <v xml:space="preserve">MAD3 </v>
          </cell>
          <cell r="E2418">
            <v>173.25</v>
          </cell>
          <cell r="F2418">
            <v>200.96999999999997</v>
          </cell>
        </row>
        <row r="2419">
          <cell r="A2419">
            <v>2415</v>
          </cell>
          <cell r="B2419" t="str">
            <v xml:space="preserve">7501991812779   </v>
          </cell>
          <cell r="C2419" t="str">
            <v xml:space="preserve">BLOQUES LOGICO C/DADOS EN BOTE 48Pz     </v>
          </cell>
          <cell r="D2419" t="str">
            <v xml:space="preserve">MAD3 </v>
          </cell>
          <cell r="E2419">
            <v>153.44999999999999</v>
          </cell>
          <cell r="F2419">
            <v>178.00199999999998</v>
          </cell>
        </row>
        <row r="2420">
          <cell r="A2420">
            <v>2416</v>
          </cell>
          <cell r="B2420" t="str">
            <v xml:space="preserve">7501991813110   </v>
          </cell>
          <cell r="C2420" t="str">
            <v xml:space="preserve">BURRO y PLANCHA DE MADERA 2Pz           </v>
          </cell>
          <cell r="D2420" t="str">
            <v xml:space="preserve">MAD3 </v>
          </cell>
          <cell r="E2420">
            <v>163.34999999999997</v>
          </cell>
          <cell r="F2420">
            <v>189.48599999999996</v>
          </cell>
        </row>
        <row r="2421">
          <cell r="A2421">
            <v>2417</v>
          </cell>
          <cell r="B2421" t="str">
            <v xml:space="preserve">7501991813912   </v>
          </cell>
          <cell r="C2421" t="str">
            <v xml:space="preserve">BALANCIN DE MADERA 2Pz                  </v>
          </cell>
          <cell r="D2421" t="str">
            <v xml:space="preserve">MAD3 </v>
          </cell>
          <cell r="E2421">
            <v>166.65</v>
          </cell>
          <cell r="F2421">
            <v>193.31399999999999</v>
          </cell>
        </row>
        <row r="2422">
          <cell r="A2422">
            <v>2418</v>
          </cell>
          <cell r="B2422" t="str">
            <v xml:space="preserve">7501991814599   </v>
          </cell>
          <cell r="C2422" t="str">
            <v xml:space="preserve">BASE JGO.ASEO RECOGEDOR MAD.2Pz         </v>
          </cell>
          <cell r="D2422" t="str">
            <v xml:space="preserve">MAD3 </v>
          </cell>
          <cell r="E2422">
            <v>97.35</v>
          </cell>
          <cell r="F2422">
            <v>112.92599999999999</v>
          </cell>
        </row>
        <row r="2423">
          <cell r="A2423">
            <v>2419</v>
          </cell>
          <cell r="B2423" t="str">
            <v xml:space="preserve">7501991815107   </v>
          </cell>
          <cell r="C2423" t="str">
            <v xml:space="preserve">LABERINTO CALIGRAFIA 1Pz                </v>
          </cell>
          <cell r="D2423" t="str">
            <v xml:space="preserve">MAD3 </v>
          </cell>
          <cell r="E2423">
            <v>217.79999999999995</v>
          </cell>
          <cell r="F2423">
            <v>252.64799999999994</v>
          </cell>
        </row>
        <row r="2424">
          <cell r="A2424">
            <v>2420</v>
          </cell>
          <cell r="B2424" t="str">
            <v xml:space="preserve">7501991816135   </v>
          </cell>
          <cell r="C2424" t="str">
            <v xml:space="preserve">BASE DE ASEO NUEVA CIRCULAR             </v>
          </cell>
          <cell r="D2424" t="str">
            <v xml:space="preserve">MAD3 </v>
          </cell>
          <cell r="E2424">
            <v>89.1</v>
          </cell>
          <cell r="F2424">
            <v>103.35599999999998</v>
          </cell>
        </row>
        <row r="2425">
          <cell r="A2425">
            <v>2421</v>
          </cell>
          <cell r="B2425" t="str">
            <v xml:space="preserve">7501991810034   </v>
          </cell>
          <cell r="C2425" t="str">
            <v xml:space="preserve">A03A DOMINO GIGANTE FRUTAS 28Pz         </v>
          </cell>
          <cell r="D2425" t="str">
            <v xml:space="preserve">MAD4 </v>
          </cell>
          <cell r="E2425">
            <v>221.10000000000002</v>
          </cell>
          <cell r="F2425">
            <v>256.476</v>
          </cell>
        </row>
        <row r="2426">
          <cell r="A2426">
            <v>2422</v>
          </cell>
          <cell r="B2426" t="str">
            <v xml:space="preserve">7501991811123   </v>
          </cell>
          <cell r="C2426" t="str">
            <v xml:space="preserve">MINI-DOMINO FRUTAS 28Pz                 </v>
          </cell>
          <cell r="D2426" t="str">
            <v xml:space="preserve">MAD4 </v>
          </cell>
          <cell r="E2426">
            <v>72.599999999999994</v>
          </cell>
          <cell r="F2426">
            <v>84.215999999999994</v>
          </cell>
        </row>
        <row r="2427">
          <cell r="A2427">
            <v>2423</v>
          </cell>
          <cell r="B2427" t="str">
            <v xml:space="preserve">7501991811178   </v>
          </cell>
          <cell r="C2427" t="str">
            <v xml:space="preserve">TARJETERO DE 6-TEXTURAS 1Pz             </v>
          </cell>
          <cell r="D2427" t="str">
            <v xml:space="preserve">MAD4 </v>
          </cell>
          <cell r="E2427">
            <v>37.950000000000003</v>
          </cell>
          <cell r="F2427">
            <v>44.021999999999998</v>
          </cell>
        </row>
        <row r="2428">
          <cell r="A2428">
            <v>2424</v>
          </cell>
          <cell r="B2428" t="str">
            <v xml:space="preserve">7501991811376   </v>
          </cell>
          <cell r="C2428" t="str">
            <v xml:space="preserve">ESCALERA CHANGUERA 1Pz                  </v>
          </cell>
          <cell r="D2428" t="str">
            <v xml:space="preserve">MAD4 </v>
          </cell>
          <cell r="E2428">
            <v>115.49999999999997</v>
          </cell>
          <cell r="F2428">
            <v>133.97999999999996</v>
          </cell>
        </row>
        <row r="2429">
          <cell r="A2429">
            <v>2425</v>
          </cell>
          <cell r="B2429" t="str">
            <v xml:space="preserve">7501991811765   </v>
          </cell>
          <cell r="C2429" t="str">
            <v xml:space="preserve">ALFABETICON CHICO 11Pz                  </v>
          </cell>
          <cell r="D2429" t="str">
            <v xml:space="preserve">MAD4 </v>
          </cell>
          <cell r="E2429">
            <v>67.649999999999991</v>
          </cell>
          <cell r="F2429">
            <v>78.47399999999999</v>
          </cell>
        </row>
        <row r="2430">
          <cell r="A2430">
            <v>2426</v>
          </cell>
          <cell r="B2430" t="str">
            <v xml:space="preserve">7501991811789   </v>
          </cell>
          <cell r="C2430" t="str">
            <v xml:space="preserve">PRUEBA MONTERREY 10Pz                   </v>
          </cell>
          <cell r="D2430" t="str">
            <v xml:space="preserve">MAD4 </v>
          </cell>
          <cell r="E2430">
            <v>23.099999999999998</v>
          </cell>
          <cell r="F2430">
            <v>26.795999999999996</v>
          </cell>
        </row>
        <row r="2431">
          <cell r="A2431">
            <v>2427</v>
          </cell>
          <cell r="B2431" t="str">
            <v xml:space="preserve">7501991813448   </v>
          </cell>
          <cell r="C2431" t="str">
            <v xml:space="preserve">PROGRESION DE CIRCULOS 1-5 15Pz         </v>
          </cell>
          <cell r="D2431" t="str">
            <v xml:space="preserve">MAD4 </v>
          </cell>
          <cell r="E2431">
            <v>132</v>
          </cell>
          <cell r="F2431">
            <v>153.11999999999998</v>
          </cell>
        </row>
        <row r="2432">
          <cell r="A2432">
            <v>2428</v>
          </cell>
          <cell r="B2432" t="str">
            <v xml:space="preserve">7501991813585   </v>
          </cell>
          <cell r="C2432" t="str">
            <v xml:space="preserve">TABLA DE TEJER VOCALES-NUMEROS 1Pz      </v>
          </cell>
          <cell r="D2432" t="str">
            <v xml:space="preserve">MAD4 </v>
          </cell>
          <cell r="E2432">
            <v>67.649999999999991</v>
          </cell>
          <cell r="F2432">
            <v>78.47399999999999</v>
          </cell>
        </row>
        <row r="2433">
          <cell r="A2433">
            <v>2429</v>
          </cell>
          <cell r="B2433" t="str">
            <v xml:space="preserve">7501991815244   </v>
          </cell>
          <cell r="C2433" t="str">
            <v xml:space="preserve">CABALLETE MINI 80CM VERDE/VERDE/BCO     </v>
          </cell>
          <cell r="D2433" t="str">
            <v xml:space="preserve">MAD4 </v>
          </cell>
          <cell r="E2433">
            <v>445.5</v>
          </cell>
          <cell r="F2433">
            <v>516.78</v>
          </cell>
        </row>
        <row r="2434">
          <cell r="A2434">
            <v>2430</v>
          </cell>
          <cell r="B2434" t="str">
            <v xml:space="preserve">7501991815251   </v>
          </cell>
          <cell r="C2434" t="str">
            <v xml:space="preserve">CABALLETE VERDE - BLANCO GRANDE 1Pz     </v>
          </cell>
          <cell r="D2434" t="str">
            <v xml:space="preserve">MAD4 </v>
          </cell>
          <cell r="E2434">
            <v>542.84999999999991</v>
          </cell>
          <cell r="F2434">
            <v>629.7059999999999</v>
          </cell>
        </row>
        <row r="2435">
          <cell r="A2435">
            <v>2431</v>
          </cell>
          <cell r="B2435" t="str">
            <v xml:space="preserve">7501991815268   </v>
          </cell>
          <cell r="C2435" t="str">
            <v xml:space="preserve">CABALLETE VERDE - VERDE GRANDE 1Pz      </v>
          </cell>
          <cell r="D2435" t="str">
            <v xml:space="preserve">MAD4 </v>
          </cell>
          <cell r="E2435">
            <v>542.84999999999991</v>
          </cell>
          <cell r="F2435">
            <v>629.7059999999999</v>
          </cell>
        </row>
        <row r="2436">
          <cell r="A2436">
            <v>2432</v>
          </cell>
          <cell r="B2436" t="str">
            <v xml:space="preserve">7501991815329   </v>
          </cell>
          <cell r="C2436" t="str">
            <v xml:space="preserve">TEATRO JUMBO BLANCO (80x1.20)cm         </v>
          </cell>
          <cell r="D2436" t="str">
            <v xml:space="preserve">MAD4 </v>
          </cell>
          <cell r="E2436">
            <v>1001.5500000000001</v>
          </cell>
          <cell r="F2436">
            <v>1161.798</v>
          </cell>
        </row>
        <row r="2437">
          <cell r="A2437">
            <v>2433</v>
          </cell>
          <cell r="B2437" t="str">
            <v xml:space="preserve">7501991815770   </v>
          </cell>
          <cell r="C2437" t="str">
            <v xml:space="preserve">MINI DOMINO FIGURAS GEOMETRICAS         </v>
          </cell>
          <cell r="D2437" t="str">
            <v xml:space="preserve">MAD4 </v>
          </cell>
          <cell r="E2437">
            <v>72.599999999999994</v>
          </cell>
          <cell r="F2437">
            <v>84.215999999999994</v>
          </cell>
        </row>
        <row r="2438">
          <cell r="A2438">
            <v>2434</v>
          </cell>
          <cell r="B2438" t="str">
            <v xml:space="preserve">7501991815794   </v>
          </cell>
          <cell r="C2438" t="str">
            <v xml:space="preserve">MINI DOMINO DINOSAURIOS                 </v>
          </cell>
          <cell r="D2438" t="str">
            <v xml:space="preserve">MAD4 </v>
          </cell>
          <cell r="E2438">
            <v>72.599999999999994</v>
          </cell>
          <cell r="F2438">
            <v>84.215999999999994</v>
          </cell>
        </row>
        <row r="2439">
          <cell r="A2439">
            <v>2435</v>
          </cell>
          <cell r="B2439" t="str">
            <v xml:space="preserve">7501991815831   </v>
          </cell>
          <cell r="C2439" t="str">
            <v xml:space="preserve">MINI DOMINO ESTADOS DE ANIMO 28Pz       </v>
          </cell>
          <cell r="D2439" t="str">
            <v xml:space="preserve">MAD4 </v>
          </cell>
          <cell r="E2439">
            <v>72.599999999999994</v>
          </cell>
          <cell r="F2439">
            <v>84.215999999999994</v>
          </cell>
        </row>
        <row r="2440">
          <cell r="A2440">
            <v>2436</v>
          </cell>
          <cell r="B2440" t="str">
            <v xml:space="preserve">7501991816050   </v>
          </cell>
          <cell r="C2440" t="str">
            <v xml:space="preserve">K47 TABLA DE TEJER TREN-AVION 1Pz       </v>
          </cell>
          <cell r="D2440" t="str">
            <v xml:space="preserve">MAD4 </v>
          </cell>
          <cell r="E2440">
            <v>67.649999999999991</v>
          </cell>
          <cell r="F2440">
            <v>78.47399999999999</v>
          </cell>
        </row>
        <row r="2441">
          <cell r="A2441">
            <v>2437</v>
          </cell>
          <cell r="B2441" t="str">
            <v xml:space="preserve">7501991816067   </v>
          </cell>
          <cell r="C2441" t="str">
            <v xml:space="preserve">K47 TABLA DE TEJER CASA-PINO 1 Pz       </v>
          </cell>
          <cell r="D2441" t="str">
            <v xml:space="preserve">MAD4 </v>
          </cell>
          <cell r="E2441">
            <v>67.649999999999991</v>
          </cell>
          <cell r="F2441">
            <v>78.47399999999999</v>
          </cell>
        </row>
        <row r="2442">
          <cell r="A2442">
            <v>2438</v>
          </cell>
          <cell r="B2442" t="str">
            <v xml:space="preserve">7501991816074   </v>
          </cell>
          <cell r="C2442" t="str">
            <v xml:space="preserve">K47 TABLA DE TEJER FIG. GEOM.-PATO 1PZ  </v>
          </cell>
          <cell r="D2442" t="str">
            <v xml:space="preserve">MAD4 </v>
          </cell>
          <cell r="E2442">
            <v>67.649999999999991</v>
          </cell>
          <cell r="F2442">
            <v>78.47399999999999</v>
          </cell>
        </row>
        <row r="2443">
          <cell r="A2443">
            <v>2439</v>
          </cell>
          <cell r="B2443" t="str">
            <v xml:space="preserve">7501991816081   </v>
          </cell>
          <cell r="C2443" t="str">
            <v xml:space="preserve">K47 TABLA DE TEJER BARCO-CISNE 1Pz      </v>
          </cell>
          <cell r="D2443" t="str">
            <v xml:space="preserve">MAD4 </v>
          </cell>
          <cell r="E2443">
            <v>67.649999999999991</v>
          </cell>
          <cell r="F2443">
            <v>78.47399999999999</v>
          </cell>
        </row>
        <row r="2444">
          <cell r="A2444">
            <v>2440</v>
          </cell>
          <cell r="B2444" t="str">
            <v xml:space="preserve">7501991810744   </v>
          </cell>
          <cell r="C2444" t="str">
            <v xml:space="preserve">ARQUITECTO GRANDE SIN TAPA 75Pz         </v>
          </cell>
          <cell r="D2444" t="str">
            <v xml:space="preserve">MAD5 </v>
          </cell>
          <cell r="E2444">
            <v>305.25</v>
          </cell>
          <cell r="F2444">
            <v>354.09</v>
          </cell>
        </row>
        <row r="2445">
          <cell r="A2445">
            <v>2441</v>
          </cell>
          <cell r="B2445" t="str">
            <v xml:space="preserve">7501991811130   </v>
          </cell>
          <cell r="C2445" t="str">
            <v xml:space="preserve">TABLA NUMEROS Y CONJUNTOS 19Pz          </v>
          </cell>
          <cell r="D2445" t="str">
            <v xml:space="preserve">MAD5 </v>
          </cell>
          <cell r="E2445">
            <v>146.85</v>
          </cell>
          <cell r="F2445">
            <v>170.34599999999998</v>
          </cell>
        </row>
        <row r="2446">
          <cell r="A2446">
            <v>2442</v>
          </cell>
          <cell r="B2446" t="str">
            <v xml:space="preserve">7501991811888   </v>
          </cell>
          <cell r="C2446" t="str">
            <v xml:space="preserve">CUBOS  LETRAS SCRIP O CURSIVA 30Pz      </v>
          </cell>
          <cell r="D2446" t="str">
            <v xml:space="preserve">MAD5 </v>
          </cell>
          <cell r="E2446">
            <v>135.29999999999998</v>
          </cell>
          <cell r="F2446">
            <v>156.94799999999998</v>
          </cell>
        </row>
        <row r="2447">
          <cell r="A2447">
            <v>2443</v>
          </cell>
          <cell r="B2447" t="str">
            <v xml:space="preserve">7501991814018   </v>
          </cell>
          <cell r="C2447" t="str">
            <v xml:space="preserve">CARRO ABC LETRA CURSIVA 24Pz            </v>
          </cell>
          <cell r="D2447" t="str">
            <v xml:space="preserve">MAD5 </v>
          </cell>
          <cell r="E2447">
            <v>298.64999999999998</v>
          </cell>
          <cell r="F2447">
            <v>346.43399999999997</v>
          </cell>
        </row>
        <row r="2448">
          <cell r="A2448">
            <v>2444</v>
          </cell>
          <cell r="B2448" t="str">
            <v xml:space="preserve">7501991810096   </v>
          </cell>
          <cell r="C2448" t="str">
            <v xml:space="preserve">R.Q. ANIMALITOS                         </v>
          </cell>
          <cell r="D2448" t="str">
            <v xml:space="preserve">MAD6 </v>
          </cell>
          <cell r="E2448">
            <v>46.199999999999996</v>
          </cell>
          <cell r="F2448">
            <v>53.591999999999992</v>
          </cell>
        </row>
        <row r="2449">
          <cell r="A2449">
            <v>2445</v>
          </cell>
          <cell r="B2449" t="str">
            <v xml:space="preserve">7501991810119   </v>
          </cell>
          <cell r="C2449" t="str">
            <v xml:space="preserve">R.Q. MARIPOSA 4Pz                       </v>
          </cell>
          <cell r="D2449" t="str">
            <v xml:space="preserve">MAD6 </v>
          </cell>
          <cell r="E2449">
            <v>46.199999999999996</v>
          </cell>
          <cell r="F2449">
            <v>53.591999999999992</v>
          </cell>
        </row>
        <row r="2450">
          <cell r="A2450">
            <v>2446</v>
          </cell>
          <cell r="B2450" t="str">
            <v xml:space="preserve">7501991810126   </v>
          </cell>
          <cell r="C2450" t="str">
            <v xml:space="preserve">R.Q. FRUTAS 5Pz                         </v>
          </cell>
          <cell r="D2450" t="str">
            <v xml:space="preserve">MAD6 </v>
          </cell>
          <cell r="E2450">
            <v>80.849999999999994</v>
          </cell>
          <cell r="F2450">
            <v>93.785999999999987</v>
          </cell>
        </row>
        <row r="2451">
          <cell r="A2451">
            <v>2447</v>
          </cell>
          <cell r="B2451" t="str">
            <v xml:space="preserve">7501991810164   </v>
          </cell>
          <cell r="C2451" t="str">
            <v xml:space="preserve">R.Q. SEC. PEZ ó SEC. MANZANA 4Pz        </v>
          </cell>
          <cell r="D2451" t="str">
            <v xml:space="preserve">MAD6 </v>
          </cell>
          <cell r="E2451">
            <v>46.199999999999996</v>
          </cell>
          <cell r="F2451">
            <v>53.591999999999992</v>
          </cell>
        </row>
        <row r="2452">
          <cell r="A2452">
            <v>2448</v>
          </cell>
          <cell r="B2452" t="str">
            <v xml:space="preserve">7501991810621   </v>
          </cell>
          <cell r="C2452" t="str">
            <v xml:space="preserve">DOMINO SEÑALES DE TRANSITO 28Pz         </v>
          </cell>
          <cell r="D2452" t="str">
            <v xml:space="preserve">MAD6 </v>
          </cell>
          <cell r="E2452">
            <v>128.69999999999999</v>
          </cell>
          <cell r="F2452">
            <v>149.29199999999997</v>
          </cell>
        </row>
        <row r="2453">
          <cell r="A2453">
            <v>2449</v>
          </cell>
          <cell r="B2453" t="str">
            <v xml:space="preserve">7501991810638   </v>
          </cell>
          <cell r="C2453" t="str">
            <v xml:space="preserve">DOMINO ANIMALES 28Pz                    </v>
          </cell>
          <cell r="D2453" t="str">
            <v xml:space="preserve">MAD6 </v>
          </cell>
          <cell r="E2453">
            <v>138.6</v>
          </cell>
          <cell r="F2453">
            <v>160.77599999999998</v>
          </cell>
        </row>
        <row r="2454">
          <cell r="A2454">
            <v>2450</v>
          </cell>
          <cell r="B2454" t="str">
            <v xml:space="preserve">7501991810645   </v>
          </cell>
          <cell r="C2454" t="str">
            <v xml:space="preserve">DOMINO ADICION (+) 28Pz                 </v>
          </cell>
          <cell r="D2454" t="str">
            <v xml:space="preserve">MAD6 </v>
          </cell>
          <cell r="E2454">
            <v>138.6</v>
          </cell>
          <cell r="F2454">
            <v>160.77599999999998</v>
          </cell>
        </row>
        <row r="2455">
          <cell r="A2455">
            <v>2451</v>
          </cell>
          <cell r="B2455" t="str">
            <v xml:space="preserve">7501991810652   </v>
          </cell>
          <cell r="C2455" t="str">
            <v xml:space="preserve">DOMINO SUBSTRACCION (-) 28Pz            </v>
          </cell>
          <cell r="D2455" t="str">
            <v xml:space="preserve">MAD6 </v>
          </cell>
          <cell r="E2455">
            <v>138.6</v>
          </cell>
          <cell r="F2455">
            <v>160.77599999999998</v>
          </cell>
        </row>
        <row r="2456">
          <cell r="A2456">
            <v>2452</v>
          </cell>
          <cell r="B2456" t="str">
            <v xml:space="preserve">7501991810669   </v>
          </cell>
          <cell r="C2456" t="str">
            <v xml:space="preserve">DOMINO DIVISION 28Pz                    </v>
          </cell>
          <cell r="D2456" t="str">
            <v xml:space="preserve">MAD6 </v>
          </cell>
          <cell r="E2456">
            <v>138.6</v>
          </cell>
          <cell r="F2456">
            <v>160.77599999999998</v>
          </cell>
        </row>
        <row r="2457">
          <cell r="A2457">
            <v>2453</v>
          </cell>
          <cell r="B2457" t="str">
            <v xml:space="preserve">7501991810676   </v>
          </cell>
          <cell r="C2457" t="str">
            <v xml:space="preserve">DOMINO MULTIPLICACIÓN (x) 28Pz          </v>
          </cell>
          <cell r="D2457" t="str">
            <v xml:space="preserve">MAD6 </v>
          </cell>
          <cell r="E2457">
            <v>138.6</v>
          </cell>
          <cell r="F2457">
            <v>160.77599999999998</v>
          </cell>
        </row>
        <row r="2458">
          <cell r="A2458">
            <v>2454</v>
          </cell>
          <cell r="B2458" t="str">
            <v xml:space="preserve">7501991810683   </v>
          </cell>
          <cell r="C2458" t="str">
            <v xml:space="preserve">DOMINO NUMERICO 28Pz                    </v>
          </cell>
          <cell r="D2458" t="str">
            <v xml:space="preserve">MAD6 </v>
          </cell>
          <cell r="E2458">
            <v>138.6</v>
          </cell>
          <cell r="F2458">
            <v>160.77599999999998</v>
          </cell>
        </row>
        <row r="2459">
          <cell r="A2459">
            <v>2455</v>
          </cell>
          <cell r="B2459" t="str">
            <v xml:space="preserve">7501991810690   </v>
          </cell>
          <cell r="C2459" t="str">
            <v xml:space="preserve">DOMINO CANTIDAD 28Pz                    </v>
          </cell>
          <cell r="D2459" t="str">
            <v xml:space="preserve">MAD6 </v>
          </cell>
          <cell r="E2459">
            <v>138.6</v>
          </cell>
          <cell r="F2459">
            <v>160.77599999999998</v>
          </cell>
        </row>
        <row r="2460">
          <cell r="A2460">
            <v>2456</v>
          </cell>
          <cell r="B2460" t="str">
            <v xml:space="preserve">7501991810706   </v>
          </cell>
          <cell r="C2460" t="str">
            <v xml:space="preserve">DOMINO FRACCIONES 28Pz                  </v>
          </cell>
          <cell r="D2460" t="str">
            <v xml:space="preserve">MAD6 </v>
          </cell>
          <cell r="E2460">
            <v>138.6</v>
          </cell>
          <cell r="F2460">
            <v>160.77599999999998</v>
          </cell>
        </row>
        <row r="2461">
          <cell r="A2461">
            <v>2457</v>
          </cell>
          <cell r="B2461" t="str">
            <v xml:space="preserve">7501991810713   </v>
          </cell>
          <cell r="C2461" t="str">
            <v xml:space="preserve">DOMINO DECIMAL 28Pz                     </v>
          </cell>
          <cell r="D2461" t="str">
            <v xml:space="preserve">MAD6 </v>
          </cell>
          <cell r="E2461">
            <v>138.6</v>
          </cell>
          <cell r="F2461">
            <v>160.77599999999998</v>
          </cell>
        </row>
        <row r="2462">
          <cell r="A2462">
            <v>2458</v>
          </cell>
          <cell r="B2462" t="str">
            <v xml:space="preserve">7501991810720   </v>
          </cell>
          <cell r="C2462" t="str">
            <v xml:space="preserve">DOMINO FORMAS GEOMETRICAS 28Pz          </v>
          </cell>
          <cell r="D2462" t="str">
            <v xml:space="preserve">MAD6 </v>
          </cell>
          <cell r="E2462">
            <v>138.6</v>
          </cell>
          <cell r="F2462">
            <v>160.77599999999998</v>
          </cell>
        </row>
        <row r="2463">
          <cell r="A2463">
            <v>2459</v>
          </cell>
          <cell r="B2463" t="str">
            <v xml:space="preserve">7501991811109   </v>
          </cell>
          <cell r="C2463" t="str">
            <v xml:space="preserve">SECUENCIAS TEMPORALES 24Pz              </v>
          </cell>
          <cell r="D2463" t="str">
            <v xml:space="preserve">MAD6 </v>
          </cell>
          <cell r="E2463">
            <v>206.25</v>
          </cell>
          <cell r="F2463">
            <v>239.25</v>
          </cell>
        </row>
        <row r="2464">
          <cell r="A2464">
            <v>2460</v>
          </cell>
          <cell r="B2464" t="str">
            <v xml:space="preserve">7501991811512   </v>
          </cell>
          <cell r="C2464" t="str">
            <v xml:space="preserve">DOMINO DE NUM/CONJ ó SERV.PUB.28Pz      </v>
          </cell>
          <cell r="D2464" t="str">
            <v xml:space="preserve">MAD6 </v>
          </cell>
          <cell r="E2464">
            <v>222.75</v>
          </cell>
          <cell r="F2464">
            <v>258.39</v>
          </cell>
        </row>
        <row r="2465">
          <cell r="A2465">
            <v>2461</v>
          </cell>
          <cell r="B2465" t="str">
            <v xml:space="preserve">7501991811529   </v>
          </cell>
          <cell r="C2465" t="str">
            <v xml:space="preserve">DOMINO FORMAS ó VALORES 28Pz            </v>
          </cell>
          <cell r="D2465" t="str">
            <v xml:space="preserve">MAD6 </v>
          </cell>
          <cell r="E2465">
            <v>222.75</v>
          </cell>
          <cell r="F2465">
            <v>258.39</v>
          </cell>
        </row>
        <row r="2466">
          <cell r="A2466">
            <v>2462</v>
          </cell>
          <cell r="B2466" t="str">
            <v xml:space="preserve">7501991811536   </v>
          </cell>
          <cell r="C2466" t="str">
            <v xml:space="preserve">ASOCIACION LET-FIG-PALABRA 84Pz         </v>
          </cell>
          <cell r="D2466" t="str">
            <v xml:space="preserve">MAD6 </v>
          </cell>
          <cell r="E2466">
            <v>242.54999999999998</v>
          </cell>
          <cell r="F2466">
            <v>281.35799999999995</v>
          </cell>
        </row>
        <row r="2467">
          <cell r="A2467">
            <v>2463</v>
          </cell>
          <cell r="B2467" t="str">
            <v xml:space="preserve">7501991811970   </v>
          </cell>
          <cell r="C2467" t="str">
            <v xml:space="preserve">RELACIONA LOS OBJETOS (ASOCIACION)      </v>
          </cell>
          <cell r="D2467" t="str">
            <v xml:space="preserve">MAD6 </v>
          </cell>
          <cell r="E2467">
            <v>242.54999999999998</v>
          </cell>
          <cell r="F2467">
            <v>281.35799999999995</v>
          </cell>
        </row>
        <row r="2468">
          <cell r="A2468">
            <v>2464</v>
          </cell>
          <cell r="B2468" t="str">
            <v xml:space="preserve">7501991812069   </v>
          </cell>
          <cell r="C2468" t="str">
            <v xml:space="preserve">DOMINO DE COLORES 28Pz                  </v>
          </cell>
          <cell r="D2468" t="str">
            <v xml:space="preserve">MAD6 </v>
          </cell>
          <cell r="E2468">
            <v>138.6</v>
          </cell>
          <cell r="F2468">
            <v>160.77599999999998</v>
          </cell>
        </row>
        <row r="2469">
          <cell r="A2469">
            <v>2465</v>
          </cell>
          <cell r="B2469" t="str">
            <v xml:space="preserve">7501991812106   </v>
          </cell>
          <cell r="C2469" t="str">
            <v xml:space="preserve">DOMINO ANIMALES GRANJA y/o ZOOL. 28Pz   </v>
          </cell>
          <cell r="D2469" t="str">
            <v xml:space="preserve">MAD6 </v>
          </cell>
          <cell r="E2469">
            <v>122.09999999999998</v>
          </cell>
          <cell r="F2469">
            <v>141.63599999999997</v>
          </cell>
        </row>
        <row r="2470">
          <cell r="A2470">
            <v>2466</v>
          </cell>
          <cell r="B2470" t="str">
            <v xml:space="preserve">7501991812113   </v>
          </cell>
          <cell r="C2470" t="str">
            <v xml:space="preserve">DOMINO ARITMETICO 28Pz                  </v>
          </cell>
          <cell r="D2470" t="str">
            <v xml:space="preserve">MAD6 </v>
          </cell>
          <cell r="E2470">
            <v>148.49999999999997</v>
          </cell>
          <cell r="F2470">
            <v>172.25999999999996</v>
          </cell>
        </row>
        <row r="2471">
          <cell r="A2471">
            <v>2467</v>
          </cell>
          <cell r="B2471" t="str">
            <v xml:space="preserve">7501991812120   </v>
          </cell>
          <cell r="C2471" t="str">
            <v xml:space="preserve">CAJA DE NUMEROS Y SIGNOS 96Pz           </v>
          </cell>
          <cell r="D2471" t="str">
            <v xml:space="preserve">MAD6 </v>
          </cell>
          <cell r="E2471">
            <v>184.79999999999998</v>
          </cell>
          <cell r="F2471">
            <v>214.36799999999997</v>
          </cell>
        </row>
        <row r="2472">
          <cell r="A2472">
            <v>2468</v>
          </cell>
          <cell r="B2472" t="str">
            <v xml:space="preserve">7501991812137   </v>
          </cell>
          <cell r="C2472" t="str">
            <v xml:space="preserve">E198 MEMORAMA TRANSPORTES 24Pz          </v>
          </cell>
          <cell r="D2472" t="str">
            <v xml:space="preserve">MAD6 </v>
          </cell>
          <cell r="E2472">
            <v>94.05</v>
          </cell>
          <cell r="F2472">
            <v>109.09799999999998</v>
          </cell>
        </row>
        <row r="2473">
          <cell r="A2473">
            <v>2469</v>
          </cell>
          <cell r="B2473" t="str">
            <v xml:space="preserve">7501991812380   </v>
          </cell>
          <cell r="C2473" t="str">
            <v xml:space="preserve">CAJA ALCANCIA 5 FIGURAS 10Pz            </v>
          </cell>
          <cell r="D2473" t="str">
            <v xml:space="preserve">MAD6 </v>
          </cell>
          <cell r="E2473">
            <v>133.65</v>
          </cell>
          <cell r="F2473">
            <v>155.03399999999999</v>
          </cell>
        </row>
        <row r="2474">
          <cell r="A2474">
            <v>2470</v>
          </cell>
          <cell r="B2474" t="str">
            <v xml:space="preserve">7501991813967   </v>
          </cell>
          <cell r="C2474" t="str">
            <v xml:space="preserve">CAJA ALCANCIA 5 CAVIDADES 10Pz          </v>
          </cell>
          <cell r="D2474" t="str">
            <v xml:space="preserve">MAD6 </v>
          </cell>
          <cell r="E2474">
            <v>130.35</v>
          </cell>
          <cell r="F2474">
            <v>151.20599999999999</v>
          </cell>
        </row>
        <row r="2475">
          <cell r="A2475">
            <v>2471</v>
          </cell>
          <cell r="B2475" t="str">
            <v xml:space="preserve">7501991814452   </v>
          </cell>
          <cell r="C2475" t="str">
            <v xml:space="preserve">R.Q. GEOM.DECRECIENTE EN 3 MOD 5Pz      </v>
          </cell>
          <cell r="D2475" t="str">
            <v xml:space="preserve">MAD6 </v>
          </cell>
          <cell r="E2475">
            <v>80.849999999999994</v>
          </cell>
          <cell r="F2475">
            <v>93.785999999999987</v>
          </cell>
        </row>
        <row r="2476">
          <cell r="A2476">
            <v>2472</v>
          </cell>
          <cell r="B2476" t="str">
            <v xml:space="preserve">7501991815749   </v>
          </cell>
          <cell r="C2476" t="str">
            <v xml:space="preserve">CAJA DE FUTBOL MEDIANA                  </v>
          </cell>
          <cell r="D2476" t="str">
            <v xml:space="preserve">MAD6 </v>
          </cell>
          <cell r="E2476">
            <v>207.9</v>
          </cell>
          <cell r="F2476">
            <v>241.16399999999999</v>
          </cell>
        </row>
        <row r="2477">
          <cell r="A2477">
            <v>2473</v>
          </cell>
          <cell r="B2477" t="str">
            <v xml:space="preserve">7501991815848   </v>
          </cell>
          <cell r="C2477" t="str">
            <v xml:space="preserve">R.Q. SEC. MANZANA CON GUSANO            </v>
          </cell>
          <cell r="D2477" t="str">
            <v xml:space="preserve">MAD6 </v>
          </cell>
          <cell r="E2477">
            <v>46.199999999999996</v>
          </cell>
          <cell r="F2477">
            <v>53.591999999999992</v>
          </cell>
        </row>
        <row r="2478">
          <cell r="A2478">
            <v>2474</v>
          </cell>
          <cell r="B2478" t="str">
            <v xml:space="preserve">7501991815855   </v>
          </cell>
          <cell r="C2478" t="str">
            <v xml:space="preserve">R.Q. SECUENCIA POLLO                    </v>
          </cell>
          <cell r="D2478" t="str">
            <v xml:space="preserve">MAD6 </v>
          </cell>
          <cell r="E2478">
            <v>46.199999999999996</v>
          </cell>
          <cell r="F2478">
            <v>53.591999999999992</v>
          </cell>
        </row>
        <row r="2479">
          <cell r="A2479">
            <v>2475</v>
          </cell>
          <cell r="B2479" t="str">
            <v xml:space="preserve">7501991815909   </v>
          </cell>
          <cell r="C2479" t="str">
            <v xml:space="preserve">E198 MEMORAMA FRUTAS 24Pz               </v>
          </cell>
          <cell r="D2479" t="str">
            <v xml:space="preserve">MAD6 </v>
          </cell>
          <cell r="E2479">
            <v>94.05</v>
          </cell>
          <cell r="F2479">
            <v>109.09799999999998</v>
          </cell>
        </row>
        <row r="2480">
          <cell r="A2480">
            <v>2476</v>
          </cell>
          <cell r="B2480" t="str">
            <v xml:space="preserve">7501991815916   </v>
          </cell>
          <cell r="C2480" t="str">
            <v xml:space="preserve">E198 MEMORAMA PARTES DEL CUERPO 24Pz    </v>
          </cell>
          <cell r="D2480" t="str">
            <v xml:space="preserve">MAD6 </v>
          </cell>
          <cell r="E2480">
            <v>94.05</v>
          </cell>
          <cell r="F2480">
            <v>109.09799999999998</v>
          </cell>
        </row>
        <row r="2481">
          <cell r="A2481">
            <v>2477</v>
          </cell>
          <cell r="B2481" t="str">
            <v xml:space="preserve">7501991815947   </v>
          </cell>
          <cell r="C2481" t="str">
            <v xml:space="preserve">E198 MEMORAMA VERDURAS 24Pz             </v>
          </cell>
          <cell r="D2481" t="str">
            <v xml:space="preserve">MAD6 </v>
          </cell>
          <cell r="E2481">
            <v>94.05</v>
          </cell>
          <cell r="F2481">
            <v>109.09799999999998</v>
          </cell>
        </row>
        <row r="2482">
          <cell r="A2482">
            <v>2478</v>
          </cell>
          <cell r="B2482" t="str">
            <v xml:space="preserve">7501991827001   </v>
          </cell>
          <cell r="C2482" t="str">
            <v xml:space="preserve">BONGO DOBLE-BABY 1Pz (I001)             </v>
          </cell>
          <cell r="D2482" t="str">
            <v>MUSIC</v>
          </cell>
          <cell r="E2482">
            <v>105.6</v>
          </cell>
          <cell r="F2482">
            <v>122.49599999999998</v>
          </cell>
        </row>
        <row r="2483">
          <cell r="A2483">
            <v>2479</v>
          </cell>
          <cell r="B2483" t="str">
            <v xml:space="preserve">7501991827018   </v>
          </cell>
          <cell r="C2483" t="str">
            <v xml:space="preserve">BONGO INDIVIDUAL 1Pz (I001.)            </v>
          </cell>
          <cell r="D2483" t="str">
            <v>MUSIC</v>
          </cell>
          <cell r="E2483">
            <v>69.3</v>
          </cell>
          <cell r="F2483">
            <v>80.387999999999991</v>
          </cell>
        </row>
        <row r="2484">
          <cell r="A2484">
            <v>2480</v>
          </cell>
          <cell r="B2484" t="str">
            <v xml:space="preserve">7501991827025   </v>
          </cell>
          <cell r="C2484" t="str">
            <v xml:space="preserve">CAMPANA MANGO MADERA 1Pz (I002)         </v>
          </cell>
          <cell r="D2484" t="str">
            <v>MUSIC</v>
          </cell>
          <cell r="E2484">
            <v>36.299999999999997</v>
          </cell>
          <cell r="F2484">
            <v>42.107999999999997</v>
          </cell>
        </row>
        <row r="2485">
          <cell r="A2485">
            <v>2481</v>
          </cell>
          <cell r="B2485" t="str">
            <v xml:space="preserve">7501991827032   </v>
          </cell>
          <cell r="C2485" t="str">
            <v xml:space="preserve">CAMPANA INDIVIDUAL BSA/10Pz (I003)      </v>
          </cell>
          <cell r="D2485" t="str">
            <v>MUSIC</v>
          </cell>
          <cell r="E2485">
            <v>178.2</v>
          </cell>
          <cell r="F2485">
            <v>206.71199999999996</v>
          </cell>
        </row>
        <row r="2486">
          <cell r="A2486">
            <v>2482</v>
          </cell>
          <cell r="B2486" t="str">
            <v xml:space="preserve">7501991827049   </v>
          </cell>
          <cell r="C2486" t="str">
            <v xml:space="preserve">CASCABEL CON MANGO DE MADERA 1Pz.(1004) </v>
          </cell>
          <cell r="D2486" t="str">
            <v>MUSIC</v>
          </cell>
          <cell r="E2486">
            <v>31.35</v>
          </cell>
          <cell r="F2486">
            <v>36.366</v>
          </cell>
        </row>
        <row r="2487">
          <cell r="A2487">
            <v>2483</v>
          </cell>
          <cell r="B2487" t="str">
            <v xml:space="preserve">7501991827056   </v>
          </cell>
          <cell r="C2487" t="str">
            <v xml:space="preserve">CASTAÑUELA CH.MANGO MAD. 1Pz (I005)     </v>
          </cell>
          <cell r="D2487" t="str">
            <v>MUSIC</v>
          </cell>
          <cell r="E2487">
            <v>41.25</v>
          </cell>
          <cell r="F2487">
            <v>47.849999999999994</v>
          </cell>
        </row>
        <row r="2488">
          <cell r="A2488">
            <v>2484</v>
          </cell>
          <cell r="B2488" t="str">
            <v xml:space="preserve">7501991827063   </v>
          </cell>
          <cell r="C2488" t="str">
            <v xml:space="preserve">CASTAÑUELA GDE. MANGO MAD. 1Pz (I006)   </v>
          </cell>
          <cell r="D2488" t="str">
            <v>MUSIC</v>
          </cell>
          <cell r="E2488">
            <v>49.5</v>
          </cell>
          <cell r="F2488">
            <v>57.419999999999995</v>
          </cell>
        </row>
        <row r="2489">
          <cell r="A2489">
            <v>2485</v>
          </cell>
          <cell r="B2489" t="str">
            <v xml:space="preserve">7501991827070   </v>
          </cell>
          <cell r="C2489" t="str">
            <v xml:space="preserve">CASTAÑUELA MED.MANGO MAD. 1Pz (I007)    </v>
          </cell>
          <cell r="D2489" t="str">
            <v>MUSIC</v>
          </cell>
          <cell r="E2489">
            <v>44.55</v>
          </cell>
          <cell r="F2489">
            <v>51.67799999999999</v>
          </cell>
        </row>
        <row r="2490">
          <cell r="A2490">
            <v>2486</v>
          </cell>
          <cell r="B2490" t="str">
            <v xml:space="preserve">7501991827087   </v>
          </cell>
          <cell r="C2490" t="str">
            <v xml:space="preserve">CLAVE CHICA (1 PAR) 2Pz (I008)          </v>
          </cell>
          <cell r="D2490" t="str">
            <v>MUSIC</v>
          </cell>
          <cell r="E2490">
            <v>57.749999999999986</v>
          </cell>
          <cell r="F2490">
            <v>66.989999999999981</v>
          </cell>
        </row>
        <row r="2491">
          <cell r="A2491">
            <v>2487</v>
          </cell>
          <cell r="B2491" t="str">
            <v xml:space="preserve">7501991827094   </v>
          </cell>
          <cell r="C2491" t="str">
            <v xml:space="preserve">CLAVE MEDIANA (1PAR)2Pz.(I009)          </v>
          </cell>
          <cell r="D2491" t="str">
            <v>MUSIC</v>
          </cell>
          <cell r="E2491">
            <v>66</v>
          </cell>
          <cell r="F2491">
            <v>76.559999999999988</v>
          </cell>
        </row>
        <row r="2492">
          <cell r="A2492">
            <v>2488</v>
          </cell>
          <cell r="B2492" t="str">
            <v xml:space="preserve">7501991827100   </v>
          </cell>
          <cell r="C2492" t="str">
            <v xml:space="preserve">CONGA DE MADERA 1Pz (I010)              </v>
          </cell>
          <cell r="D2492" t="str">
            <v>MUSIC</v>
          </cell>
          <cell r="E2492">
            <v>77.55</v>
          </cell>
          <cell r="F2492">
            <v>89.957999999999984</v>
          </cell>
        </row>
        <row r="2493">
          <cell r="A2493">
            <v>2489</v>
          </cell>
          <cell r="B2493" t="str">
            <v xml:space="preserve">7501991827117   </v>
          </cell>
          <cell r="C2493" t="str">
            <v xml:space="preserve">CROTALOS PAQUETE CON 10 PARES (I011)    </v>
          </cell>
          <cell r="D2493" t="str">
            <v>MUSIC</v>
          </cell>
          <cell r="E2493">
            <v>293.7</v>
          </cell>
          <cell r="F2493">
            <v>340.69199999999995</v>
          </cell>
        </row>
        <row r="2494">
          <cell r="A2494">
            <v>2490</v>
          </cell>
          <cell r="B2494" t="str">
            <v xml:space="preserve">7501991827124   </v>
          </cell>
          <cell r="C2494" t="str">
            <v>GUIRO CHICO CON RASPADOR 15cm 2Pz (I012)</v>
          </cell>
          <cell r="D2494" t="str">
            <v>MUSIC</v>
          </cell>
          <cell r="E2494">
            <v>39.599999999999994</v>
          </cell>
          <cell r="F2494">
            <v>45.935999999999993</v>
          </cell>
        </row>
        <row r="2495">
          <cell r="A2495">
            <v>2491</v>
          </cell>
          <cell r="B2495" t="str">
            <v xml:space="preserve">7501991827131   </v>
          </cell>
          <cell r="C2495" t="str">
            <v xml:space="preserve">MARACAS CHICAS 2Pz 1PAR- (I013)         </v>
          </cell>
          <cell r="D2495" t="str">
            <v>MUSIC</v>
          </cell>
          <cell r="E2495">
            <v>36.299999999999997</v>
          </cell>
          <cell r="F2495">
            <v>42.107999999999997</v>
          </cell>
        </row>
        <row r="2496">
          <cell r="A2496">
            <v>2492</v>
          </cell>
          <cell r="B2496" t="str">
            <v xml:space="preserve">7501991827148   </v>
          </cell>
          <cell r="C2496" t="str">
            <v xml:space="preserve">MARACAS MEDIANAS 2Pz (I014)             </v>
          </cell>
          <cell r="D2496" t="str">
            <v>MUSIC</v>
          </cell>
          <cell r="E2496">
            <v>44.55</v>
          </cell>
          <cell r="F2496">
            <v>51.67799999999999</v>
          </cell>
        </row>
        <row r="2497">
          <cell r="A2497">
            <v>2493</v>
          </cell>
          <cell r="B2497" t="str">
            <v xml:space="preserve">7501991827155   </v>
          </cell>
          <cell r="C2497" t="str">
            <v xml:space="preserve">MARACAS GRANDES 2Pz 1PAR- (I014.)       </v>
          </cell>
          <cell r="D2497" t="str">
            <v>MUSIC</v>
          </cell>
          <cell r="E2497">
            <v>61.04999999999999</v>
          </cell>
          <cell r="F2497">
            <v>70.817999999999984</v>
          </cell>
        </row>
        <row r="2498">
          <cell r="A2498">
            <v>2494</v>
          </cell>
          <cell r="B2498" t="str">
            <v xml:space="preserve">7501991827162   </v>
          </cell>
          <cell r="C2498" t="str">
            <v xml:space="preserve">PANDERO 1Pz No. 7 (I015)                </v>
          </cell>
          <cell r="D2498" t="str">
            <v>MUSIC</v>
          </cell>
          <cell r="E2498">
            <v>44.55</v>
          </cell>
          <cell r="F2498">
            <v>51.67799999999999</v>
          </cell>
        </row>
        <row r="2499">
          <cell r="A2499">
            <v>2495</v>
          </cell>
          <cell r="B2499" t="str">
            <v xml:space="preserve">7501991827179   </v>
          </cell>
          <cell r="C2499" t="str">
            <v>PLATILLO PAQUETE CON 5 PARES 10Pz (I016)</v>
          </cell>
          <cell r="D2499" t="str">
            <v>MUSIC</v>
          </cell>
          <cell r="E2499">
            <v>300.3</v>
          </cell>
          <cell r="F2499">
            <v>348.34799999999996</v>
          </cell>
        </row>
        <row r="2500">
          <cell r="A2500">
            <v>2496</v>
          </cell>
          <cell r="B2500" t="str">
            <v xml:space="preserve">7501991827193   </v>
          </cell>
          <cell r="C2500" t="str">
            <v>PULCERA CASCABEL SENCILLA BOL.10Pz(I017)</v>
          </cell>
          <cell r="D2500" t="str">
            <v>MUSIC</v>
          </cell>
          <cell r="E2500">
            <v>249.14999999999998</v>
          </cell>
          <cell r="F2500">
            <v>289.01399999999995</v>
          </cell>
        </row>
        <row r="2501">
          <cell r="A2501">
            <v>2497</v>
          </cell>
          <cell r="B2501" t="str">
            <v xml:space="preserve">7501991827216   </v>
          </cell>
          <cell r="C2501" t="str">
            <v xml:space="preserve">TAMBOR MADERA CHICO 3Pz (I018)          </v>
          </cell>
          <cell r="D2501" t="str">
            <v>MUSIC</v>
          </cell>
          <cell r="E2501">
            <v>72.599999999999994</v>
          </cell>
          <cell r="F2501">
            <v>84.215999999999994</v>
          </cell>
        </row>
        <row r="2502">
          <cell r="A2502">
            <v>2498</v>
          </cell>
          <cell r="B2502" t="str">
            <v xml:space="preserve">7501991827230   </v>
          </cell>
          <cell r="C2502" t="str">
            <v xml:space="preserve">TRIANGULO SONORO 10 JUEGOS (I020)       </v>
          </cell>
          <cell r="D2502" t="str">
            <v>MUSIC</v>
          </cell>
          <cell r="E2502">
            <v>196.35</v>
          </cell>
          <cell r="F2502">
            <v>227.76599999999996</v>
          </cell>
        </row>
        <row r="2503">
          <cell r="A2503">
            <v>2499</v>
          </cell>
          <cell r="B2503" t="str">
            <v xml:space="preserve">7501991827254   </v>
          </cell>
          <cell r="C2503" t="str">
            <v xml:space="preserve">ESFERA SONORA 10Pz (I021)               </v>
          </cell>
          <cell r="D2503" t="str">
            <v>MUSIC</v>
          </cell>
          <cell r="E2503">
            <v>136.94999999999999</v>
          </cell>
          <cell r="F2503">
            <v>158.86199999999997</v>
          </cell>
        </row>
        <row r="2504">
          <cell r="A2504">
            <v>2500</v>
          </cell>
          <cell r="B2504" t="str">
            <v xml:space="preserve">7501991827261   </v>
          </cell>
          <cell r="C2504" t="str">
            <v xml:space="preserve">CLAVE GRANDE (1PAR) 2Pz (IA09)          </v>
          </cell>
          <cell r="D2504" t="str">
            <v>MUSIC</v>
          </cell>
          <cell r="E2504">
            <v>75.900000000000006</v>
          </cell>
          <cell r="F2504">
            <v>88.043999999999997</v>
          </cell>
        </row>
        <row r="2505">
          <cell r="A2505">
            <v>2501</v>
          </cell>
          <cell r="B2505" t="str">
            <v xml:space="preserve">7501991827278   </v>
          </cell>
          <cell r="C2505" t="str">
            <v xml:space="preserve">GUIRO MEDIANO CON RASPADOR 18cm (IA12)  </v>
          </cell>
          <cell r="D2505" t="str">
            <v>MUSIC</v>
          </cell>
          <cell r="E2505">
            <v>41.25</v>
          </cell>
          <cell r="F2505">
            <v>47.849999999999994</v>
          </cell>
        </row>
        <row r="2506">
          <cell r="A2506">
            <v>2502</v>
          </cell>
          <cell r="B2506" t="str">
            <v xml:space="preserve">7501991827285   </v>
          </cell>
          <cell r="C2506" t="str">
            <v xml:space="preserve">TAMBOR TIPO OFICIAL 3Pz (IA18)          </v>
          </cell>
          <cell r="D2506" t="str">
            <v>MUSIC</v>
          </cell>
          <cell r="E2506">
            <v>146.85</v>
          </cell>
          <cell r="F2506">
            <v>170.34599999999998</v>
          </cell>
        </row>
        <row r="2507">
          <cell r="A2507">
            <v>2503</v>
          </cell>
          <cell r="B2507" t="str">
            <v xml:space="preserve">7501991827292   </v>
          </cell>
          <cell r="C2507" t="str">
            <v xml:space="preserve">CASTAÑUELAS SIN MANGO 1Pz (I004A)       </v>
          </cell>
          <cell r="D2507" t="str">
            <v>MUSIC</v>
          </cell>
          <cell r="E2507">
            <v>39.599999999999994</v>
          </cell>
          <cell r="F2507">
            <v>45.935999999999993</v>
          </cell>
        </row>
        <row r="2508">
          <cell r="A2508">
            <v>2504</v>
          </cell>
          <cell r="B2508" t="str">
            <v xml:space="preserve">7501991827308   </v>
          </cell>
          <cell r="C2508" t="str">
            <v xml:space="preserve">GUIRO GRANDE CON RASPADOR 21cm (IB12)   </v>
          </cell>
          <cell r="D2508" t="str">
            <v>MUSIC</v>
          </cell>
          <cell r="E2508">
            <v>46.199999999999996</v>
          </cell>
          <cell r="F2508">
            <v>53.591999999999992</v>
          </cell>
        </row>
        <row r="2509">
          <cell r="A2509">
            <v>2505</v>
          </cell>
          <cell r="B2509" t="str">
            <v xml:space="preserve">7501991827315   </v>
          </cell>
          <cell r="C2509" t="str">
            <v xml:space="preserve">TAMBOR No. 6 (PIEL) 3Pz (IB18)          </v>
          </cell>
          <cell r="D2509" t="str">
            <v>MUSIC</v>
          </cell>
          <cell r="E2509">
            <v>77.55</v>
          </cell>
          <cell r="F2509">
            <v>89.957999999999984</v>
          </cell>
        </row>
        <row r="2510">
          <cell r="A2510">
            <v>2506</v>
          </cell>
          <cell r="B2510" t="str">
            <v xml:space="preserve">7501991827322   </v>
          </cell>
          <cell r="C2510" t="str">
            <v xml:space="preserve">PANDERETA 1Pz (IP1)                     </v>
          </cell>
          <cell r="D2510" t="str">
            <v>MUSIC</v>
          </cell>
          <cell r="E2510">
            <v>42.899999999999991</v>
          </cell>
          <cell r="F2510">
            <v>49.763999999999989</v>
          </cell>
        </row>
        <row r="2511">
          <cell r="A2511">
            <v>2507</v>
          </cell>
          <cell r="B2511" t="str">
            <v xml:space="preserve">7501991827339   </v>
          </cell>
          <cell r="C2511" t="str">
            <v xml:space="preserve">TECOMATES CHICOS 1PAR (ITE01)           </v>
          </cell>
          <cell r="D2511" t="str">
            <v>MUSIC</v>
          </cell>
          <cell r="E2511">
            <v>11.549999999999999</v>
          </cell>
          <cell r="F2511">
            <v>13.397999999999998</v>
          </cell>
        </row>
        <row r="2512">
          <cell r="A2512">
            <v>2508</v>
          </cell>
          <cell r="B2512" t="str">
            <v xml:space="preserve">7501991827346   </v>
          </cell>
          <cell r="C2512" t="str">
            <v xml:space="preserve">TECOMATES MEDIANOS 1PAR (ITE02)         </v>
          </cell>
          <cell r="D2512" t="str">
            <v>MUSIC</v>
          </cell>
          <cell r="E2512">
            <v>14.85</v>
          </cell>
          <cell r="F2512">
            <v>17.225999999999999</v>
          </cell>
        </row>
        <row r="2513">
          <cell r="A2513">
            <v>2509</v>
          </cell>
          <cell r="B2513" t="str">
            <v xml:space="preserve">7501991827353   </v>
          </cell>
          <cell r="C2513" t="str">
            <v xml:space="preserve">TECOMATES GRANDES 1PAR (ITE03)          </v>
          </cell>
          <cell r="D2513" t="str">
            <v>MUSIC</v>
          </cell>
          <cell r="E2513">
            <v>16.5</v>
          </cell>
          <cell r="F2513">
            <v>19.139999999999997</v>
          </cell>
        </row>
        <row r="2514">
          <cell r="A2514">
            <v>2510</v>
          </cell>
          <cell r="B2514" t="str">
            <v xml:space="preserve">7501991827360   </v>
          </cell>
          <cell r="C2514" t="str">
            <v xml:space="preserve">TAMBOR JR. REGLAMENTARIO 15" (VT1)      </v>
          </cell>
          <cell r="D2514" t="str">
            <v>MUSIC</v>
          </cell>
          <cell r="E2514">
            <v>856.34999999999991</v>
          </cell>
          <cell r="F2514">
            <v>993.36599999999987</v>
          </cell>
        </row>
        <row r="2515">
          <cell r="A2515">
            <v>2511</v>
          </cell>
          <cell r="B2515" t="str">
            <v xml:space="preserve">7501991827377   </v>
          </cell>
          <cell r="C2515" t="str">
            <v xml:space="preserve">TABACHINES 1Pz (I024)                   </v>
          </cell>
          <cell r="D2515" t="str">
            <v>MUSIC</v>
          </cell>
          <cell r="E2515">
            <v>11.549999999999999</v>
          </cell>
          <cell r="F2515">
            <v>13.397999999999998</v>
          </cell>
        </row>
        <row r="2516">
          <cell r="A2516">
            <v>2512</v>
          </cell>
          <cell r="B2516" t="str">
            <v xml:space="preserve">7501991827407   </v>
          </cell>
          <cell r="C2516" t="str">
            <v xml:space="preserve">TAMBOR No. 10 SINTETICO 4Pz (E236)      </v>
          </cell>
          <cell r="D2516" t="str">
            <v>MUSIC</v>
          </cell>
          <cell r="E2516">
            <v>135.29999999999998</v>
          </cell>
          <cell r="F2516">
            <v>156.94799999999998</v>
          </cell>
        </row>
        <row r="2517">
          <cell r="A2517">
            <v>2513</v>
          </cell>
          <cell r="B2517" t="str">
            <v xml:space="preserve">7501991827414   </v>
          </cell>
          <cell r="C2517" t="str">
            <v xml:space="preserve">PORTABAQUETAS PARA TAMBOR REGLAMENTARIO </v>
          </cell>
          <cell r="D2517" t="str">
            <v>MUSIC</v>
          </cell>
          <cell r="E2517">
            <v>140.24999999999997</v>
          </cell>
          <cell r="F2517">
            <v>162.68999999999997</v>
          </cell>
        </row>
        <row r="2518">
          <cell r="A2518">
            <v>2514</v>
          </cell>
          <cell r="B2518" t="str">
            <v xml:space="preserve">7501991827421   </v>
          </cell>
          <cell r="C2518" t="str">
            <v xml:space="preserve">TAMBOR INFANTIL REGLAMENTARIO 10"       </v>
          </cell>
          <cell r="D2518" t="str">
            <v>MUSIC</v>
          </cell>
          <cell r="E2518">
            <v>1009.8000000000001</v>
          </cell>
          <cell r="F2518">
            <v>1171.3679999999999</v>
          </cell>
        </row>
        <row r="2519">
          <cell r="A2519">
            <v>2515</v>
          </cell>
          <cell r="B2519" t="str">
            <v xml:space="preserve">7501991827438   </v>
          </cell>
          <cell r="C2519" t="str">
            <v xml:space="preserve">TAMBOR JR. REGLAMENTARIO 13"            </v>
          </cell>
          <cell r="D2519" t="str">
            <v>MUSIC</v>
          </cell>
          <cell r="E2519">
            <v>1060.95</v>
          </cell>
          <cell r="F2519">
            <v>1230.702</v>
          </cell>
        </row>
        <row r="2520">
          <cell r="A2520">
            <v>2516</v>
          </cell>
          <cell r="B2520" t="str">
            <v xml:space="preserve">7501991827445   </v>
          </cell>
          <cell r="C2520" t="str">
            <v xml:space="preserve">PULSERA CASCABEL DOBLE 10Pz (I017A)     </v>
          </cell>
          <cell r="D2520" t="str">
            <v>MUSIC</v>
          </cell>
          <cell r="E2520">
            <v>298.64999999999998</v>
          </cell>
          <cell r="F2520">
            <v>346.43399999999997</v>
          </cell>
        </row>
        <row r="2521">
          <cell r="A2521">
            <v>2517</v>
          </cell>
          <cell r="B2521" t="str">
            <v xml:space="preserve">7501991827452   </v>
          </cell>
          <cell r="C2521" t="str">
            <v xml:space="preserve">CASTAÑUELA CON MANGO DE PLASTICO 1Pz    </v>
          </cell>
          <cell r="D2521" t="str">
            <v>MUSIC</v>
          </cell>
          <cell r="E2521">
            <v>23.099999999999998</v>
          </cell>
          <cell r="F2521">
            <v>26.795999999999996</v>
          </cell>
        </row>
        <row r="2522">
          <cell r="A2522">
            <v>2518</v>
          </cell>
          <cell r="B2522" t="str">
            <v xml:space="preserve">7501991827476   </v>
          </cell>
          <cell r="C2522" t="str">
            <v xml:space="preserve">TAMBOR No. 8 SINTETICO (2116)cm 3Pz     </v>
          </cell>
          <cell r="D2522" t="str">
            <v>MUSIC</v>
          </cell>
          <cell r="E2522">
            <v>112.2</v>
          </cell>
          <cell r="F2522">
            <v>130.15199999999999</v>
          </cell>
        </row>
        <row r="2523">
          <cell r="A2523">
            <v>2519</v>
          </cell>
          <cell r="B2523" t="str">
            <v xml:space="preserve">7501991827483   </v>
          </cell>
          <cell r="C2523" t="str">
            <v xml:space="preserve">COCOS HAWAINO 1PAR (ITE04)              </v>
          </cell>
          <cell r="D2523" t="str">
            <v>MUSIC</v>
          </cell>
          <cell r="E2523">
            <v>35.475000000000001</v>
          </cell>
          <cell r="F2523">
            <v>41.150999999999996</v>
          </cell>
        </row>
        <row r="2524">
          <cell r="A2524">
            <v>2520</v>
          </cell>
          <cell r="B2524" t="str">
            <v xml:space="preserve">7501991827490   </v>
          </cell>
          <cell r="C2524" t="str">
            <v xml:space="preserve">PANDERO MINI No.5 1Pz                   </v>
          </cell>
          <cell r="D2524" t="str">
            <v>MUSIC</v>
          </cell>
          <cell r="E2524">
            <v>26.4</v>
          </cell>
          <cell r="F2524">
            <v>30.623999999999995</v>
          </cell>
        </row>
        <row r="2525">
          <cell r="A2525">
            <v>2521</v>
          </cell>
          <cell r="B2525" t="str">
            <v xml:space="preserve">7501991827506   </v>
          </cell>
          <cell r="C2525" t="str">
            <v xml:space="preserve">TAMBOR DE PIEL No. 10 3Pz (E236A)       </v>
          </cell>
          <cell r="D2525" t="str">
            <v>MUSIC</v>
          </cell>
          <cell r="E2525">
            <v>212.85</v>
          </cell>
          <cell r="F2525">
            <v>246.90599999999998</v>
          </cell>
        </row>
        <row r="2526">
          <cell r="A2526">
            <v>2522</v>
          </cell>
          <cell r="B2526" t="str">
            <v xml:space="preserve">7501991827513   </v>
          </cell>
          <cell r="C2526" t="str">
            <v xml:space="preserve">BONGO MEDIANO 1Pz (I001A)               </v>
          </cell>
          <cell r="D2526" t="str">
            <v>MUSIC</v>
          </cell>
          <cell r="E2526">
            <v>117.15</v>
          </cell>
          <cell r="F2526">
            <v>135.89400000000001</v>
          </cell>
        </row>
        <row r="2527">
          <cell r="A2527">
            <v>2523</v>
          </cell>
          <cell r="B2527" t="str">
            <v xml:space="preserve">7501991827520   </v>
          </cell>
          <cell r="C2527" t="str">
            <v xml:space="preserve">PANDERETA DE ACRILICO 1Pz No. 4         </v>
          </cell>
          <cell r="D2527" t="str">
            <v>MUSIC</v>
          </cell>
          <cell r="E2527">
            <v>52.8</v>
          </cell>
          <cell r="F2527">
            <v>61.24799999999999</v>
          </cell>
        </row>
        <row r="2528">
          <cell r="A2528">
            <v>2524</v>
          </cell>
          <cell r="B2528" t="str">
            <v xml:space="preserve">7501991827537   </v>
          </cell>
          <cell r="C2528" t="str">
            <v xml:space="preserve">BONGO STANDAR (I001B)                   </v>
          </cell>
          <cell r="D2528" t="str">
            <v>MUSIC</v>
          </cell>
          <cell r="E2528">
            <v>141.9</v>
          </cell>
          <cell r="F2528">
            <v>164.60399999999998</v>
          </cell>
        </row>
        <row r="2529">
          <cell r="A2529">
            <v>2525</v>
          </cell>
          <cell r="B2529" t="str">
            <v xml:space="preserve">7502217791359   </v>
          </cell>
          <cell r="C2529" t="str">
            <v xml:space="preserve">FIESTALLER PARA TUS FIESTAS (1359)      </v>
          </cell>
          <cell r="D2529" t="str">
            <v xml:space="preserve">OCA  </v>
          </cell>
          <cell r="E2529">
            <v>396</v>
          </cell>
          <cell r="F2529">
            <v>459.35999999999996</v>
          </cell>
        </row>
        <row r="2530">
          <cell r="A2530">
            <v>2526</v>
          </cell>
          <cell r="B2530" t="str">
            <v xml:space="preserve">7502217791472   </v>
          </cell>
          <cell r="C2530" t="str">
            <v xml:space="preserve">FIESTALLER DE PINTURA Y ARENA (1472)    </v>
          </cell>
          <cell r="D2530" t="str">
            <v xml:space="preserve">OCA  </v>
          </cell>
          <cell r="E2530">
            <v>198</v>
          </cell>
          <cell r="F2530">
            <v>229.67999999999998</v>
          </cell>
        </row>
        <row r="2531">
          <cell r="A2531">
            <v>2527</v>
          </cell>
          <cell r="B2531" t="str">
            <v xml:space="preserve">7502217791588   </v>
          </cell>
          <cell r="C2531" t="str">
            <v>MI GRANJA PINTARMABLES INTERACTIVO (1588</v>
          </cell>
          <cell r="D2531" t="str">
            <v xml:space="preserve">OCA  </v>
          </cell>
          <cell r="E2531">
            <v>123.75</v>
          </cell>
          <cell r="F2531">
            <v>143.54999999999998</v>
          </cell>
        </row>
        <row r="2532">
          <cell r="A2532">
            <v>2528</v>
          </cell>
          <cell r="B2532" t="str">
            <v xml:space="preserve">7502217792295   </v>
          </cell>
          <cell r="C2532" t="str">
            <v xml:space="preserve">PINTARMABLE JARDIN INTERACTIVO (2288)   </v>
          </cell>
          <cell r="D2532" t="str">
            <v xml:space="preserve">OCA  </v>
          </cell>
          <cell r="E2532">
            <v>115.49999999999997</v>
          </cell>
          <cell r="F2532">
            <v>133.97999999999996</v>
          </cell>
        </row>
        <row r="2533">
          <cell r="A2533">
            <v>2529</v>
          </cell>
          <cell r="B2533" t="str">
            <v xml:space="preserve">7502217792318   </v>
          </cell>
          <cell r="C2533" t="str">
            <v xml:space="preserve">ABCDARIO JUEGAPRENDE                    </v>
          </cell>
          <cell r="D2533" t="str">
            <v xml:space="preserve">OCA  </v>
          </cell>
          <cell r="E2533">
            <v>150.15</v>
          </cell>
          <cell r="F2533">
            <v>174.17399999999998</v>
          </cell>
        </row>
        <row r="2534">
          <cell r="A2534">
            <v>2530</v>
          </cell>
          <cell r="B2534" t="str">
            <v xml:space="preserve">7502217795043   </v>
          </cell>
          <cell r="C2534" t="str">
            <v xml:space="preserve">FORMAS, COLORES Y NUMEROS INTERACTIVO   </v>
          </cell>
          <cell r="D2534" t="str">
            <v xml:space="preserve">OCA  </v>
          </cell>
          <cell r="E2534">
            <v>110.55000000000001</v>
          </cell>
          <cell r="F2534">
            <v>128.238</v>
          </cell>
        </row>
        <row r="2535">
          <cell r="A2535">
            <v>2531</v>
          </cell>
          <cell r="B2535" t="str">
            <v xml:space="preserve">7502217795050   </v>
          </cell>
          <cell r="C2535" t="str">
            <v xml:space="preserve">MI GRANJA INTERACTIVO  (5050)           </v>
          </cell>
          <cell r="D2535" t="str">
            <v xml:space="preserve">OCA  </v>
          </cell>
          <cell r="E2535">
            <v>110.55000000000001</v>
          </cell>
          <cell r="F2535">
            <v>128.238</v>
          </cell>
        </row>
        <row r="2536">
          <cell r="A2536">
            <v>2532</v>
          </cell>
          <cell r="B2536" t="str">
            <v xml:space="preserve">7501991851013   </v>
          </cell>
          <cell r="C2536" t="str">
            <v xml:space="preserve">PELOTA CALABAZA CHICA 1Pz (01CC)        </v>
          </cell>
          <cell r="D2536" t="str">
            <v>PAGUI</v>
          </cell>
          <cell r="E2536">
            <v>54.449999999999989</v>
          </cell>
          <cell r="F2536">
            <v>63.161999999999985</v>
          </cell>
        </row>
        <row r="2537">
          <cell r="A2537">
            <v>2533</v>
          </cell>
          <cell r="B2537" t="str">
            <v xml:space="preserve">7501991851020   </v>
          </cell>
          <cell r="C2537" t="str">
            <v xml:space="preserve">PELOTA CALABAZA MEDIANA 1Pz (01CM)      </v>
          </cell>
          <cell r="D2537" t="str">
            <v>PAGUI</v>
          </cell>
          <cell r="E2537">
            <v>77.55</v>
          </cell>
          <cell r="F2537">
            <v>89.957999999999984</v>
          </cell>
        </row>
        <row r="2538">
          <cell r="A2538">
            <v>2534</v>
          </cell>
          <cell r="B2538" t="str">
            <v xml:space="preserve">7501991851044   </v>
          </cell>
          <cell r="C2538" t="str">
            <v xml:space="preserve">MANDARINA CHICA 1Pz (01MA)              </v>
          </cell>
          <cell r="D2538" t="str">
            <v>PAGUI</v>
          </cell>
          <cell r="E2538">
            <v>100.64999999999999</v>
          </cell>
          <cell r="F2538">
            <v>116.75399999999998</v>
          </cell>
        </row>
        <row r="2539">
          <cell r="A2539">
            <v>2535</v>
          </cell>
          <cell r="B2539" t="str">
            <v xml:space="preserve">7501991851099   </v>
          </cell>
          <cell r="C2539" t="str">
            <v xml:space="preserve">PELOTA MINI 1Pz (01PM)                  </v>
          </cell>
          <cell r="D2539" t="str">
            <v>PAGUI</v>
          </cell>
          <cell r="E2539">
            <v>44.55</v>
          </cell>
          <cell r="F2539">
            <v>51.67799999999999</v>
          </cell>
        </row>
        <row r="2540">
          <cell r="A2540">
            <v>2536</v>
          </cell>
          <cell r="B2540" t="str">
            <v xml:space="preserve">7501991851174   </v>
          </cell>
          <cell r="C2540" t="str">
            <v xml:space="preserve">BALON AMERICANO CHICO 1Pz (02BC)        </v>
          </cell>
          <cell r="D2540" t="str">
            <v>PAGUI</v>
          </cell>
          <cell r="E2540">
            <v>54.449999999999989</v>
          </cell>
          <cell r="F2540">
            <v>63.161999999999985</v>
          </cell>
        </row>
        <row r="2541">
          <cell r="A2541">
            <v>2537</v>
          </cell>
          <cell r="B2541" t="str">
            <v xml:space="preserve">7501991851181   </v>
          </cell>
          <cell r="C2541" t="str">
            <v xml:space="preserve">BALON AMERICANO MEDIANO 1Pz (02BL)      </v>
          </cell>
          <cell r="D2541" t="str">
            <v>PAGUI</v>
          </cell>
          <cell r="E2541">
            <v>74.249999999999986</v>
          </cell>
          <cell r="F2541">
            <v>86.129999999999981</v>
          </cell>
        </row>
        <row r="2542">
          <cell r="A2542">
            <v>2538</v>
          </cell>
          <cell r="B2542" t="str">
            <v xml:space="preserve">7501991851242   </v>
          </cell>
          <cell r="C2542" t="str">
            <v xml:space="preserve">MANDARINA JUMBO 1Pz (02MJ)              </v>
          </cell>
          <cell r="D2542" t="str">
            <v>PAGUI</v>
          </cell>
          <cell r="E2542">
            <v>204.6</v>
          </cell>
          <cell r="F2542">
            <v>237.33599999999998</v>
          </cell>
        </row>
        <row r="2543">
          <cell r="A2543">
            <v>2539</v>
          </cell>
          <cell r="B2543" t="str">
            <v xml:space="preserve">7501991851259   </v>
          </cell>
          <cell r="C2543" t="str">
            <v xml:space="preserve">MANDARINA SUPER JUMBO 1Pz (02MS)        </v>
          </cell>
          <cell r="D2543" t="str">
            <v>PAGUI</v>
          </cell>
          <cell r="E2543">
            <v>239.25</v>
          </cell>
          <cell r="F2543">
            <v>277.52999999999997</v>
          </cell>
        </row>
        <row r="2544">
          <cell r="A2544">
            <v>2540</v>
          </cell>
          <cell r="B2544" t="str">
            <v xml:space="preserve">7501991851358   </v>
          </cell>
          <cell r="C2544" t="str">
            <v xml:space="preserve">CUBO GRANDE (20X20)cm 1Pz (04CG)        </v>
          </cell>
          <cell r="D2544" t="str">
            <v>PAGUI</v>
          </cell>
          <cell r="E2544">
            <v>112.2</v>
          </cell>
          <cell r="F2544">
            <v>130.15199999999999</v>
          </cell>
        </row>
        <row r="2545">
          <cell r="A2545">
            <v>2541</v>
          </cell>
          <cell r="B2545" t="str">
            <v xml:space="preserve">7501991851372   </v>
          </cell>
          <cell r="C2545" t="str">
            <v xml:space="preserve">CUBO CHICO (10X10)cm 1Pz (04CU)         </v>
          </cell>
          <cell r="D2545" t="str">
            <v>PAGUI</v>
          </cell>
          <cell r="E2545">
            <v>54.449999999999989</v>
          </cell>
          <cell r="F2545">
            <v>63.161999999999985</v>
          </cell>
        </row>
        <row r="2546">
          <cell r="A2546">
            <v>2542</v>
          </cell>
          <cell r="B2546" t="str">
            <v xml:space="preserve">7501991851396   </v>
          </cell>
          <cell r="C2546" t="str">
            <v xml:space="preserve">PAYASO CARITAS JUMBO (04JC)             </v>
          </cell>
          <cell r="D2546" t="str">
            <v>PAGUI</v>
          </cell>
          <cell r="E2546">
            <v>229.34999999999997</v>
          </cell>
          <cell r="F2546">
            <v>266.04599999999994</v>
          </cell>
        </row>
        <row r="2547">
          <cell r="A2547">
            <v>2543</v>
          </cell>
          <cell r="B2547" t="str">
            <v xml:space="preserve">7501991851402   </v>
          </cell>
          <cell r="C2547" t="str">
            <v xml:space="preserve">PAYASO CARITAS MINI (04NC)              </v>
          </cell>
          <cell r="D2547" t="str">
            <v>PAGUI</v>
          </cell>
          <cell r="E2547">
            <v>156.75</v>
          </cell>
          <cell r="F2547">
            <v>181.82999999999998</v>
          </cell>
        </row>
        <row r="2548">
          <cell r="A2548">
            <v>2544</v>
          </cell>
          <cell r="B2548" t="str">
            <v xml:space="preserve">7501991851419   </v>
          </cell>
          <cell r="C2548" t="str">
            <v xml:space="preserve">PAYASO JUMBO 1Pz (04PJ)                 </v>
          </cell>
          <cell r="D2548" t="str">
            <v>PAGUI</v>
          </cell>
          <cell r="E2548">
            <v>195.52499999999995</v>
          </cell>
          <cell r="F2548">
            <v>226.80899999999994</v>
          </cell>
        </row>
        <row r="2549">
          <cell r="A2549">
            <v>2545</v>
          </cell>
          <cell r="B2549" t="str">
            <v xml:space="preserve">7501991851426   </v>
          </cell>
          <cell r="C2549" t="str">
            <v xml:space="preserve">PAYASO MINI 1Pz (04PM)                  </v>
          </cell>
          <cell r="D2549" t="str">
            <v>PAGUI</v>
          </cell>
          <cell r="E2549">
            <v>125.4</v>
          </cell>
          <cell r="F2549">
            <v>145.464</v>
          </cell>
        </row>
        <row r="2550">
          <cell r="A2550">
            <v>2546</v>
          </cell>
          <cell r="B2550" t="str">
            <v xml:space="preserve">7501991851433   </v>
          </cell>
          <cell r="C2550" t="str">
            <v xml:space="preserve">PAYASO CHICO 1Pz (04PY)                 </v>
          </cell>
          <cell r="D2550" t="str">
            <v>PAGUI</v>
          </cell>
          <cell r="E2550">
            <v>166.65</v>
          </cell>
          <cell r="F2550">
            <v>193.31399999999999</v>
          </cell>
        </row>
        <row r="2551">
          <cell r="A2551">
            <v>2547</v>
          </cell>
          <cell r="B2551" t="str">
            <v xml:space="preserve">7501991851471   </v>
          </cell>
          <cell r="C2551" t="str">
            <v xml:space="preserve">PELOTA DESARMABLE CON TEXTURAS 1 Pz     </v>
          </cell>
          <cell r="D2551" t="str">
            <v>PAGUI</v>
          </cell>
          <cell r="E2551">
            <v>188.1</v>
          </cell>
          <cell r="F2551">
            <v>218.19599999999997</v>
          </cell>
        </row>
        <row r="2552">
          <cell r="A2552">
            <v>2548</v>
          </cell>
          <cell r="B2552" t="str">
            <v xml:space="preserve">7501991851488   </v>
          </cell>
          <cell r="C2552" t="str">
            <v xml:space="preserve">PAYASO CARITAS CHICO (04YC)             </v>
          </cell>
          <cell r="D2552" t="str">
            <v>PAGUI</v>
          </cell>
          <cell r="E2552">
            <v>184.79999999999998</v>
          </cell>
          <cell r="F2552">
            <v>214.36799999999997</v>
          </cell>
        </row>
        <row r="2553">
          <cell r="A2553">
            <v>2549</v>
          </cell>
          <cell r="B2553" t="str">
            <v xml:space="preserve">7501991851556   </v>
          </cell>
          <cell r="C2553" t="str">
            <v xml:space="preserve">RODILLO No.3 20 DIAM X 60 LARGO (05R3)  </v>
          </cell>
          <cell r="D2553" t="str">
            <v>PAGUI</v>
          </cell>
          <cell r="E2553">
            <v>308.54999999999995</v>
          </cell>
          <cell r="F2553">
            <v>357.91799999999995</v>
          </cell>
        </row>
        <row r="2554">
          <cell r="A2554">
            <v>2550</v>
          </cell>
          <cell r="B2554" t="str">
            <v xml:space="preserve">7501991851563   </v>
          </cell>
          <cell r="C2554" t="str">
            <v xml:space="preserve">RODILLO No.4 30 DIAM X 60 LARGO (05R4)  </v>
          </cell>
          <cell r="D2554" t="str">
            <v>PAGUI</v>
          </cell>
          <cell r="E2554">
            <v>419.09999999999997</v>
          </cell>
          <cell r="F2554">
            <v>486.15599999999995</v>
          </cell>
        </row>
        <row r="2555">
          <cell r="A2555">
            <v>2551</v>
          </cell>
          <cell r="B2555" t="str">
            <v xml:space="preserve">7501991851587   </v>
          </cell>
          <cell r="C2555" t="str">
            <v xml:space="preserve">CUÑA GRANDE DE (40X60X18)cm 06CG        </v>
          </cell>
          <cell r="D2555" t="str">
            <v>PAGUI</v>
          </cell>
          <cell r="E2555">
            <v>242.54999999999998</v>
          </cell>
          <cell r="F2555">
            <v>281.35799999999995</v>
          </cell>
        </row>
        <row r="2556">
          <cell r="A2556">
            <v>2552</v>
          </cell>
          <cell r="B2556" t="str">
            <v xml:space="preserve">7501991851631   </v>
          </cell>
          <cell r="C2556" t="str">
            <v xml:space="preserve">GIRA PULPO GRANDE 1Pz (07GP)            </v>
          </cell>
          <cell r="D2556" t="str">
            <v>PAGUI</v>
          </cell>
          <cell r="E2556">
            <v>288.75</v>
          </cell>
          <cell r="F2556">
            <v>334.95</v>
          </cell>
        </row>
        <row r="2557">
          <cell r="A2557">
            <v>2553</v>
          </cell>
          <cell r="B2557" t="str">
            <v xml:space="preserve">7501991851662   </v>
          </cell>
          <cell r="C2557" t="str">
            <v xml:space="preserve">PELOTA CARAMELO CHICA (07RC)            </v>
          </cell>
          <cell r="D2557" t="str">
            <v>PAGUI</v>
          </cell>
          <cell r="E2557">
            <v>56.1</v>
          </cell>
          <cell r="F2557">
            <v>65.075999999999993</v>
          </cell>
        </row>
        <row r="2558">
          <cell r="A2558">
            <v>2554</v>
          </cell>
          <cell r="B2558" t="str">
            <v xml:space="preserve">7501991851679   </v>
          </cell>
          <cell r="C2558" t="str">
            <v xml:space="preserve">PELOTA CARAMELO GRANDE (07RG)           </v>
          </cell>
          <cell r="D2558" t="str">
            <v>PAGUI</v>
          </cell>
          <cell r="E2558">
            <v>94.05</v>
          </cell>
          <cell r="F2558">
            <v>109.09799999999998</v>
          </cell>
        </row>
        <row r="2559">
          <cell r="A2559">
            <v>2555</v>
          </cell>
          <cell r="B2559" t="str">
            <v xml:space="preserve">7501991851686   </v>
          </cell>
          <cell r="C2559" t="str">
            <v xml:space="preserve">PELOTA CARAMELO MEDIANA 1Pz (07RM)      </v>
          </cell>
          <cell r="D2559" t="str">
            <v>PAGUI</v>
          </cell>
          <cell r="E2559">
            <v>70.95</v>
          </cell>
          <cell r="F2559">
            <v>82.301999999999992</v>
          </cell>
        </row>
        <row r="2560">
          <cell r="A2560">
            <v>2556</v>
          </cell>
          <cell r="B2560" t="str">
            <v xml:space="preserve">7501991851693   </v>
          </cell>
          <cell r="C2560" t="str">
            <v xml:space="preserve">SONAJA BAMBINO (07SB)                   </v>
          </cell>
          <cell r="D2560" t="str">
            <v>PAGUI</v>
          </cell>
          <cell r="E2560">
            <v>68.474999999999994</v>
          </cell>
          <cell r="F2560">
            <v>79.430999999999983</v>
          </cell>
        </row>
        <row r="2561">
          <cell r="A2561">
            <v>2557</v>
          </cell>
          <cell r="B2561" t="str">
            <v xml:space="preserve">7501991851815   </v>
          </cell>
          <cell r="C2561" t="str">
            <v xml:space="preserve">GIRA PULPO CHICO 1Pz (08PC)             </v>
          </cell>
          <cell r="D2561" t="str">
            <v>PAGUI</v>
          </cell>
          <cell r="E2561">
            <v>221.10000000000002</v>
          </cell>
          <cell r="F2561">
            <v>256.476</v>
          </cell>
        </row>
        <row r="2562">
          <cell r="A2562">
            <v>2558</v>
          </cell>
          <cell r="B2562" t="str">
            <v xml:space="preserve">7501078705017   </v>
          </cell>
          <cell r="C2562" t="str">
            <v xml:space="preserve">PERRITO CHILLON [501]                   </v>
          </cell>
          <cell r="D2562" t="str">
            <v xml:space="preserve">PIGO </v>
          </cell>
          <cell r="E2562">
            <v>146.85</v>
          </cell>
          <cell r="F2562">
            <v>170.34599999999998</v>
          </cell>
        </row>
        <row r="2563">
          <cell r="A2563">
            <v>2559</v>
          </cell>
          <cell r="B2563" t="str">
            <v xml:space="preserve">7501078705024   </v>
          </cell>
          <cell r="C2563" t="str">
            <v xml:space="preserve">TELEFONO PERIQUIN [502]                 </v>
          </cell>
          <cell r="D2563" t="str">
            <v xml:space="preserve">PIGO </v>
          </cell>
          <cell r="E2563">
            <v>183.15</v>
          </cell>
          <cell r="F2563">
            <v>212.45399999999998</v>
          </cell>
        </row>
        <row r="2564">
          <cell r="A2564">
            <v>2560</v>
          </cell>
          <cell r="B2564" t="str">
            <v xml:space="preserve">7501078705031   </v>
          </cell>
          <cell r="C2564" t="str">
            <v xml:space="preserve">AVIONCITO PERIQUIN [503]                </v>
          </cell>
          <cell r="D2564" t="str">
            <v xml:space="preserve">PIGO </v>
          </cell>
          <cell r="E2564">
            <v>158.39999999999998</v>
          </cell>
          <cell r="F2564">
            <v>183.74399999999997</v>
          </cell>
        </row>
        <row r="2565">
          <cell r="A2565">
            <v>2561</v>
          </cell>
          <cell r="B2565" t="str">
            <v xml:space="preserve">7501078705048   </v>
          </cell>
          <cell r="C2565" t="str">
            <v xml:space="preserve">BOMBERITO PERIQUIN [504]                </v>
          </cell>
          <cell r="D2565" t="str">
            <v xml:space="preserve">PIGO </v>
          </cell>
          <cell r="E2565">
            <v>158.39999999999998</v>
          </cell>
          <cell r="F2565">
            <v>183.74399999999997</v>
          </cell>
        </row>
        <row r="2566">
          <cell r="A2566">
            <v>2562</v>
          </cell>
          <cell r="B2566" t="str">
            <v xml:space="preserve">7501078705055   </v>
          </cell>
          <cell r="C2566" t="str">
            <v xml:space="preserve">CAMIONCITO DE VOLTEO [505]              </v>
          </cell>
          <cell r="D2566" t="str">
            <v xml:space="preserve">PIGO </v>
          </cell>
          <cell r="E2566">
            <v>171.59999999999997</v>
          </cell>
          <cell r="F2566">
            <v>199.05599999999995</v>
          </cell>
        </row>
        <row r="2567">
          <cell r="A2567">
            <v>2563</v>
          </cell>
          <cell r="B2567" t="str">
            <v xml:space="preserve">7501078705062   </v>
          </cell>
          <cell r="C2567" t="str">
            <v xml:space="preserve">HUEVITO PERIQUIN [506]                  </v>
          </cell>
          <cell r="D2567" t="str">
            <v xml:space="preserve">PIGO </v>
          </cell>
          <cell r="E2567">
            <v>122.09999999999998</v>
          </cell>
          <cell r="F2567">
            <v>141.63599999999997</v>
          </cell>
        </row>
        <row r="2568">
          <cell r="A2568">
            <v>2564</v>
          </cell>
          <cell r="B2568" t="str">
            <v xml:space="preserve">7501078705079   </v>
          </cell>
          <cell r="C2568" t="str">
            <v xml:space="preserve">MINI BUS [507]                          </v>
          </cell>
          <cell r="D2568" t="str">
            <v xml:space="preserve">PIGO </v>
          </cell>
          <cell r="E2568">
            <v>158.39999999999998</v>
          </cell>
          <cell r="F2568">
            <v>183.74399999999997</v>
          </cell>
        </row>
        <row r="2569">
          <cell r="A2569">
            <v>2565</v>
          </cell>
          <cell r="B2569" t="str">
            <v xml:space="preserve">7501078705086   </v>
          </cell>
          <cell r="C2569" t="str">
            <v xml:space="preserve">BURBUJAS TOP TOP [508]                  </v>
          </cell>
          <cell r="D2569" t="str">
            <v xml:space="preserve">PIGO </v>
          </cell>
          <cell r="E2569">
            <v>207.9</v>
          </cell>
          <cell r="F2569">
            <v>241.16399999999999</v>
          </cell>
        </row>
        <row r="2570">
          <cell r="A2570">
            <v>2566</v>
          </cell>
          <cell r="B2570" t="str">
            <v xml:space="preserve">7501078705093   </v>
          </cell>
          <cell r="C2570" t="str">
            <v xml:space="preserve">BOLICHE 10 PINOS CIE [509]              </v>
          </cell>
          <cell r="D2570" t="str">
            <v xml:space="preserve">PIGO </v>
          </cell>
          <cell r="E2570">
            <v>219.45</v>
          </cell>
          <cell r="F2570">
            <v>254.56199999999998</v>
          </cell>
        </row>
        <row r="2571">
          <cell r="A2571">
            <v>2567</v>
          </cell>
          <cell r="B2571" t="str">
            <v xml:space="preserve">7501078705109   </v>
          </cell>
          <cell r="C2571" t="str">
            <v xml:space="preserve">BOLICHE 10 PINOS S/E [510]              </v>
          </cell>
          <cell r="D2571" t="str">
            <v xml:space="preserve">PIGO </v>
          </cell>
          <cell r="E2571">
            <v>171.59999999999997</v>
          </cell>
          <cell r="F2571">
            <v>199.05599999999995</v>
          </cell>
        </row>
        <row r="2572">
          <cell r="A2572">
            <v>2568</v>
          </cell>
          <cell r="B2572" t="str">
            <v xml:space="preserve">7501078705116   </v>
          </cell>
          <cell r="C2572" t="str">
            <v xml:space="preserve">BOLICHE 5 PINOS C/E [511]               </v>
          </cell>
          <cell r="D2572" t="str">
            <v xml:space="preserve">PIGO </v>
          </cell>
          <cell r="E2572">
            <v>122.09999999999998</v>
          </cell>
          <cell r="F2572">
            <v>141.63599999999997</v>
          </cell>
        </row>
        <row r="2573">
          <cell r="A2573">
            <v>2569</v>
          </cell>
          <cell r="B2573" t="str">
            <v xml:space="preserve">7501078705123   </v>
          </cell>
          <cell r="C2573" t="str">
            <v xml:space="preserve">BOLICHE 5 PINOS S/E [512]               </v>
          </cell>
          <cell r="D2573" t="str">
            <v xml:space="preserve">PIGO </v>
          </cell>
          <cell r="E2573">
            <v>97.35</v>
          </cell>
          <cell r="F2573">
            <v>112.92599999999999</v>
          </cell>
        </row>
        <row r="2574">
          <cell r="A2574">
            <v>2570</v>
          </cell>
          <cell r="B2574" t="str">
            <v xml:space="preserve">7501078705130   </v>
          </cell>
          <cell r="C2574" t="str">
            <v xml:space="preserve">CAMION ESCOLAR [513]                    </v>
          </cell>
          <cell r="D2574" t="str">
            <v xml:space="preserve">PIGO </v>
          </cell>
          <cell r="E2574">
            <v>268.95</v>
          </cell>
          <cell r="F2574">
            <v>311.98199999999997</v>
          </cell>
        </row>
        <row r="2575">
          <cell r="A2575">
            <v>2571</v>
          </cell>
          <cell r="B2575" t="str">
            <v xml:space="preserve">7501078705147   </v>
          </cell>
          <cell r="C2575" t="str">
            <v xml:space="preserve">TURISTA PERIQUIN [514]                  </v>
          </cell>
          <cell r="D2575" t="str">
            <v xml:space="preserve">PIGO </v>
          </cell>
          <cell r="E2575">
            <v>239.25</v>
          </cell>
          <cell r="F2575">
            <v>277.52999999999997</v>
          </cell>
        </row>
        <row r="2576">
          <cell r="A2576">
            <v>2572</v>
          </cell>
          <cell r="B2576" t="str">
            <v xml:space="preserve">7501078705154   </v>
          </cell>
          <cell r="C2576" t="str">
            <v xml:space="preserve">CAMARA PERIQUIN [515]                   </v>
          </cell>
          <cell r="D2576" t="str">
            <v xml:space="preserve">PIGO </v>
          </cell>
          <cell r="E2576">
            <v>196.35</v>
          </cell>
          <cell r="F2576">
            <v>227.76599999999996</v>
          </cell>
        </row>
        <row r="2577">
          <cell r="A2577">
            <v>2573</v>
          </cell>
          <cell r="B2577" t="str">
            <v xml:space="preserve">7501078705161   </v>
          </cell>
          <cell r="C2577" t="str">
            <v xml:space="preserve">GRUA PERIQUIN [516]                     </v>
          </cell>
          <cell r="D2577" t="str">
            <v xml:space="preserve">PIGO </v>
          </cell>
          <cell r="E2577">
            <v>232.64999999999998</v>
          </cell>
          <cell r="F2577">
            <v>269.87399999999997</v>
          </cell>
        </row>
        <row r="2578">
          <cell r="A2578">
            <v>2574</v>
          </cell>
          <cell r="B2578" t="str">
            <v xml:space="preserve">7501078705178   </v>
          </cell>
          <cell r="C2578" t="str">
            <v xml:space="preserve">MOTO CROSS [517]                        </v>
          </cell>
          <cell r="D2578" t="str">
            <v xml:space="preserve">PIGO </v>
          </cell>
          <cell r="E2578">
            <v>391.0499999999999</v>
          </cell>
          <cell r="F2578">
            <v>453.61799999999988</v>
          </cell>
        </row>
        <row r="2579">
          <cell r="A2579">
            <v>2575</v>
          </cell>
          <cell r="B2579" t="str">
            <v xml:space="preserve">7501078705185   </v>
          </cell>
          <cell r="C2579" t="str">
            <v xml:space="preserve">CAMIONES DESARMABLES [518]              </v>
          </cell>
          <cell r="D2579" t="str">
            <v xml:space="preserve">PIGO </v>
          </cell>
          <cell r="E2579">
            <v>171.59999999999997</v>
          </cell>
          <cell r="F2579">
            <v>199.05599999999995</v>
          </cell>
        </row>
        <row r="2580">
          <cell r="A2580">
            <v>2576</v>
          </cell>
          <cell r="B2580" t="str">
            <v xml:space="preserve">7501078705192   </v>
          </cell>
          <cell r="C2580" t="str">
            <v xml:space="preserve">EQUIPO DE ACTIVIDADES [519]             </v>
          </cell>
          <cell r="D2580" t="str">
            <v xml:space="preserve">PIGO </v>
          </cell>
          <cell r="E2580">
            <v>293.7</v>
          </cell>
          <cell r="F2580">
            <v>340.69199999999995</v>
          </cell>
        </row>
        <row r="2581">
          <cell r="A2581">
            <v>2577</v>
          </cell>
          <cell r="B2581" t="str">
            <v xml:space="preserve">7501078705208   </v>
          </cell>
          <cell r="C2581" t="str">
            <v xml:space="preserve">CANASTA DIDACTICA [520]                 </v>
          </cell>
          <cell r="D2581" t="str">
            <v xml:space="preserve">PIGO </v>
          </cell>
          <cell r="E2581">
            <v>135.29999999999998</v>
          </cell>
          <cell r="F2581">
            <v>156.94799999999998</v>
          </cell>
        </row>
        <row r="2582">
          <cell r="A2582">
            <v>2578</v>
          </cell>
          <cell r="B2582" t="str">
            <v xml:space="preserve">7501078705215   </v>
          </cell>
          <cell r="C2582" t="str">
            <v xml:space="preserve">TRACTOR LOCO [521]                      </v>
          </cell>
          <cell r="D2582" t="str">
            <v xml:space="preserve">PIGO </v>
          </cell>
          <cell r="E2582">
            <v>135.29999999999998</v>
          </cell>
          <cell r="F2582">
            <v>156.94799999999998</v>
          </cell>
        </row>
        <row r="2583">
          <cell r="A2583">
            <v>2579</v>
          </cell>
          <cell r="B2583" t="str">
            <v xml:space="preserve">7501078705222   </v>
          </cell>
          <cell r="C2583" t="str">
            <v xml:space="preserve">FIGURAS PERIQUIN [522]                  </v>
          </cell>
          <cell r="D2583" t="str">
            <v xml:space="preserve">PIGO </v>
          </cell>
          <cell r="E2583">
            <v>146.85</v>
          </cell>
          <cell r="F2583">
            <v>170.34599999999998</v>
          </cell>
        </row>
        <row r="2584">
          <cell r="A2584">
            <v>2580</v>
          </cell>
          <cell r="B2584" t="str">
            <v xml:space="preserve">7501078705239   </v>
          </cell>
          <cell r="C2584" t="str">
            <v xml:space="preserve">FORMAS GEOMETRICAS [523]                </v>
          </cell>
          <cell r="D2584" t="str">
            <v xml:space="preserve">PIGO </v>
          </cell>
          <cell r="E2584">
            <v>219.45</v>
          </cell>
          <cell r="F2584">
            <v>254.56199999999998</v>
          </cell>
        </row>
        <row r="2585">
          <cell r="A2585">
            <v>2581</v>
          </cell>
          <cell r="B2585" t="str">
            <v xml:space="preserve">7501078705246   </v>
          </cell>
          <cell r="C2585" t="str">
            <v xml:space="preserve">PUEBLO PERIQUIN [524]                   </v>
          </cell>
          <cell r="D2585" t="str">
            <v xml:space="preserve">PIGO </v>
          </cell>
          <cell r="E2585">
            <v>485.09999999999997</v>
          </cell>
          <cell r="F2585">
            <v>562.71599999999989</v>
          </cell>
        </row>
        <row r="2586">
          <cell r="A2586">
            <v>2582</v>
          </cell>
          <cell r="B2586" t="str">
            <v xml:space="preserve">7501078705253   </v>
          </cell>
          <cell r="C2586" t="str">
            <v xml:space="preserve">YATE FELIZ [525]                        </v>
          </cell>
          <cell r="D2586" t="str">
            <v xml:space="preserve">PIGO </v>
          </cell>
          <cell r="E2586">
            <v>207.9</v>
          </cell>
          <cell r="F2586">
            <v>241.16399999999999</v>
          </cell>
        </row>
        <row r="2587">
          <cell r="A2587">
            <v>2583</v>
          </cell>
          <cell r="B2587" t="str">
            <v xml:space="preserve">7501078705260   </v>
          </cell>
          <cell r="C2587" t="str">
            <v xml:space="preserve">JUEGO PLAYA Y JARDIN [526]              </v>
          </cell>
          <cell r="D2587" t="str">
            <v xml:space="preserve">PIGO </v>
          </cell>
          <cell r="E2587">
            <v>183.15</v>
          </cell>
          <cell r="F2587">
            <v>212.45399999999998</v>
          </cell>
        </row>
        <row r="2588">
          <cell r="A2588">
            <v>2584</v>
          </cell>
          <cell r="B2588" t="str">
            <v xml:space="preserve">7501078705277   </v>
          </cell>
          <cell r="C2588" t="str">
            <v xml:space="preserve">CASTILLOS PARA PLAYA [527]              </v>
          </cell>
          <cell r="D2588" t="str">
            <v xml:space="preserve">PIGO </v>
          </cell>
          <cell r="E2588">
            <v>72.599999999999994</v>
          </cell>
          <cell r="F2588">
            <v>84.215999999999994</v>
          </cell>
        </row>
        <row r="2589">
          <cell r="A2589">
            <v>2585</v>
          </cell>
          <cell r="B2589" t="str">
            <v xml:space="preserve">7501078705284   </v>
          </cell>
          <cell r="C2589" t="str">
            <v xml:space="preserve">PALA Y RASTRILLO [528]                  </v>
          </cell>
          <cell r="D2589" t="str">
            <v xml:space="preserve">PIGO </v>
          </cell>
          <cell r="E2589">
            <v>61.04999999999999</v>
          </cell>
          <cell r="F2589">
            <v>70.817999999999984</v>
          </cell>
        </row>
        <row r="2590">
          <cell r="A2590">
            <v>2586</v>
          </cell>
          <cell r="B2590" t="str">
            <v xml:space="preserve">7501078705291   </v>
          </cell>
          <cell r="C2590" t="str">
            <v xml:space="preserve">CUBETA SOLA [529]                       </v>
          </cell>
          <cell r="D2590" t="str">
            <v xml:space="preserve">PIGO </v>
          </cell>
          <cell r="E2590">
            <v>72.599999999999994</v>
          </cell>
          <cell r="F2590">
            <v>84.215999999999994</v>
          </cell>
        </row>
        <row r="2591">
          <cell r="A2591">
            <v>2587</v>
          </cell>
          <cell r="B2591" t="str">
            <v xml:space="preserve">7501078705307   </v>
          </cell>
          <cell r="C2591" t="str">
            <v xml:space="preserve">MESA PARA MARTILLAR [530]               </v>
          </cell>
          <cell r="D2591" t="str">
            <v xml:space="preserve">PIGO </v>
          </cell>
          <cell r="E2591">
            <v>183.15</v>
          </cell>
          <cell r="F2591">
            <v>212.45399999999998</v>
          </cell>
        </row>
        <row r="2592">
          <cell r="A2592">
            <v>2588</v>
          </cell>
          <cell r="B2592" t="str">
            <v xml:space="preserve">7501078705314   </v>
          </cell>
          <cell r="C2592" t="str">
            <v xml:space="preserve">TOMEMOS EL TE (17Pz) [531]              </v>
          </cell>
          <cell r="D2592" t="str">
            <v xml:space="preserve">PIGO </v>
          </cell>
          <cell r="E2592">
            <v>232.64999999999998</v>
          </cell>
          <cell r="F2592">
            <v>269.87399999999997</v>
          </cell>
        </row>
        <row r="2593">
          <cell r="A2593">
            <v>2589</v>
          </cell>
          <cell r="B2593" t="str">
            <v xml:space="preserve">7501078705321   </v>
          </cell>
          <cell r="C2593" t="str">
            <v xml:space="preserve">TOMEMOS EL TE No. 2 (16Pz) [532]        </v>
          </cell>
          <cell r="D2593" t="str">
            <v xml:space="preserve">PIGO </v>
          </cell>
          <cell r="E2593">
            <v>183.15</v>
          </cell>
          <cell r="F2593">
            <v>212.45399999999998</v>
          </cell>
        </row>
        <row r="2594">
          <cell r="A2594">
            <v>2590</v>
          </cell>
          <cell r="B2594" t="str">
            <v xml:space="preserve">7501078705338   </v>
          </cell>
          <cell r="C2594" t="str">
            <v xml:space="preserve">TOMEMOS EL TÉ No. 3 (13Pz) [533]        </v>
          </cell>
          <cell r="D2594" t="str">
            <v xml:space="preserve">PIGO </v>
          </cell>
          <cell r="E2594">
            <v>135.29999999999998</v>
          </cell>
          <cell r="F2594">
            <v>156.94799999999998</v>
          </cell>
        </row>
        <row r="2595">
          <cell r="A2595">
            <v>2591</v>
          </cell>
          <cell r="B2595" t="str">
            <v xml:space="preserve">7501078705345   </v>
          </cell>
          <cell r="C2595" t="str">
            <v xml:space="preserve">TOMEMOS EL TÉ No. 4 (8Pz) [534]         </v>
          </cell>
          <cell r="D2595" t="str">
            <v xml:space="preserve">PIGO </v>
          </cell>
          <cell r="E2595">
            <v>97.35</v>
          </cell>
          <cell r="F2595">
            <v>112.92599999999999</v>
          </cell>
        </row>
        <row r="2596">
          <cell r="A2596">
            <v>2592</v>
          </cell>
          <cell r="B2596" t="str">
            <v xml:space="preserve">7501078705352   </v>
          </cell>
          <cell r="C2596" t="str">
            <v xml:space="preserve">EL RAYO [535]                           </v>
          </cell>
          <cell r="D2596" t="str">
            <v xml:space="preserve">PIGO </v>
          </cell>
          <cell r="E2596">
            <v>183.15</v>
          </cell>
          <cell r="F2596">
            <v>212.45399999999998</v>
          </cell>
        </row>
        <row r="2597">
          <cell r="A2597">
            <v>2593</v>
          </cell>
          <cell r="B2597" t="str">
            <v xml:space="preserve">7501078705369   </v>
          </cell>
          <cell r="C2597" t="str">
            <v xml:space="preserve">BATERIA DE COCINA (10Pz) [536]          </v>
          </cell>
          <cell r="D2597" t="str">
            <v xml:space="preserve">PIGO </v>
          </cell>
          <cell r="E2597">
            <v>282.14999999999998</v>
          </cell>
          <cell r="F2597">
            <v>327.29399999999998</v>
          </cell>
        </row>
        <row r="2598">
          <cell r="A2598">
            <v>2594</v>
          </cell>
          <cell r="B2598" t="str">
            <v xml:space="preserve">7501078705376   </v>
          </cell>
          <cell r="C2598" t="str">
            <v xml:space="preserve">BATERIA DE COCINA No. 2 (8Pz) [537]     </v>
          </cell>
          <cell r="D2598" t="str">
            <v xml:space="preserve">PIGO </v>
          </cell>
          <cell r="E2598">
            <v>232.64999999999998</v>
          </cell>
          <cell r="F2598">
            <v>269.87399999999997</v>
          </cell>
        </row>
        <row r="2599">
          <cell r="A2599">
            <v>2595</v>
          </cell>
          <cell r="B2599" t="str">
            <v xml:space="preserve">7501078705383   </v>
          </cell>
          <cell r="C2599" t="str">
            <v xml:space="preserve">OLLA EXPRES CON CUCHARA [538]           </v>
          </cell>
          <cell r="D2599" t="str">
            <v xml:space="preserve">PIGO </v>
          </cell>
          <cell r="E2599">
            <v>85.799999999999983</v>
          </cell>
          <cell r="F2599">
            <v>99.527999999999977</v>
          </cell>
        </row>
        <row r="2600">
          <cell r="A2600">
            <v>2596</v>
          </cell>
          <cell r="B2600" t="str">
            <v xml:space="preserve">7501078705390   </v>
          </cell>
          <cell r="C2600" t="str">
            <v xml:space="preserve">SARTEN Y PALA [539]                     </v>
          </cell>
          <cell r="D2600" t="str">
            <v xml:space="preserve">PIGO </v>
          </cell>
          <cell r="E2600">
            <v>85.799999999999983</v>
          </cell>
          <cell r="F2600">
            <v>99.527999999999977</v>
          </cell>
        </row>
        <row r="2601">
          <cell r="A2601">
            <v>2597</v>
          </cell>
          <cell r="B2601" t="str">
            <v xml:space="preserve">7501078705406   </v>
          </cell>
          <cell r="C2601" t="str">
            <v xml:space="preserve">OLLA SENCILLA CON CUCHARA [540]         </v>
          </cell>
          <cell r="D2601" t="str">
            <v xml:space="preserve">PIGO </v>
          </cell>
          <cell r="E2601">
            <v>85.799999999999983</v>
          </cell>
          <cell r="F2601">
            <v>99.527999999999977</v>
          </cell>
        </row>
        <row r="2602">
          <cell r="A2602">
            <v>2598</v>
          </cell>
          <cell r="B2602" t="str">
            <v xml:space="preserve">7501078705413   </v>
          </cell>
          <cell r="C2602" t="str">
            <v xml:space="preserve">RALLY PERIQUIN (15Pz) [541]             </v>
          </cell>
          <cell r="D2602" t="str">
            <v xml:space="preserve">PIGO </v>
          </cell>
          <cell r="E2602">
            <v>239.25</v>
          </cell>
          <cell r="F2602">
            <v>277.52999999999997</v>
          </cell>
        </row>
        <row r="2603">
          <cell r="A2603">
            <v>2599</v>
          </cell>
          <cell r="B2603" t="str">
            <v xml:space="preserve">7501078705420   </v>
          </cell>
          <cell r="C2603" t="str">
            <v xml:space="preserve">RALLY PERIQUIN No. 2 (8Pz) [542]        </v>
          </cell>
          <cell r="D2603" t="str">
            <v xml:space="preserve">PIGO </v>
          </cell>
          <cell r="E2603">
            <v>135.29999999999998</v>
          </cell>
          <cell r="F2603">
            <v>156.94799999999998</v>
          </cell>
        </row>
        <row r="2604">
          <cell r="A2604">
            <v>2600</v>
          </cell>
          <cell r="B2604" t="str">
            <v xml:space="preserve">7501078705437   </v>
          </cell>
          <cell r="C2604" t="str">
            <v xml:space="preserve">CUBOS DE CONSTRUCCION (14Pz) [543]      </v>
          </cell>
          <cell r="D2604" t="str">
            <v xml:space="preserve">PIGO </v>
          </cell>
          <cell r="E2604">
            <v>171.59999999999997</v>
          </cell>
          <cell r="F2604">
            <v>199.05599999999995</v>
          </cell>
        </row>
        <row r="2605">
          <cell r="A2605">
            <v>2601</v>
          </cell>
          <cell r="B2605" t="str">
            <v xml:space="preserve">7501078705444   </v>
          </cell>
          <cell r="C2605" t="str">
            <v xml:space="preserve">CUBOS DE CONSTRUCCION 2 (8Pz) [544]     </v>
          </cell>
          <cell r="D2605" t="str">
            <v xml:space="preserve">PIGO </v>
          </cell>
          <cell r="E2605">
            <v>97.35</v>
          </cell>
          <cell r="F2605">
            <v>112.92599999999999</v>
          </cell>
        </row>
        <row r="2606">
          <cell r="A2606">
            <v>2602</v>
          </cell>
          <cell r="B2606" t="str">
            <v xml:space="preserve">7501078705451   </v>
          </cell>
          <cell r="C2606" t="str">
            <v xml:space="preserve">ABEJA FELIZ [545]                       </v>
          </cell>
          <cell r="D2606" t="str">
            <v xml:space="preserve">PIGO </v>
          </cell>
          <cell r="E2606">
            <v>122.09999999999998</v>
          </cell>
          <cell r="F2606">
            <v>141.63599999999997</v>
          </cell>
        </row>
        <row r="2607">
          <cell r="A2607">
            <v>2603</v>
          </cell>
          <cell r="B2607" t="str">
            <v xml:space="preserve">7501078705468   </v>
          </cell>
          <cell r="C2607" t="str">
            <v xml:space="preserve">DESTREZA MANUAL [546]                   </v>
          </cell>
          <cell r="D2607" t="str">
            <v xml:space="preserve">PIGO </v>
          </cell>
          <cell r="E2607">
            <v>72.599999999999994</v>
          </cell>
          <cell r="F2607">
            <v>84.215999999999994</v>
          </cell>
        </row>
        <row r="2608">
          <cell r="A2608">
            <v>2604</v>
          </cell>
          <cell r="B2608" t="str">
            <v xml:space="preserve">7501078705475   </v>
          </cell>
          <cell r="C2608" t="str">
            <v xml:space="preserve">TREN DE VAPOR CON VIAS (10Pz) [547]     </v>
          </cell>
          <cell r="D2608" t="str">
            <v xml:space="preserve">PIGO </v>
          </cell>
          <cell r="E2608">
            <v>343.19999999999993</v>
          </cell>
          <cell r="F2608">
            <v>398.11199999999991</v>
          </cell>
        </row>
        <row r="2609">
          <cell r="A2609">
            <v>2605</v>
          </cell>
          <cell r="B2609" t="str">
            <v xml:space="preserve">7501078705482   </v>
          </cell>
          <cell r="C2609" t="str">
            <v xml:space="preserve">TREN DE VAPOR No. 2 (9Pz) [548]         </v>
          </cell>
          <cell r="D2609" t="str">
            <v xml:space="preserve">PIGO </v>
          </cell>
          <cell r="E2609">
            <v>171.59999999999997</v>
          </cell>
          <cell r="F2609">
            <v>199.05599999999995</v>
          </cell>
        </row>
        <row r="2610">
          <cell r="A2610">
            <v>2606</v>
          </cell>
          <cell r="B2610" t="str">
            <v xml:space="preserve">7501078705499   </v>
          </cell>
          <cell r="C2610" t="str">
            <v xml:space="preserve">ARQUITECTO (33Pz) [549]                 </v>
          </cell>
          <cell r="D2610" t="str">
            <v xml:space="preserve">PIGO </v>
          </cell>
          <cell r="E2610">
            <v>293.7</v>
          </cell>
          <cell r="F2610">
            <v>340.69199999999995</v>
          </cell>
        </row>
        <row r="2611">
          <cell r="A2611">
            <v>2607</v>
          </cell>
          <cell r="B2611" t="str">
            <v xml:space="preserve">7501078705505   </v>
          </cell>
          <cell r="C2611" t="str">
            <v xml:space="preserve">ARQUITECTO No. 2 (17Pz) [550]           </v>
          </cell>
          <cell r="D2611" t="str">
            <v xml:space="preserve">PIGO </v>
          </cell>
          <cell r="E2611">
            <v>146.85</v>
          </cell>
          <cell r="F2611">
            <v>170.34599999999998</v>
          </cell>
        </row>
        <row r="2612">
          <cell r="A2612">
            <v>2608</v>
          </cell>
          <cell r="B2612" t="str">
            <v xml:space="preserve">7501078705512   </v>
          </cell>
          <cell r="C2612" t="str">
            <v xml:space="preserve">HELICOPTERO DE RESCATE [551]            </v>
          </cell>
          <cell r="D2612" t="str">
            <v xml:space="preserve">PIGO </v>
          </cell>
          <cell r="E2612">
            <v>135.29999999999998</v>
          </cell>
          <cell r="F2612">
            <v>156.94799999999998</v>
          </cell>
        </row>
        <row r="2613">
          <cell r="A2613">
            <v>2609</v>
          </cell>
          <cell r="B2613" t="str">
            <v xml:space="preserve">7501078705529   </v>
          </cell>
          <cell r="C2613" t="str">
            <v xml:space="preserve">ALEGRE TORTUGUITA [552]                 </v>
          </cell>
          <cell r="D2613" t="str">
            <v xml:space="preserve">PIGO </v>
          </cell>
          <cell r="E2613">
            <v>122.09999999999998</v>
          </cell>
          <cell r="F2613">
            <v>141.63599999999997</v>
          </cell>
        </row>
        <row r="2614">
          <cell r="A2614">
            <v>2610</v>
          </cell>
          <cell r="B2614" t="str">
            <v xml:space="preserve">7501078705536   </v>
          </cell>
          <cell r="C2614" t="str">
            <v xml:space="preserve">EXPRESSO [553]                          </v>
          </cell>
          <cell r="D2614" t="str">
            <v xml:space="preserve">PIGO </v>
          </cell>
          <cell r="E2614">
            <v>391.0499999999999</v>
          </cell>
          <cell r="F2614">
            <v>453.61799999999988</v>
          </cell>
        </row>
        <row r="2615">
          <cell r="A2615">
            <v>2611</v>
          </cell>
          <cell r="B2615" t="str">
            <v xml:space="preserve">7501078705543   </v>
          </cell>
          <cell r="C2615" t="str">
            <v xml:space="preserve">COSMIC [554]                            </v>
          </cell>
          <cell r="D2615" t="str">
            <v xml:space="preserve">PIGO </v>
          </cell>
          <cell r="E2615">
            <v>171.59999999999997</v>
          </cell>
          <cell r="F2615">
            <v>199.05599999999995</v>
          </cell>
        </row>
        <row r="2616">
          <cell r="A2616">
            <v>2612</v>
          </cell>
          <cell r="B2616" t="str">
            <v xml:space="preserve">7501078705550   </v>
          </cell>
          <cell r="C2616" t="str">
            <v xml:space="preserve">LOCOMOTORA [555]                        </v>
          </cell>
          <cell r="D2616" t="str">
            <v xml:space="preserve">PIGO </v>
          </cell>
          <cell r="E2616">
            <v>207.9</v>
          </cell>
          <cell r="F2616">
            <v>241.16399999999999</v>
          </cell>
        </row>
        <row r="2617">
          <cell r="A2617">
            <v>2613</v>
          </cell>
          <cell r="B2617" t="str">
            <v xml:space="preserve">7501078705567   </v>
          </cell>
          <cell r="C2617" t="str">
            <v xml:space="preserve">CAMPAMENTO [556]                        </v>
          </cell>
          <cell r="D2617" t="str">
            <v xml:space="preserve">PIGO </v>
          </cell>
          <cell r="E2617">
            <v>110.55000000000001</v>
          </cell>
          <cell r="F2617">
            <v>128.238</v>
          </cell>
        </row>
        <row r="2618">
          <cell r="A2618">
            <v>2614</v>
          </cell>
          <cell r="B2618" t="str">
            <v xml:space="preserve">7501078705574   </v>
          </cell>
          <cell r="C2618" t="str">
            <v xml:space="preserve">NUMEROS 1 JGO. [557]                    </v>
          </cell>
          <cell r="D2618" t="str">
            <v xml:space="preserve">PIGO </v>
          </cell>
          <cell r="E2618">
            <v>61.04999999999999</v>
          </cell>
          <cell r="F2618">
            <v>70.817999999999984</v>
          </cell>
        </row>
        <row r="2619">
          <cell r="A2619">
            <v>2615</v>
          </cell>
          <cell r="B2619" t="str">
            <v xml:space="preserve">7501078705581   </v>
          </cell>
          <cell r="C2619" t="str">
            <v xml:space="preserve">NUMEROS 2 JGOS. [558]                   </v>
          </cell>
          <cell r="D2619" t="str">
            <v xml:space="preserve">PIGO </v>
          </cell>
          <cell r="E2619">
            <v>97.35</v>
          </cell>
          <cell r="F2619">
            <v>112.92599999999999</v>
          </cell>
        </row>
        <row r="2620">
          <cell r="A2620">
            <v>2616</v>
          </cell>
          <cell r="B2620" t="str">
            <v xml:space="preserve">7501078705598   </v>
          </cell>
          <cell r="C2620" t="str">
            <v xml:space="preserve">LETRAS 1 JGO. [559]                     </v>
          </cell>
          <cell r="D2620" t="str">
            <v xml:space="preserve">PIGO </v>
          </cell>
          <cell r="E2620">
            <v>97.35</v>
          </cell>
          <cell r="F2620">
            <v>112.92599999999999</v>
          </cell>
        </row>
        <row r="2621">
          <cell r="A2621">
            <v>2617</v>
          </cell>
          <cell r="B2621" t="str">
            <v xml:space="preserve">7501078705604   </v>
          </cell>
          <cell r="C2621" t="str">
            <v xml:space="preserve">LETRAS 2 JGOS. [560]                    </v>
          </cell>
          <cell r="D2621" t="str">
            <v xml:space="preserve">PIGO </v>
          </cell>
          <cell r="E2621">
            <v>171.59999999999997</v>
          </cell>
          <cell r="F2621">
            <v>199.05599999999995</v>
          </cell>
        </row>
        <row r="2622">
          <cell r="A2622">
            <v>2618</v>
          </cell>
          <cell r="B2622" t="str">
            <v xml:space="preserve">7501078705611   </v>
          </cell>
          <cell r="C2622" t="str">
            <v xml:space="preserve">LETRAS Y NUMEROS CIP 2 JGOS. [561]      </v>
          </cell>
          <cell r="D2622" t="str">
            <v xml:space="preserve">PIGO </v>
          </cell>
          <cell r="E2622">
            <v>343.19999999999993</v>
          </cell>
          <cell r="F2622">
            <v>398.11199999999991</v>
          </cell>
        </row>
        <row r="2623">
          <cell r="A2623">
            <v>2619</v>
          </cell>
          <cell r="B2623" t="str">
            <v xml:space="preserve">7501078705628   </v>
          </cell>
          <cell r="C2623" t="str">
            <v xml:space="preserve">NUMEROS 1 JGO. CON IMAN [562]           </v>
          </cell>
          <cell r="D2623" t="str">
            <v xml:space="preserve">PIGO </v>
          </cell>
          <cell r="E2623">
            <v>85.799999999999983</v>
          </cell>
          <cell r="F2623">
            <v>99.527999999999977</v>
          </cell>
        </row>
        <row r="2624">
          <cell r="A2624">
            <v>2620</v>
          </cell>
          <cell r="B2624" t="str">
            <v xml:space="preserve">7501078705635   </v>
          </cell>
          <cell r="C2624" t="str">
            <v xml:space="preserve">NUMEROS 2 JUEGOS CON IMAN  [563]        </v>
          </cell>
          <cell r="D2624" t="str">
            <v xml:space="preserve">PIGO </v>
          </cell>
          <cell r="E2624">
            <v>158.39999999999998</v>
          </cell>
          <cell r="F2624">
            <v>183.74399999999997</v>
          </cell>
        </row>
        <row r="2625">
          <cell r="A2625">
            <v>2621</v>
          </cell>
          <cell r="B2625" t="str">
            <v xml:space="preserve">7501078705642   </v>
          </cell>
          <cell r="C2625" t="str">
            <v xml:space="preserve">LETRAS 1 JGO. CON IMAN [564]            </v>
          </cell>
          <cell r="D2625" t="str">
            <v xml:space="preserve">PIGO </v>
          </cell>
          <cell r="E2625">
            <v>146.85</v>
          </cell>
          <cell r="F2625">
            <v>170.34599999999998</v>
          </cell>
        </row>
        <row r="2626">
          <cell r="A2626">
            <v>2622</v>
          </cell>
          <cell r="B2626" t="str">
            <v xml:space="preserve">7501078705659   </v>
          </cell>
          <cell r="C2626" t="str">
            <v xml:space="preserve">LETRAS 2 JUEGOS CON IMAN [565]          </v>
          </cell>
          <cell r="D2626" t="str">
            <v xml:space="preserve">PIGO </v>
          </cell>
          <cell r="E2626">
            <v>268.95</v>
          </cell>
          <cell r="F2626">
            <v>311.98199999999997</v>
          </cell>
        </row>
        <row r="2627">
          <cell r="A2627">
            <v>2623</v>
          </cell>
          <cell r="B2627" t="str">
            <v xml:space="preserve">7501078705666   </v>
          </cell>
          <cell r="C2627" t="str">
            <v>LETRAS Y NUMEROS CIP 2 JG. C/ IMAN [566]</v>
          </cell>
          <cell r="D2627" t="str">
            <v xml:space="preserve">PIGO </v>
          </cell>
          <cell r="E2627">
            <v>440.54999999999995</v>
          </cell>
          <cell r="F2627">
            <v>511.0379999999999</v>
          </cell>
        </row>
        <row r="2628">
          <cell r="A2628">
            <v>2624</v>
          </cell>
          <cell r="B2628" t="str">
            <v xml:space="preserve">7501078707080   </v>
          </cell>
          <cell r="C2628" t="str">
            <v xml:space="preserve">PERRITO CHILLON [708]                   </v>
          </cell>
          <cell r="D2628" t="str">
            <v xml:space="preserve">PIGO </v>
          </cell>
          <cell r="E2628">
            <v>183.15</v>
          </cell>
          <cell r="F2628">
            <v>212.45399999999998</v>
          </cell>
        </row>
        <row r="2629">
          <cell r="A2629">
            <v>2625</v>
          </cell>
          <cell r="B2629" t="str">
            <v xml:space="preserve">7501078707288   </v>
          </cell>
          <cell r="C2629" t="str">
            <v xml:space="preserve">TELEFONO PERIQUIN [728]                 </v>
          </cell>
          <cell r="D2629" t="str">
            <v xml:space="preserve">PIGO </v>
          </cell>
          <cell r="E2629">
            <v>237.6</v>
          </cell>
          <cell r="F2629">
            <v>275.61599999999999</v>
          </cell>
        </row>
        <row r="2630">
          <cell r="A2630">
            <v>2626</v>
          </cell>
          <cell r="B2630" t="str">
            <v xml:space="preserve">7501078707363   </v>
          </cell>
          <cell r="C2630" t="str">
            <v xml:space="preserve">BOMBERITO PERIQUIN [736]                </v>
          </cell>
          <cell r="D2630" t="str">
            <v xml:space="preserve">PIGO </v>
          </cell>
          <cell r="E2630">
            <v>196.35</v>
          </cell>
          <cell r="F2630">
            <v>227.76599999999996</v>
          </cell>
        </row>
        <row r="2631">
          <cell r="A2631">
            <v>2627</v>
          </cell>
          <cell r="B2631" t="str">
            <v xml:space="preserve">7501078707394   </v>
          </cell>
          <cell r="C2631" t="str">
            <v xml:space="preserve">MINI BUS [739]                          </v>
          </cell>
          <cell r="D2631" t="str">
            <v xml:space="preserve">PIGO </v>
          </cell>
          <cell r="E2631">
            <v>196.35</v>
          </cell>
          <cell r="F2631">
            <v>227.76599999999996</v>
          </cell>
        </row>
        <row r="2632">
          <cell r="A2632">
            <v>2628</v>
          </cell>
          <cell r="B2632" t="str">
            <v xml:space="preserve">7501078707417   </v>
          </cell>
          <cell r="C2632" t="str">
            <v xml:space="preserve">BURBUJAS TOP TOP [741]                  </v>
          </cell>
          <cell r="D2632" t="str">
            <v xml:space="preserve">PIGO </v>
          </cell>
          <cell r="E2632">
            <v>315.14999999999998</v>
          </cell>
          <cell r="F2632">
            <v>365.57399999999996</v>
          </cell>
        </row>
        <row r="2633">
          <cell r="A2633">
            <v>2629</v>
          </cell>
          <cell r="B2633" t="str">
            <v xml:space="preserve">7501078707424   </v>
          </cell>
          <cell r="C2633" t="str">
            <v xml:space="preserve">BOLICHE PERIQUIN [742]                  </v>
          </cell>
          <cell r="D2633" t="str">
            <v xml:space="preserve">PIGO </v>
          </cell>
          <cell r="E2633">
            <v>264</v>
          </cell>
          <cell r="F2633">
            <v>306.23999999999995</v>
          </cell>
        </row>
        <row r="2634">
          <cell r="A2634">
            <v>2630</v>
          </cell>
          <cell r="B2634" t="str">
            <v xml:space="preserve">7501078707530   </v>
          </cell>
          <cell r="C2634" t="str">
            <v xml:space="preserve">CAMARA PERIQUIN [753]                   </v>
          </cell>
          <cell r="D2634" t="str">
            <v xml:space="preserve">PIGO </v>
          </cell>
          <cell r="E2634">
            <v>264</v>
          </cell>
          <cell r="F2634">
            <v>306.23999999999995</v>
          </cell>
        </row>
        <row r="2635">
          <cell r="A2635">
            <v>2631</v>
          </cell>
          <cell r="B2635" t="str">
            <v xml:space="preserve">7501078707592   </v>
          </cell>
          <cell r="C2635" t="str">
            <v xml:space="preserve">MOTO CROSS [759]                        </v>
          </cell>
          <cell r="D2635" t="str">
            <v xml:space="preserve">PIGO </v>
          </cell>
          <cell r="E2635">
            <v>552.75</v>
          </cell>
          <cell r="F2635">
            <v>641.18999999999994</v>
          </cell>
        </row>
        <row r="2636">
          <cell r="A2636">
            <v>2632</v>
          </cell>
          <cell r="B2636" t="str">
            <v xml:space="preserve">7501078707653   </v>
          </cell>
          <cell r="C2636" t="str">
            <v xml:space="preserve">EQUIPO DE ACTIVIDADES [765]             </v>
          </cell>
          <cell r="D2636" t="str">
            <v xml:space="preserve">PIGO </v>
          </cell>
          <cell r="E2636">
            <v>338.25</v>
          </cell>
          <cell r="F2636">
            <v>392.36999999999995</v>
          </cell>
        </row>
        <row r="2637">
          <cell r="A2637">
            <v>2633</v>
          </cell>
          <cell r="B2637" t="str">
            <v xml:space="preserve">7501078707660   </v>
          </cell>
          <cell r="C2637" t="str">
            <v xml:space="preserve">CANASTA DIDACTICA [766]                 </v>
          </cell>
          <cell r="D2637" t="str">
            <v xml:space="preserve">PIGO </v>
          </cell>
          <cell r="E2637">
            <v>204.6</v>
          </cell>
          <cell r="F2637">
            <v>237.33599999999998</v>
          </cell>
        </row>
        <row r="2638">
          <cell r="A2638">
            <v>2634</v>
          </cell>
          <cell r="B2638" t="str">
            <v xml:space="preserve">7501078707691   </v>
          </cell>
          <cell r="C2638" t="str">
            <v xml:space="preserve">PUEBLO PERIQUIN [769]                   </v>
          </cell>
          <cell r="D2638" t="str">
            <v xml:space="preserve">PIGO </v>
          </cell>
          <cell r="E2638">
            <v>655.04999999999995</v>
          </cell>
          <cell r="F2638">
            <v>759.85799999999995</v>
          </cell>
        </row>
        <row r="2639">
          <cell r="A2639">
            <v>2635</v>
          </cell>
          <cell r="B2639" t="str">
            <v xml:space="preserve">7501078707707   </v>
          </cell>
          <cell r="C2639" t="str">
            <v xml:space="preserve">PETACA CON 40 DADOS [770]               </v>
          </cell>
          <cell r="D2639" t="str">
            <v xml:space="preserve">PIGO </v>
          </cell>
          <cell r="E2639">
            <v>572.54999999999995</v>
          </cell>
          <cell r="F2639">
            <v>664.1579999999999</v>
          </cell>
        </row>
        <row r="2640">
          <cell r="A2640">
            <v>2636</v>
          </cell>
          <cell r="B2640" t="str">
            <v xml:space="preserve">7501078707738   </v>
          </cell>
          <cell r="C2640" t="str">
            <v xml:space="preserve">MESA PARA MARTILLAR [773]               </v>
          </cell>
          <cell r="D2640" t="str">
            <v xml:space="preserve">PIGO </v>
          </cell>
          <cell r="E2640">
            <v>237.6</v>
          </cell>
          <cell r="F2640">
            <v>275.61599999999999</v>
          </cell>
        </row>
        <row r="2641">
          <cell r="A2641">
            <v>2637</v>
          </cell>
          <cell r="B2641" t="str">
            <v xml:space="preserve">7501078707745   </v>
          </cell>
          <cell r="C2641" t="str">
            <v xml:space="preserve">TOMEMOS EL TÉ [774]                     </v>
          </cell>
          <cell r="D2641" t="str">
            <v xml:space="preserve">PIGO </v>
          </cell>
          <cell r="E2641">
            <v>273.89999999999998</v>
          </cell>
          <cell r="F2641">
            <v>317.72399999999993</v>
          </cell>
        </row>
        <row r="2642">
          <cell r="A2642">
            <v>2638</v>
          </cell>
          <cell r="B2642" t="str">
            <v xml:space="preserve">7501078707752   </v>
          </cell>
          <cell r="C2642" t="str">
            <v xml:space="preserve">EL RAYO [775]                           </v>
          </cell>
          <cell r="D2642" t="str">
            <v xml:space="preserve">PIGO </v>
          </cell>
          <cell r="E2642">
            <v>237.6</v>
          </cell>
          <cell r="F2642">
            <v>275.61599999999999</v>
          </cell>
        </row>
        <row r="2643">
          <cell r="A2643">
            <v>2639</v>
          </cell>
          <cell r="B2643" t="str">
            <v xml:space="preserve">7501078707769   </v>
          </cell>
          <cell r="C2643" t="str">
            <v xml:space="preserve">MI PEQUEÑA BATERIA DE COCINA [776]      </v>
          </cell>
          <cell r="D2643" t="str">
            <v xml:space="preserve">PIGO </v>
          </cell>
          <cell r="E2643">
            <v>414.15</v>
          </cell>
          <cell r="F2643">
            <v>480.41399999999993</v>
          </cell>
        </row>
        <row r="2644">
          <cell r="A2644">
            <v>2640</v>
          </cell>
          <cell r="B2644" t="str">
            <v xml:space="preserve">7501078707783   </v>
          </cell>
          <cell r="C2644" t="str">
            <v xml:space="preserve">CUBOS DE CONSTRUCCION [778]             </v>
          </cell>
          <cell r="D2644" t="str">
            <v xml:space="preserve">PIGO </v>
          </cell>
          <cell r="E2644">
            <v>183.15</v>
          </cell>
          <cell r="F2644">
            <v>212.45399999999998</v>
          </cell>
        </row>
        <row r="2645">
          <cell r="A2645">
            <v>2641</v>
          </cell>
          <cell r="B2645" t="str">
            <v xml:space="preserve">7501078707820   </v>
          </cell>
          <cell r="C2645" t="str">
            <v xml:space="preserve">TREN DE VAPOR [782]                     </v>
          </cell>
          <cell r="D2645" t="str">
            <v xml:space="preserve">PIGO </v>
          </cell>
          <cell r="E2645">
            <v>237.6</v>
          </cell>
          <cell r="F2645">
            <v>275.61599999999999</v>
          </cell>
        </row>
        <row r="2646">
          <cell r="A2646">
            <v>2642</v>
          </cell>
          <cell r="B2646" t="str">
            <v xml:space="preserve">7501078707837   </v>
          </cell>
          <cell r="C2646" t="str">
            <v xml:space="preserve">ARQUITECTO [783]                        </v>
          </cell>
          <cell r="D2646" t="str">
            <v xml:space="preserve">PIGO </v>
          </cell>
          <cell r="E2646">
            <v>366.3</v>
          </cell>
          <cell r="F2646">
            <v>424.90799999999996</v>
          </cell>
        </row>
        <row r="2647">
          <cell r="A2647">
            <v>2643</v>
          </cell>
          <cell r="B2647" t="str">
            <v xml:space="preserve">7501078707882   </v>
          </cell>
          <cell r="C2647" t="str">
            <v xml:space="preserve">NUMEROS MAGNETICOS [788]                </v>
          </cell>
          <cell r="D2647" t="str">
            <v xml:space="preserve">PIGO </v>
          </cell>
          <cell r="E2647">
            <v>183.15</v>
          </cell>
          <cell r="F2647">
            <v>212.45399999999998</v>
          </cell>
        </row>
        <row r="2648">
          <cell r="A2648">
            <v>2644</v>
          </cell>
          <cell r="B2648" t="str">
            <v xml:space="preserve">7501991807003   </v>
          </cell>
          <cell r="C2648" t="str">
            <v xml:space="preserve">(A-1) BAILO                             </v>
          </cell>
          <cell r="D2648" t="str">
            <v>PIKOL</v>
          </cell>
          <cell r="E2648">
            <v>28.05</v>
          </cell>
          <cell r="F2648">
            <v>32.537999999999997</v>
          </cell>
        </row>
        <row r="2649">
          <cell r="A2649">
            <v>2645</v>
          </cell>
          <cell r="B2649" t="str">
            <v xml:space="preserve">7501991807010   </v>
          </cell>
          <cell r="C2649" t="str">
            <v xml:space="preserve">(A-2) CAMINO                            </v>
          </cell>
          <cell r="D2649" t="str">
            <v>PIKOL</v>
          </cell>
          <cell r="E2649">
            <v>28.05</v>
          </cell>
          <cell r="F2649">
            <v>32.537999999999997</v>
          </cell>
        </row>
        <row r="2650">
          <cell r="A2650">
            <v>2646</v>
          </cell>
          <cell r="B2650" t="str">
            <v xml:space="preserve">7501991807027   </v>
          </cell>
          <cell r="C2650" t="str">
            <v xml:space="preserve">(A-3) CANTO                             </v>
          </cell>
          <cell r="D2650" t="str">
            <v>PIKOL</v>
          </cell>
          <cell r="E2650">
            <v>28.05</v>
          </cell>
          <cell r="F2650">
            <v>32.537999999999997</v>
          </cell>
        </row>
        <row r="2651">
          <cell r="A2651">
            <v>2647</v>
          </cell>
          <cell r="B2651" t="str">
            <v xml:space="preserve">7501991807034   </v>
          </cell>
          <cell r="C2651" t="str">
            <v xml:space="preserve">(A-4) CUIDO LA NATURALEZA               </v>
          </cell>
          <cell r="D2651" t="str">
            <v>PIKOL</v>
          </cell>
          <cell r="E2651">
            <v>28.05</v>
          </cell>
          <cell r="F2651">
            <v>32.537999999999997</v>
          </cell>
        </row>
        <row r="2652">
          <cell r="A2652">
            <v>2648</v>
          </cell>
          <cell r="B2652" t="str">
            <v xml:space="preserve">7501991807041   </v>
          </cell>
          <cell r="C2652" t="str">
            <v xml:space="preserve">(A-5) ENTRAMOS EN ORDEN                 </v>
          </cell>
          <cell r="D2652" t="str">
            <v>PIKOL</v>
          </cell>
          <cell r="E2652">
            <v>28.05</v>
          </cell>
          <cell r="F2652">
            <v>32.537999999999997</v>
          </cell>
        </row>
        <row r="2653">
          <cell r="A2653">
            <v>2649</v>
          </cell>
          <cell r="B2653" t="str">
            <v xml:space="preserve">7501991807058   </v>
          </cell>
          <cell r="C2653" t="str">
            <v xml:space="preserve">(A-6) JUEGO Y RESPETO                   </v>
          </cell>
          <cell r="D2653" t="str">
            <v>PIKOL</v>
          </cell>
          <cell r="E2653">
            <v>28.05</v>
          </cell>
          <cell r="F2653">
            <v>32.537999999999997</v>
          </cell>
        </row>
        <row r="2654">
          <cell r="A2654">
            <v>2650</v>
          </cell>
          <cell r="B2654" t="str">
            <v xml:space="preserve">7501991807065   </v>
          </cell>
          <cell r="C2654" t="str">
            <v xml:space="preserve">(A-7) LLANTAS EN SU LUGAR               </v>
          </cell>
          <cell r="D2654" t="str">
            <v>PIKOL</v>
          </cell>
          <cell r="E2654">
            <v>28.05</v>
          </cell>
          <cell r="F2654">
            <v>32.537999999999997</v>
          </cell>
        </row>
        <row r="2655">
          <cell r="A2655">
            <v>2651</v>
          </cell>
          <cell r="B2655" t="str">
            <v xml:space="preserve">7501991807072   </v>
          </cell>
          <cell r="C2655" t="str">
            <v xml:space="preserve">(A-8) LUGAR ORDENADO                    </v>
          </cell>
          <cell r="D2655" t="str">
            <v>PIKOL</v>
          </cell>
          <cell r="E2655">
            <v>28.05</v>
          </cell>
          <cell r="F2655">
            <v>32.537999999999997</v>
          </cell>
        </row>
        <row r="2656">
          <cell r="A2656">
            <v>2652</v>
          </cell>
          <cell r="B2656" t="str">
            <v xml:space="preserve">7501991807089   </v>
          </cell>
          <cell r="C2656" t="str">
            <v xml:space="preserve">(A-9) MATERIAL EN SU LUGAR              </v>
          </cell>
          <cell r="D2656" t="str">
            <v>PIKOL</v>
          </cell>
          <cell r="E2656">
            <v>28.05</v>
          </cell>
          <cell r="F2656">
            <v>32.537999999999997</v>
          </cell>
        </row>
        <row r="2657">
          <cell r="A2657">
            <v>2653</v>
          </cell>
          <cell r="B2657" t="str">
            <v xml:space="preserve">7501991807096   </v>
          </cell>
          <cell r="C2657" t="str">
            <v xml:space="preserve">(A-10) PIDO LA PALABRA                  </v>
          </cell>
          <cell r="D2657" t="str">
            <v>PIKOL</v>
          </cell>
          <cell r="E2657">
            <v>28.05</v>
          </cell>
          <cell r="F2657">
            <v>32.537999999999997</v>
          </cell>
        </row>
        <row r="2658">
          <cell r="A2658">
            <v>2654</v>
          </cell>
          <cell r="B2658" t="str">
            <v xml:space="preserve">7501991807102   </v>
          </cell>
          <cell r="C2658" t="str">
            <v xml:space="preserve">(A-11) REGADERAS EN SU LUGAR            </v>
          </cell>
          <cell r="D2658" t="str">
            <v>PIKOL</v>
          </cell>
          <cell r="E2658">
            <v>28.05</v>
          </cell>
          <cell r="F2658">
            <v>32.537999999999997</v>
          </cell>
        </row>
        <row r="2659">
          <cell r="A2659">
            <v>2655</v>
          </cell>
          <cell r="B2659" t="str">
            <v xml:space="preserve">7501991807119   </v>
          </cell>
          <cell r="C2659" t="str">
            <v xml:space="preserve">(A-12) RESPETO A MI COMPAÑERO           </v>
          </cell>
          <cell r="D2659" t="str">
            <v>PIKOL</v>
          </cell>
          <cell r="E2659">
            <v>28.05</v>
          </cell>
          <cell r="F2659">
            <v>32.537999999999997</v>
          </cell>
        </row>
        <row r="2660">
          <cell r="A2660">
            <v>2656</v>
          </cell>
          <cell r="B2660" t="str">
            <v xml:space="preserve">7501991807126   </v>
          </cell>
          <cell r="C2660" t="str">
            <v xml:space="preserve">(A-13) SALIMOS TOMADOS DE LA MANO       </v>
          </cell>
          <cell r="D2660" t="str">
            <v>PIKOL</v>
          </cell>
          <cell r="E2660">
            <v>28.05</v>
          </cell>
          <cell r="F2660">
            <v>32.537999999999997</v>
          </cell>
        </row>
        <row r="2661">
          <cell r="A2661">
            <v>2657</v>
          </cell>
          <cell r="B2661" t="str">
            <v xml:space="preserve">7501991807133   </v>
          </cell>
          <cell r="C2661" t="str">
            <v xml:space="preserve">(A-14) SILLA EN SU LUGAR                </v>
          </cell>
          <cell r="D2661" t="str">
            <v>PIKOL</v>
          </cell>
          <cell r="E2661">
            <v>28.05</v>
          </cell>
          <cell r="F2661">
            <v>32.537999999999997</v>
          </cell>
        </row>
        <row r="2662">
          <cell r="A2662">
            <v>2658</v>
          </cell>
          <cell r="B2662" t="str">
            <v xml:space="preserve">7501991807140   </v>
          </cell>
          <cell r="C2662" t="str">
            <v xml:space="preserve">(A-15) TOMADOS DEL BARANDAL             </v>
          </cell>
          <cell r="D2662" t="str">
            <v>PIKOL</v>
          </cell>
          <cell r="E2662">
            <v>28.05</v>
          </cell>
          <cell r="F2662">
            <v>32.537999999999997</v>
          </cell>
        </row>
        <row r="2663">
          <cell r="A2663">
            <v>2659</v>
          </cell>
          <cell r="B2663" t="str">
            <v xml:space="preserve">7501991807157   </v>
          </cell>
          <cell r="C2663" t="str">
            <v xml:space="preserve">(A-16) TRICICLOS EN SU LUGAR            </v>
          </cell>
          <cell r="D2663" t="str">
            <v>PIKOL</v>
          </cell>
          <cell r="E2663">
            <v>28.05</v>
          </cell>
          <cell r="F2663">
            <v>32.537999999999997</v>
          </cell>
        </row>
        <row r="2664">
          <cell r="A2664">
            <v>2660</v>
          </cell>
          <cell r="B2664" t="str">
            <v xml:space="preserve">7501991807164   </v>
          </cell>
          <cell r="C2664" t="str">
            <v xml:space="preserve">(A-17) UTILIZO LA BASINICA (NIÑA)       </v>
          </cell>
          <cell r="D2664" t="str">
            <v>PIKOL</v>
          </cell>
          <cell r="E2664">
            <v>28.05</v>
          </cell>
          <cell r="F2664">
            <v>32.537999999999997</v>
          </cell>
        </row>
        <row r="2665">
          <cell r="A2665">
            <v>2661</v>
          </cell>
          <cell r="B2665" t="str">
            <v xml:space="preserve">7501991807171   </v>
          </cell>
          <cell r="C2665" t="str">
            <v xml:space="preserve">(A-18) UTILIZO LA BASINICA (NIÑO)       </v>
          </cell>
          <cell r="D2665" t="str">
            <v>PIKOL</v>
          </cell>
          <cell r="E2665">
            <v>28.05</v>
          </cell>
          <cell r="F2665">
            <v>32.537999999999997</v>
          </cell>
        </row>
        <row r="2666">
          <cell r="A2666">
            <v>2662</v>
          </cell>
          <cell r="B2666" t="str">
            <v xml:space="preserve">7501991807188   </v>
          </cell>
          <cell r="C2666" t="str">
            <v xml:space="preserve">(A-19) RUTINA CEPILLADO DIENTE          </v>
          </cell>
          <cell r="D2666" t="str">
            <v>PIKOL</v>
          </cell>
          <cell r="E2666">
            <v>141.9</v>
          </cell>
          <cell r="F2666">
            <v>164.60399999999998</v>
          </cell>
        </row>
        <row r="2667">
          <cell r="A2667">
            <v>2663</v>
          </cell>
          <cell r="B2667" t="str">
            <v xml:space="preserve">7501991807195   </v>
          </cell>
          <cell r="C2667" t="str">
            <v xml:space="preserve">(A-20) RUTINA LAVADO DE MANOS           </v>
          </cell>
          <cell r="D2667" t="str">
            <v>PIKOL</v>
          </cell>
          <cell r="E2667">
            <v>141.9</v>
          </cell>
          <cell r="F2667">
            <v>164.60399999999998</v>
          </cell>
        </row>
        <row r="2668">
          <cell r="A2668">
            <v>2664</v>
          </cell>
          <cell r="B2668" t="str">
            <v xml:space="preserve">7501991807201   </v>
          </cell>
          <cell r="C2668" t="str">
            <v xml:space="preserve">(Ai-30) PRE-ESCOLAR 1ro. 2do. 3ro.      </v>
          </cell>
          <cell r="D2668" t="str">
            <v>PIKOL</v>
          </cell>
          <cell r="E2668">
            <v>29.7</v>
          </cell>
          <cell r="F2668">
            <v>34.451999999999998</v>
          </cell>
        </row>
        <row r="2669">
          <cell r="A2669">
            <v>2665</v>
          </cell>
          <cell r="B2669" t="str">
            <v xml:space="preserve">7501991807218   </v>
          </cell>
          <cell r="C2669" t="str">
            <v xml:space="preserve">(Ai-31) LACTANTES                       </v>
          </cell>
          <cell r="D2669" t="str">
            <v>PIKOL</v>
          </cell>
          <cell r="E2669">
            <v>29.7</v>
          </cell>
          <cell r="F2669">
            <v>34.451999999999998</v>
          </cell>
        </row>
        <row r="2670">
          <cell r="A2670">
            <v>2666</v>
          </cell>
          <cell r="B2670" t="str">
            <v xml:space="preserve">7501991807225   </v>
          </cell>
          <cell r="C2670" t="str">
            <v xml:space="preserve">(Ai-31) MATERNAL                        </v>
          </cell>
          <cell r="D2670" t="str">
            <v>PIKOL</v>
          </cell>
          <cell r="E2670">
            <v>29.7</v>
          </cell>
          <cell r="F2670">
            <v>34.451999999999998</v>
          </cell>
        </row>
        <row r="2671">
          <cell r="A2671">
            <v>2667</v>
          </cell>
          <cell r="B2671" t="str">
            <v xml:space="preserve">7501991807232   </v>
          </cell>
          <cell r="C2671" t="str">
            <v xml:space="preserve">(Ac-1) ME TERMINO TODO                  </v>
          </cell>
          <cell r="D2671" t="str">
            <v>PIKOL</v>
          </cell>
          <cell r="E2671">
            <v>28.05</v>
          </cell>
          <cell r="F2671">
            <v>32.537999999999997</v>
          </cell>
        </row>
        <row r="2672">
          <cell r="A2672">
            <v>2668</v>
          </cell>
          <cell r="B2672" t="str">
            <v xml:space="preserve">7501991807249   </v>
          </cell>
          <cell r="C2672" t="str">
            <v xml:space="preserve">(Ac-2) USO DE CUBIERTOS                 </v>
          </cell>
          <cell r="D2672" t="str">
            <v>PIKOL</v>
          </cell>
          <cell r="E2672">
            <v>28.05</v>
          </cell>
          <cell r="F2672">
            <v>32.537999999999997</v>
          </cell>
        </row>
        <row r="2673">
          <cell r="A2673">
            <v>2669</v>
          </cell>
          <cell r="B2673" t="str">
            <v xml:space="preserve">7501991807256   </v>
          </cell>
          <cell r="C2673" t="str">
            <v xml:space="preserve">(Ac-3) USO DE SERVILLETA                </v>
          </cell>
          <cell r="D2673" t="str">
            <v>PIKOL</v>
          </cell>
          <cell r="E2673">
            <v>28.05</v>
          </cell>
          <cell r="F2673">
            <v>32.537999999999997</v>
          </cell>
        </row>
        <row r="2674">
          <cell r="A2674">
            <v>2670</v>
          </cell>
          <cell r="B2674" t="str">
            <v xml:space="preserve">7501991807263   </v>
          </cell>
          <cell r="C2674" t="str">
            <v xml:space="preserve">(Ac-4) POSICION DE CODOS                </v>
          </cell>
          <cell r="D2674" t="str">
            <v>PIKOL</v>
          </cell>
          <cell r="E2674">
            <v>28.05</v>
          </cell>
          <cell r="F2674">
            <v>32.537999999999997</v>
          </cell>
        </row>
        <row r="2675">
          <cell r="A2675">
            <v>2671</v>
          </cell>
          <cell r="B2675" t="str">
            <v xml:space="preserve">7501991807270   </v>
          </cell>
          <cell r="C2675" t="str">
            <v xml:space="preserve">(Ac-5) PLATO EXTENDIDO                  </v>
          </cell>
          <cell r="D2675" t="str">
            <v>PIKOL</v>
          </cell>
          <cell r="E2675">
            <v>28.05</v>
          </cell>
          <cell r="F2675">
            <v>32.537999999999997</v>
          </cell>
        </row>
        <row r="2676">
          <cell r="A2676">
            <v>2672</v>
          </cell>
          <cell r="B2676" t="str">
            <v xml:space="preserve">7501991807287   </v>
          </cell>
          <cell r="C2676" t="str">
            <v xml:space="preserve">(Ac-6) VASOS                            </v>
          </cell>
          <cell r="D2676" t="str">
            <v>PIKOL</v>
          </cell>
          <cell r="E2676">
            <v>28.05</v>
          </cell>
          <cell r="F2676">
            <v>32.537999999999997</v>
          </cell>
        </row>
        <row r="2677">
          <cell r="A2677">
            <v>2673</v>
          </cell>
          <cell r="B2677" t="str">
            <v xml:space="preserve">7501991807294   </v>
          </cell>
          <cell r="C2677" t="str">
            <v xml:space="preserve">(Ac-7) CUBIERTOS                        </v>
          </cell>
          <cell r="D2677" t="str">
            <v>PIKOL</v>
          </cell>
          <cell r="E2677">
            <v>28.05</v>
          </cell>
          <cell r="F2677">
            <v>32.537999999999997</v>
          </cell>
        </row>
        <row r="2678">
          <cell r="A2678">
            <v>2674</v>
          </cell>
          <cell r="B2678" t="str">
            <v xml:space="preserve">7501991807300   </v>
          </cell>
          <cell r="C2678" t="str">
            <v xml:space="preserve">(Ac-8) PLATO HONDO                      </v>
          </cell>
          <cell r="D2678" t="str">
            <v>PIKOL</v>
          </cell>
          <cell r="E2678">
            <v>28.05</v>
          </cell>
          <cell r="F2678">
            <v>32.537999999999997</v>
          </cell>
        </row>
        <row r="2679">
          <cell r="A2679">
            <v>2675</v>
          </cell>
          <cell r="B2679" t="str">
            <v xml:space="preserve">7501991807317   </v>
          </cell>
          <cell r="C2679" t="str">
            <v xml:space="preserve">(Ac-9) PLATO POSTRERO                   </v>
          </cell>
          <cell r="D2679" t="str">
            <v>PIKOL</v>
          </cell>
          <cell r="E2679">
            <v>28.05</v>
          </cell>
          <cell r="F2679">
            <v>32.537999999999997</v>
          </cell>
        </row>
        <row r="2680">
          <cell r="A2680">
            <v>2676</v>
          </cell>
          <cell r="B2680" t="str">
            <v xml:space="preserve">7501991807331   </v>
          </cell>
          <cell r="C2680" t="str">
            <v xml:space="preserve">(Ai-1) HORA ENTRADA (1 TURN.) (2 TURN.) </v>
          </cell>
          <cell r="D2680" t="str">
            <v>PIKOL</v>
          </cell>
          <cell r="E2680">
            <v>66</v>
          </cell>
          <cell r="F2680">
            <v>76.559999999999988</v>
          </cell>
        </row>
        <row r="2681">
          <cell r="A2681">
            <v>2677</v>
          </cell>
          <cell r="B2681" t="str">
            <v xml:space="preserve">7501991807348   </v>
          </cell>
          <cell r="C2681" t="str">
            <v xml:space="preserve">(Ai-2) HORA DE ENTRADA ESTANCIA         </v>
          </cell>
          <cell r="D2681" t="str">
            <v>PIKOL</v>
          </cell>
          <cell r="E2681">
            <v>66</v>
          </cell>
          <cell r="F2681">
            <v>76.559999999999988</v>
          </cell>
        </row>
        <row r="2682">
          <cell r="A2682">
            <v>2678</v>
          </cell>
          <cell r="B2682" t="str">
            <v xml:space="preserve">7501991807355   </v>
          </cell>
          <cell r="C2682" t="str">
            <v xml:space="preserve">(Ai-3) GAFETE ALUMNO                    </v>
          </cell>
          <cell r="D2682" t="str">
            <v>PIKOL</v>
          </cell>
          <cell r="E2682">
            <v>66</v>
          </cell>
          <cell r="F2682">
            <v>76.559999999999988</v>
          </cell>
        </row>
        <row r="2683">
          <cell r="A2683">
            <v>2679</v>
          </cell>
          <cell r="B2683" t="str">
            <v xml:space="preserve">7501991807362   </v>
          </cell>
          <cell r="C2683" t="str">
            <v xml:space="preserve">(Ai-4) CREDENCAL PAPA                   </v>
          </cell>
          <cell r="D2683" t="str">
            <v>PIKOL</v>
          </cell>
          <cell r="E2683">
            <v>66</v>
          </cell>
          <cell r="F2683">
            <v>76.559999999999988</v>
          </cell>
        </row>
        <row r="2684">
          <cell r="A2684">
            <v>2680</v>
          </cell>
          <cell r="B2684" t="str">
            <v xml:space="preserve">7501991807379   </v>
          </cell>
          <cell r="C2684" t="str">
            <v xml:space="preserve">(Ai-5) AREA JUEGOS                      </v>
          </cell>
          <cell r="D2684" t="str">
            <v>PIKOL</v>
          </cell>
          <cell r="E2684">
            <v>34.65</v>
          </cell>
          <cell r="F2684">
            <v>40.193999999999996</v>
          </cell>
        </row>
        <row r="2685">
          <cell r="A2685">
            <v>2681</v>
          </cell>
          <cell r="B2685" t="str">
            <v xml:space="preserve">7501991807386   </v>
          </cell>
          <cell r="C2685" t="str">
            <v xml:space="preserve">(Ai-6) ARENERO                          </v>
          </cell>
          <cell r="D2685" t="str">
            <v>PIKOL</v>
          </cell>
          <cell r="E2685">
            <v>34.65</v>
          </cell>
          <cell r="F2685">
            <v>40.193999999999996</v>
          </cell>
        </row>
        <row r="2686">
          <cell r="A2686">
            <v>2682</v>
          </cell>
          <cell r="B2686" t="str">
            <v xml:space="preserve">7501991807393   </v>
          </cell>
          <cell r="C2686" t="str">
            <v xml:space="preserve">(Ai-7) ASUNTOS A TRATAR                 </v>
          </cell>
          <cell r="D2686" t="str">
            <v>PIKOL</v>
          </cell>
          <cell r="E2686">
            <v>34.65</v>
          </cell>
          <cell r="F2686">
            <v>40.193999999999996</v>
          </cell>
        </row>
        <row r="2687">
          <cell r="A2687">
            <v>2683</v>
          </cell>
          <cell r="B2687" t="str">
            <v xml:space="preserve">7501991807409   </v>
          </cell>
          <cell r="C2687" t="str">
            <v xml:space="preserve">(Ai-8) AULAS                            </v>
          </cell>
          <cell r="D2687" t="str">
            <v>PIKOL</v>
          </cell>
          <cell r="E2687">
            <v>24.75</v>
          </cell>
          <cell r="F2687">
            <v>28.709999999999997</v>
          </cell>
        </row>
        <row r="2688">
          <cell r="A2688">
            <v>2684</v>
          </cell>
          <cell r="B2688" t="str">
            <v xml:space="preserve">7501991807416   </v>
          </cell>
          <cell r="C2688" t="str">
            <v xml:space="preserve">(Ai-9) AVISO MENU                       </v>
          </cell>
          <cell r="D2688" t="str">
            <v>PIKOL</v>
          </cell>
          <cell r="E2688">
            <v>122.09999999999998</v>
          </cell>
          <cell r="F2688">
            <v>141.63599999999997</v>
          </cell>
        </row>
        <row r="2689">
          <cell r="A2689">
            <v>2685</v>
          </cell>
          <cell r="B2689" t="str">
            <v xml:space="preserve">7501991807423   </v>
          </cell>
          <cell r="C2689" t="str">
            <v xml:space="preserve">(Ai-10) CONSEJO TECNICO IZTAPALAPA      </v>
          </cell>
          <cell r="D2689" t="str">
            <v>PIKOL</v>
          </cell>
          <cell r="E2689">
            <v>34.65</v>
          </cell>
          <cell r="F2689">
            <v>40.193999999999996</v>
          </cell>
        </row>
        <row r="2690">
          <cell r="A2690">
            <v>2686</v>
          </cell>
          <cell r="B2690" t="str">
            <v xml:space="preserve">7501991807430   </v>
          </cell>
          <cell r="C2690" t="str">
            <v xml:space="preserve">(Ai-11) CONSEJO TECNICO PALMA           </v>
          </cell>
          <cell r="D2690" t="str">
            <v>PIKOL</v>
          </cell>
          <cell r="E2690">
            <v>34.65</v>
          </cell>
          <cell r="F2690">
            <v>40.193999999999996</v>
          </cell>
        </row>
        <row r="2691">
          <cell r="A2691">
            <v>2687</v>
          </cell>
          <cell r="B2691" t="str">
            <v xml:space="preserve">7501991807447   </v>
          </cell>
          <cell r="C2691" t="str">
            <v xml:space="preserve">(Ai-12) DISPOSITIVO PARED               </v>
          </cell>
          <cell r="D2691" t="str">
            <v>PIKOL</v>
          </cell>
          <cell r="E2691">
            <v>31.35</v>
          </cell>
          <cell r="F2691">
            <v>36.366</v>
          </cell>
        </row>
        <row r="2692">
          <cell r="A2692">
            <v>2688</v>
          </cell>
          <cell r="B2692" t="str">
            <v xml:space="preserve">7501991807454   </v>
          </cell>
          <cell r="C2692" t="str">
            <v xml:space="preserve">(Ai-13) DEPOSITO TANQUE                 </v>
          </cell>
          <cell r="D2692" t="str">
            <v>PIKOL</v>
          </cell>
          <cell r="E2692">
            <v>31.35</v>
          </cell>
          <cell r="F2692">
            <v>36.366</v>
          </cell>
        </row>
        <row r="2693">
          <cell r="A2693">
            <v>2689</v>
          </cell>
          <cell r="B2693" t="str">
            <v xml:space="preserve">7501991807461   </v>
          </cell>
          <cell r="C2693" t="str">
            <v xml:space="preserve">(Ai-14) ESPEJO DE AGUA                  </v>
          </cell>
          <cell r="D2693" t="str">
            <v>PIKOL</v>
          </cell>
          <cell r="E2693">
            <v>29.7</v>
          </cell>
          <cell r="F2693">
            <v>34.451999999999998</v>
          </cell>
        </row>
        <row r="2694">
          <cell r="A2694">
            <v>2690</v>
          </cell>
          <cell r="B2694" t="str">
            <v xml:space="preserve">7501991807478   </v>
          </cell>
          <cell r="C2694" t="str">
            <v xml:space="preserve">(Ai-15) GRUPOS                          </v>
          </cell>
          <cell r="D2694" t="str">
            <v>PIKOL</v>
          </cell>
          <cell r="E2694">
            <v>29.7</v>
          </cell>
          <cell r="F2694">
            <v>34.451999999999998</v>
          </cell>
        </row>
        <row r="2695">
          <cell r="A2695">
            <v>2691</v>
          </cell>
          <cell r="B2695" t="str">
            <v xml:space="preserve">7501991807485   </v>
          </cell>
          <cell r="C2695" t="str">
            <v xml:space="preserve">(Ai-16) JUEGO ASISTENCIA                </v>
          </cell>
          <cell r="D2695" t="str">
            <v>PIKOL</v>
          </cell>
          <cell r="E2695">
            <v>66</v>
          </cell>
          <cell r="F2695">
            <v>76.559999999999988</v>
          </cell>
        </row>
        <row r="2696">
          <cell r="A2696">
            <v>2692</v>
          </cell>
          <cell r="B2696" t="str">
            <v xml:space="preserve">7501991807492   </v>
          </cell>
          <cell r="C2696" t="str">
            <v xml:space="preserve">(Ai-17) NO ESTACIONARSE                 </v>
          </cell>
          <cell r="D2696" t="str">
            <v>PIKOL</v>
          </cell>
          <cell r="E2696">
            <v>47.85</v>
          </cell>
          <cell r="F2696">
            <v>55.506</v>
          </cell>
        </row>
        <row r="2697">
          <cell r="A2697">
            <v>2693</v>
          </cell>
          <cell r="B2697" t="str">
            <v xml:space="preserve">7501991807508   </v>
          </cell>
          <cell r="C2697" t="str">
            <v xml:space="preserve">(Ai-18) NO SUBIRSE AL BARANDAL          </v>
          </cell>
          <cell r="D2697" t="str">
            <v>PIKOL</v>
          </cell>
          <cell r="E2697">
            <v>31.35</v>
          </cell>
          <cell r="F2697">
            <v>36.366</v>
          </cell>
        </row>
        <row r="2698">
          <cell r="A2698">
            <v>2694</v>
          </cell>
          <cell r="B2698" t="str">
            <v xml:space="preserve">7501991807515   </v>
          </cell>
          <cell r="C2698" t="str">
            <v xml:space="preserve">(Ai-19) PARCELAS                        </v>
          </cell>
          <cell r="D2698" t="str">
            <v>PIKOL</v>
          </cell>
          <cell r="E2698">
            <v>34.65</v>
          </cell>
          <cell r="F2698">
            <v>40.193999999999996</v>
          </cell>
        </row>
        <row r="2699">
          <cell r="A2699">
            <v>2695</v>
          </cell>
          <cell r="B2699" t="str">
            <v xml:space="preserve">7501991807522   </v>
          </cell>
          <cell r="C2699" t="str">
            <v xml:space="preserve">(Ai-20) NOMBRES MAESTRAS                </v>
          </cell>
          <cell r="D2699" t="str">
            <v>PIKOL</v>
          </cell>
          <cell r="E2699">
            <v>24.75</v>
          </cell>
          <cell r="F2699">
            <v>28.709999999999997</v>
          </cell>
        </row>
        <row r="2700">
          <cell r="A2700">
            <v>2696</v>
          </cell>
          <cell r="B2700" t="str">
            <v xml:space="preserve">7501991807539   </v>
          </cell>
          <cell r="C2700" t="str">
            <v xml:space="preserve">(Ai-21) PERSONA AUTORIZADA              </v>
          </cell>
          <cell r="D2700" t="str">
            <v>PIKOL</v>
          </cell>
          <cell r="E2700">
            <v>34.65</v>
          </cell>
          <cell r="F2700">
            <v>40.193999999999996</v>
          </cell>
        </row>
        <row r="2701">
          <cell r="A2701">
            <v>2697</v>
          </cell>
          <cell r="B2701" t="str">
            <v xml:space="preserve">7501991807546   </v>
          </cell>
          <cell r="C2701" t="str">
            <v xml:space="preserve">(Ai-22) PIE TASA                        </v>
          </cell>
          <cell r="D2701" t="str">
            <v>PIKOL</v>
          </cell>
          <cell r="E2701">
            <v>31.35</v>
          </cell>
          <cell r="F2701">
            <v>36.366</v>
          </cell>
        </row>
        <row r="2702">
          <cell r="A2702">
            <v>2698</v>
          </cell>
          <cell r="B2702" t="str">
            <v xml:space="preserve">7501991807553   </v>
          </cell>
          <cell r="C2702" t="str">
            <v xml:space="preserve">(Ai-23) SANITARIO NIÑOS (JGO.) CHICO    </v>
          </cell>
          <cell r="D2702" t="str">
            <v>PIKOL</v>
          </cell>
          <cell r="E2702">
            <v>61.04999999999999</v>
          </cell>
          <cell r="F2702">
            <v>70.817999999999984</v>
          </cell>
        </row>
        <row r="2703">
          <cell r="A2703">
            <v>2699</v>
          </cell>
          <cell r="B2703" t="str">
            <v xml:space="preserve">7501991807560   </v>
          </cell>
          <cell r="C2703" t="str">
            <v xml:space="preserve">(Ai-24) SANITARIO NIÑOS (JGO.) GRANDE   </v>
          </cell>
          <cell r="D2703" t="str">
            <v>PIKOL</v>
          </cell>
          <cell r="E2703">
            <v>70.95</v>
          </cell>
          <cell r="F2703">
            <v>82.301999999999992</v>
          </cell>
        </row>
        <row r="2704">
          <cell r="A2704">
            <v>2700</v>
          </cell>
          <cell r="B2704" t="str">
            <v xml:space="preserve">7501991807577   </v>
          </cell>
          <cell r="C2704" t="str">
            <v xml:space="preserve">(Ai-25) SANITARIO SILUETA JUEGO         </v>
          </cell>
          <cell r="D2704" t="str">
            <v>PIKOL</v>
          </cell>
          <cell r="E2704">
            <v>62.7</v>
          </cell>
          <cell r="F2704">
            <v>72.731999999999999</v>
          </cell>
        </row>
        <row r="2705">
          <cell r="A2705">
            <v>2701</v>
          </cell>
          <cell r="B2705" t="str">
            <v xml:space="preserve">7501991807584   </v>
          </cell>
          <cell r="C2705" t="str">
            <v xml:space="preserve">(Ai-26) TECNICA DE CEPILLADO            </v>
          </cell>
          <cell r="D2705" t="str">
            <v>PIKOL</v>
          </cell>
          <cell r="E2705">
            <v>66</v>
          </cell>
          <cell r="F2705">
            <v>76.559999999999988</v>
          </cell>
        </row>
        <row r="2706">
          <cell r="A2706">
            <v>2702</v>
          </cell>
          <cell r="B2706" t="str">
            <v xml:space="preserve">7501991807591   </v>
          </cell>
          <cell r="C2706" t="str">
            <v xml:space="preserve">(Ai-27) USO DE JUEGOS                   </v>
          </cell>
          <cell r="D2706" t="str">
            <v>PIKOL</v>
          </cell>
          <cell r="E2706">
            <v>34.65</v>
          </cell>
          <cell r="F2706">
            <v>40.193999999999996</v>
          </cell>
        </row>
        <row r="2707">
          <cell r="A2707">
            <v>2703</v>
          </cell>
          <cell r="B2707" t="str">
            <v xml:space="preserve">7501991807607   </v>
          </cell>
          <cell r="C2707" t="str">
            <v xml:space="preserve">(Ai-28) USO DE SANITARIO                </v>
          </cell>
          <cell r="D2707" t="str">
            <v>PIKOL</v>
          </cell>
          <cell r="E2707">
            <v>34.65</v>
          </cell>
          <cell r="F2707">
            <v>40.193999999999996</v>
          </cell>
        </row>
        <row r="2708">
          <cell r="A2708">
            <v>2704</v>
          </cell>
          <cell r="B2708" t="str">
            <v xml:space="preserve">7501991807645   </v>
          </cell>
          <cell r="C2708" t="str">
            <v xml:space="preserve">(Ar-1) ASEO                             </v>
          </cell>
          <cell r="D2708" t="str">
            <v>PIKOL</v>
          </cell>
          <cell r="E2708">
            <v>24.75</v>
          </cell>
          <cell r="F2708">
            <v>28.709999999999997</v>
          </cell>
        </row>
        <row r="2709">
          <cell r="A2709">
            <v>2705</v>
          </cell>
          <cell r="B2709" t="str">
            <v xml:space="preserve">7501991807652   </v>
          </cell>
          <cell r="C2709" t="str">
            <v xml:space="preserve">(Ar-2) AULA USOS MULTIPLES              </v>
          </cell>
          <cell r="D2709" t="str">
            <v>PIKOL</v>
          </cell>
          <cell r="E2709">
            <v>28.05</v>
          </cell>
          <cell r="F2709">
            <v>32.537999999999997</v>
          </cell>
        </row>
        <row r="2710">
          <cell r="A2710">
            <v>2706</v>
          </cell>
          <cell r="B2710" t="str">
            <v xml:space="preserve">7501991807669   </v>
          </cell>
          <cell r="C2710" t="str">
            <v xml:space="preserve">(Ar-3) BILBIOTECA                       </v>
          </cell>
          <cell r="D2710" t="str">
            <v>PIKOL</v>
          </cell>
          <cell r="E2710">
            <v>24.75</v>
          </cell>
          <cell r="F2710">
            <v>28.709999999999997</v>
          </cell>
        </row>
        <row r="2711">
          <cell r="A2711">
            <v>2707</v>
          </cell>
          <cell r="B2711" t="str">
            <v xml:space="preserve">7501991807676   </v>
          </cell>
          <cell r="C2711" t="str">
            <v xml:space="preserve">(Ar-4) BODEGA                           </v>
          </cell>
          <cell r="D2711" t="str">
            <v>PIKOL</v>
          </cell>
          <cell r="E2711">
            <v>24.75</v>
          </cell>
          <cell r="F2711">
            <v>28.709999999999997</v>
          </cell>
        </row>
        <row r="2712">
          <cell r="A2712">
            <v>2708</v>
          </cell>
          <cell r="B2712" t="str">
            <v xml:space="preserve">7501991807683   </v>
          </cell>
          <cell r="C2712" t="str">
            <v xml:space="preserve">(Ar-5) CANTOS Y JUEGOS                  </v>
          </cell>
          <cell r="D2712" t="str">
            <v>PIKOL</v>
          </cell>
          <cell r="E2712">
            <v>24.75</v>
          </cell>
          <cell r="F2712">
            <v>28.709999999999997</v>
          </cell>
        </row>
        <row r="2713">
          <cell r="A2713">
            <v>2709</v>
          </cell>
          <cell r="B2713" t="str">
            <v xml:space="preserve">7501991807690   </v>
          </cell>
          <cell r="C2713" t="str">
            <v xml:space="preserve">(Ar-6) CAPEP                            </v>
          </cell>
          <cell r="D2713" t="str">
            <v>PIKOL</v>
          </cell>
          <cell r="E2713">
            <v>24.75</v>
          </cell>
          <cell r="F2713">
            <v>28.709999999999997</v>
          </cell>
        </row>
        <row r="2714">
          <cell r="A2714">
            <v>2710</v>
          </cell>
          <cell r="B2714" t="str">
            <v xml:space="preserve">7501991807706   </v>
          </cell>
          <cell r="C2714" t="str">
            <v xml:space="preserve">(Ar-7) CIENCIAS                         </v>
          </cell>
          <cell r="D2714" t="str">
            <v>PIKOL</v>
          </cell>
          <cell r="E2714">
            <v>24.75</v>
          </cell>
          <cell r="F2714">
            <v>28.709999999999997</v>
          </cell>
        </row>
        <row r="2715">
          <cell r="A2715">
            <v>2711</v>
          </cell>
          <cell r="B2715" t="str">
            <v xml:space="preserve">7501991807713   </v>
          </cell>
          <cell r="C2715" t="str">
            <v xml:space="preserve">(Ar-8) COCINA                           </v>
          </cell>
          <cell r="D2715" t="str">
            <v>PIKOL</v>
          </cell>
          <cell r="E2715">
            <v>24.75</v>
          </cell>
          <cell r="F2715">
            <v>28.709999999999997</v>
          </cell>
        </row>
        <row r="2716">
          <cell r="A2716">
            <v>2712</v>
          </cell>
          <cell r="B2716" t="str">
            <v xml:space="preserve">7501991807720   </v>
          </cell>
          <cell r="C2716" t="str">
            <v xml:space="preserve">(Ar-9) COMEDOR                          </v>
          </cell>
          <cell r="D2716" t="str">
            <v>PIKOL</v>
          </cell>
          <cell r="E2716">
            <v>24.75</v>
          </cell>
          <cell r="F2716">
            <v>28.709999999999997</v>
          </cell>
        </row>
        <row r="2717">
          <cell r="A2717">
            <v>2713</v>
          </cell>
          <cell r="B2717" t="str">
            <v xml:space="preserve">7501991807737   </v>
          </cell>
          <cell r="C2717" t="str">
            <v xml:space="preserve">(Ar-10) COMPUTACION                     </v>
          </cell>
          <cell r="D2717" t="str">
            <v>PIKOL</v>
          </cell>
          <cell r="E2717">
            <v>24.75</v>
          </cell>
          <cell r="F2717">
            <v>28.709999999999997</v>
          </cell>
        </row>
        <row r="2718">
          <cell r="A2718">
            <v>2714</v>
          </cell>
          <cell r="B2718" t="str">
            <v xml:space="preserve">7501991807744   </v>
          </cell>
          <cell r="C2718" t="str">
            <v xml:space="preserve">(Ar-11) DIRECCION                       </v>
          </cell>
          <cell r="D2718" t="str">
            <v>PIKOL</v>
          </cell>
          <cell r="E2718">
            <v>24.75</v>
          </cell>
          <cell r="F2718">
            <v>28.709999999999997</v>
          </cell>
        </row>
        <row r="2719">
          <cell r="A2719">
            <v>2715</v>
          </cell>
          <cell r="B2719" t="str">
            <v xml:space="preserve">7501991807751   </v>
          </cell>
          <cell r="C2719" t="str">
            <v xml:space="preserve">(Ar-12) CONSERJERIA                     </v>
          </cell>
          <cell r="D2719" t="str">
            <v>PIKOL</v>
          </cell>
          <cell r="E2719">
            <v>24.75</v>
          </cell>
          <cell r="F2719">
            <v>28.709999999999997</v>
          </cell>
        </row>
        <row r="2720">
          <cell r="A2720">
            <v>2716</v>
          </cell>
          <cell r="B2720" t="str">
            <v xml:space="preserve">7501991807768   </v>
          </cell>
          <cell r="C2720" t="str">
            <v xml:space="preserve">(Ar-13) CONSTRUCCION                    </v>
          </cell>
          <cell r="D2720" t="str">
            <v>PIKOL</v>
          </cell>
          <cell r="E2720">
            <v>24.75</v>
          </cell>
          <cell r="F2720">
            <v>28.709999999999997</v>
          </cell>
        </row>
        <row r="2721">
          <cell r="A2721">
            <v>2717</v>
          </cell>
          <cell r="B2721" t="str">
            <v xml:space="preserve">7501991807775   </v>
          </cell>
          <cell r="C2721" t="str">
            <v xml:space="preserve">(Ar-14) DESAYUNOS                       </v>
          </cell>
          <cell r="D2721" t="str">
            <v>PIKOL</v>
          </cell>
          <cell r="E2721">
            <v>24.75</v>
          </cell>
          <cell r="F2721">
            <v>28.709999999999997</v>
          </cell>
        </row>
        <row r="2722">
          <cell r="A2722">
            <v>2718</v>
          </cell>
          <cell r="B2722" t="str">
            <v xml:space="preserve">7501991807782   </v>
          </cell>
          <cell r="C2722" t="str">
            <v xml:space="preserve">(Ar-15) DRAMATIZACION                   </v>
          </cell>
          <cell r="D2722" t="str">
            <v>PIKOL</v>
          </cell>
          <cell r="E2722">
            <v>24.75</v>
          </cell>
          <cell r="F2722">
            <v>28.709999999999997</v>
          </cell>
        </row>
        <row r="2723">
          <cell r="A2723">
            <v>2719</v>
          </cell>
          <cell r="B2723" t="str">
            <v xml:space="preserve">7501991807799   </v>
          </cell>
          <cell r="C2723" t="str">
            <v xml:space="preserve">(Ar-16) EDUCACION FISICA                </v>
          </cell>
          <cell r="D2723" t="str">
            <v>PIKOL</v>
          </cell>
          <cell r="E2723">
            <v>24.75</v>
          </cell>
          <cell r="F2723">
            <v>28.709999999999997</v>
          </cell>
        </row>
        <row r="2724">
          <cell r="A2724">
            <v>2720</v>
          </cell>
          <cell r="B2724" t="str">
            <v xml:space="preserve">7501991807805   </v>
          </cell>
          <cell r="C2724" t="str">
            <v xml:space="preserve">(Ar-17) EXPRESION                       </v>
          </cell>
          <cell r="D2724" t="str">
            <v>PIKOL</v>
          </cell>
          <cell r="E2724">
            <v>24.75</v>
          </cell>
          <cell r="F2724">
            <v>28.709999999999997</v>
          </cell>
        </row>
        <row r="2725">
          <cell r="A2725">
            <v>2721</v>
          </cell>
          <cell r="B2725" t="str">
            <v xml:space="preserve">7501991807812   </v>
          </cell>
          <cell r="C2725" t="str">
            <v xml:space="preserve">(Ar-18) GRAFICO PLASTICO                </v>
          </cell>
          <cell r="D2725" t="str">
            <v>PIKOL</v>
          </cell>
          <cell r="E2725">
            <v>24.75</v>
          </cell>
          <cell r="F2725">
            <v>28.709999999999997</v>
          </cell>
        </row>
        <row r="2726">
          <cell r="A2726">
            <v>2722</v>
          </cell>
          <cell r="B2726" t="str">
            <v xml:space="preserve">7501991807829   </v>
          </cell>
          <cell r="C2726" t="str">
            <v xml:space="preserve">(Ar-19) HIGIENE                         </v>
          </cell>
          <cell r="D2726" t="str">
            <v>PIKOL</v>
          </cell>
          <cell r="E2726">
            <v>24.75</v>
          </cell>
          <cell r="F2726">
            <v>28.709999999999997</v>
          </cell>
        </row>
        <row r="2727">
          <cell r="A2727">
            <v>2723</v>
          </cell>
          <cell r="B2727" t="str">
            <v xml:space="preserve">7501991807836   </v>
          </cell>
          <cell r="C2727" t="str">
            <v xml:space="preserve">(Ar-20) INVERNADERO                     </v>
          </cell>
          <cell r="D2727" t="str">
            <v>PIKOL</v>
          </cell>
          <cell r="E2727">
            <v>24.75</v>
          </cell>
          <cell r="F2727">
            <v>28.709999999999997</v>
          </cell>
        </row>
        <row r="2728">
          <cell r="A2728">
            <v>2724</v>
          </cell>
          <cell r="B2728" t="str">
            <v xml:space="preserve">7501991807843   </v>
          </cell>
          <cell r="C2728" t="str">
            <v xml:space="preserve">(Ar-21) JEFATURA DE SECTOR              </v>
          </cell>
          <cell r="D2728" t="str">
            <v>PIKOL</v>
          </cell>
          <cell r="E2728">
            <v>24.75</v>
          </cell>
          <cell r="F2728">
            <v>28.709999999999997</v>
          </cell>
        </row>
        <row r="2729">
          <cell r="A2729">
            <v>2725</v>
          </cell>
          <cell r="B2729" t="str">
            <v xml:space="preserve">7501991807850   </v>
          </cell>
          <cell r="C2729" t="str">
            <v xml:space="preserve">(Ar-22) JUEGOS DE MESA                  </v>
          </cell>
          <cell r="D2729" t="str">
            <v>PIKOL</v>
          </cell>
          <cell r="E2729">
            <v>24.75</v>
          </cell>
          <cell r="F2729">
            <v>28.709999999999997</v>
          </cell>
        </row>
        <row r="2730">
          <cell r="A2730">
            <v>2726</v>
          </cell>
          <cell r="B2730" t="str">
            <v xml:space="preserve">7501991807867   </v>
          </cell>
          <cell r="C2730" t="str">
            <v xml:space="preserve">(Ar-23) JUGUETES                        </v>
          </cell>
          <cell r="D2730" t="str">
            <v>PIKOL</v>
          </cell>
          <cell r="E2730">
            <v>24.75</v>
          </cell>
          <cell r="F2730">
            <v>28.709999999999997</v>
          </cell>
        </row>
        <row r="2731">
          <cell r="A2731">
            <v>2727</v>
          </cell>
          <cell r="B2731" t="str">
            <v xml:space="preserve">7501991807874   </v>
          </cell>
          <cell r="C2731" t="str">
            <v xml:space="preserve">(Ar-24) LUDOTECA                        </v>
          </cell>
          <cell r="D2731" t="str">
            <v>PIKOL</v>
          </cell>
          <cell r="E2731">
            <v>24.75</v>
          </cell>
          <cell r="F2731">
            <v>28.709999999999997</v>
          </cell>
        </row>
        <row r="2732">
          <cell r="A2732">
            <v>2728</v>
          </cell>
          <cell r="B2732" t="str">
            <v xml:space="preserve">7501991807881   </v>
          </cell>
          <cell r="C2732" t="str">
            <v xml:space="preserve">(Ar-25) MESA DIRECTIVA                  </v>
          </cell>
          <cell r="D2732" t="str">
            <v>PIKOL</v>
          </cell>
          <cell r="E2732">
            <v>24.75</v>
          </cell>
          <cell r="F2732">
            <v>28.709999999999997</v>
          </cell>
        </row>
        <row r="2733">
          <cell r="A2733">
            <v>2729</v>
          </cell>
          <cell r="B2733" t="str">
            <v xml:space="preserve">7501991807898   </v>
          </cell>
          <cell r="C2733" t="str">
            <v xml:space="preserve">(Ar-26) MUSICA                          </v>
          </cell>
          <cell r="D2733" t="str">
            <v>PIKOL</v>
          </cell>
          <cell r="E2733">
            <v>24.75</v>
          </cell>
          <cell r="F2733">
            <v>28.709999999999997</v>
          </cell>
        </row>
        <row r="2734">
          <cell r="A2734">
            <v>2730</v>
          </cell>
          <cell r="B2734" t="str">
            <v xml:space="preserve">7501991807904   </v>
          </cell>
          <cell r="C2734" t="str">
            <v xml:space="preserve">(Ar-27) NATURALEZA                      </v>
          </cell>
          <cell r="D2734" t="str">
            <v>PIKOL</v>
          </cell>
          <cell r="E2734">
            <v>24.75</v>
          </cell>
          <cell r="F2734">
            <v>28.709999999999997</v>
          </cell>
        </row>
        <row r="2735">
          <cell r="A2735">
            <v>2731</v>
          </cell>
          <cell r="B2735" t="str">
            <v xml:space="preserve">7501991807911   </v>
          </cell>
          <cell r="C2735" t="str">
            <v xml:space="preserve">(Ar-29) REGADERAS                       </v>
          </cell>
          <cell r="D2735" t="str">
            <v>PIKOL</v>
          </cell>
          <cell r="E2735">
            <v>24.75</v>
          </cell>
          <cell r="F2735">
            <v>28.709999999999997</v>
          </cell>
        </row>
        <row r="2736">
          <cell r="A2736">
            <v>2732</v>
          </cell>
          <cell r="B2736" t="str">
            <v xml:space="preserve">7501991807928   </v>
          </cell>
          <cell r="C2736" t="str">
            <v xml:space="preserve">(Ar-30) RINCON DE PADRES                </v>
          </cell>
          <cell r="D2736" t="str">
            <v>PIKOL</v>
          </cell>
          <cell r="E2736">
            <v>24.75</v>
          </cell>
          <cell r="F2736">
            <v>28.709999999999997</v>
          </cell>
        </row>
        <row r="2737">
          <cell r="A2737">
            <v>2733</v>
          </cell>
          <cell r="B2737" t="str">
            <v xml:space="preserve">7501991807935   </v>
          </cell>
          <cell r="C2737" t="str">
            <v xml:space="preserve">(Ar-31) SALA DE JUNTAS                  </v>
          </cell>
          <cell r="D2737" t="str">
            <v>PIKOL</v>
          </cell>
          <cell r="E2737">
            <v>24.75</v>
          </cell>
          <cell r="F2737">
            <v>28.709999999999997</v>
          </cell>
        </row>
        <row r="2738">
          <cell r="A2738">
            <v>2734</v>
          </cell>
          <cell r="B2738" t="str">
            <v xml:space="preserve">7501991807942   </v>
          </cell>
          <cell r="C2738" t="str">
            <v xml:space="preserve">(Ar-32) SUPERVISION                     </v>
          </cell>
          <cell r="D2738" t="str">
            <v>PIKOL</v>
          </cell>
          <cell r="E2738">
            <v>24.75</v>
          </cell>
          <cell r="F2738">
            <v>28.709999999999997</v>
          </cell>
        </row>
        <row r="2739">
          <cell r="A2739">
            <v>2735</v>
          </cell>
          <cell r="B2739" t="str">
            <v xml:space="preserve">7501991807959   </v>
          </cell>
          <cell r="C2739" t="str">
            <v xml:space="preserve">(Ar-33) TEATRO                          </v>
          </cell>
          <cell r="D2739" t="str">
            <v>PIKOL</v>
          </cell>
          <cell r="E2739">
            <v>24.75</v>
          </cell>
          <cell r="F2739">
            <v>28.709999999999997</v>
          </cell>
        </row>
        <row r="2740">
          <cell r="A2740">
            <v>2736</v>
          </cell>
          <cell r="B2740" t="str">
            <v xml:space="preserve">7501991807966   </v>
          </cell>
          <cell r="C2740" t="str">
            <v xml:space="preserve">(Ar-34) TURNOS (Mat.) (Vesp.)           </v>
          </cell>
          <cell r="D2740" t="str">
            <v>PIKOL</v>
          </cell>
          <cell r="E2740">
            <v>24.75</v>
          </cell>
          <cell r="F2740">
            <v>28.709999999999997</v>
          </cell>
        </row>
        <row r="2741">
          <cell r="A2741">
            <v>2737</v>
          </cell>
          <cell r="B2741" t="str">
            <v xml:space="preserve">7501991807973   </v>
          </cell>
          <cell r="C2741" t="str">
            <v xml:space="preserve">(BOTON13) BOTON GUARDIAN DEL AGUA       </v>
          </cell>
          <cell r="D2741" t="str">
            <v>PIKOL</v>
          </cell>
          <cell r="E2741">
            <v>21.449999999999996</v>
          </cell>
          <cell r="F2741">
            <v>24.881999999999994</v>
          </cell>
        </row>
        <row r="2742">
          <cell r="A2742">
            <v>2738</v>
          </cell>
          <cell r="B2742" t="str">
            <v xml:space="preserve">7501991807980   </v>
          </cell>
          <cell r="C2742" t="str">
            <v xml:space="preserve">(BOTON14) BOTON GUARDIAN ECOLOGICO      </v>
          </cell>
          <cell r="D2742" t="str">
            <v>PIKOL</v>
          </cell>
          <cell r="E2742">
            <v>21.449999999999996</v>
          </cell>
          <cell r="F2742">
            <v>24.881999999999994</v>
          </cell>
        </row>
        <row r="2743">
          <cell r="A2743">
            <v>2739</v>
          </cell>
          <cell r="B2743" t="str">
            <v xml:space="preserve">7501991807997   </v>
          </cell>
          <cell r="C2743" t="str">
            <v xml:space="preserve">(BOTON15) BOTON GUARDIAN DE SEGURIDAD   </v>
          </cell>
          <cell r="D2743" t="str">
            <v>PIKOL</v>
          </cell>
          <cell r="E2743">
            <v>21.449999999999996</v>
          </cell>
          <cell r="F2743">
            <v>24.881999999999994</v>
          </cell>
        </row>
        <row r="2744">
          <cell r="A2744">
            <v>2740</v>
          </cell>
          <cell r="B2744" t="str">
            <v xml:space="preserve">7501991808000   </v>
          </cell>
          <cell r="C2744" t="str">
            <v xml:space="preserve">(BOTON16) BOTON VOY AL BAÑO             </v>
          </cell>
          <cell r="D2744" t="str">
            <v>PIKOL</v>
          </cell>
          <cell r="E2744">
            <v>21.449999999999996</v>
          </cell>
          <cell r="F2744">
            <v>24.881999999999994</v>
          </cell>
        </row>
        <row r="2745">
          <cell r="A2745">
            <v>2741</v>
          </cell>
          <cell r="B2745" t="str">
            <v xml:space="preserve">7501991808017   </v>
          </cell>
          <cell r="C2745" t="str">
            <v xml:space="preserve">(BOTONGDE) BOTON GRANDE PERSONALIZADO   </v>
          </cell>
          <cell r="D2745" t="str">
            <v>PIKOL</v>
          </cell>
          <cell r="E2745">
            <v>21.449999999999996</v>
          </cell>
          <cell r="F2745">
            <v>24.881999999999994</v>
          </cell>
        </row>
        <row r="2746">
          <cell r="A2746">
            <v>2742</v>
          </cell>
          <cell r="B2746" t="str">
            <v xml:space="preserve">7501991808024   </v>
          </cell>
          <cell r="C2746" t="str">
            <v xml:space="preserve">(BOTONCH) BOTON CHICO PERSONALIZADO     </v>
          </cell>
          <cell r="D2746" t="str">
            <v>PIKOL</v>
          </cell>
          <cell r="E2746">
            <v>16.5</v>
          </cell>
          <cell r="F2746">
            <v>19.139999999999997</v>
          </cell>
        </row>
        <row r="2747">
          <cell r="A2747">
            <v>2743</v>
          </cell>
          <cell r="B2747" t="str">
            <v xml:space="preserve">7501991808031   </v>
          </cell>
          <cell r="C2747" t="str">
            <v xml:space="preserve">(Em-1) SEGURIDAD JGO. (NIÑO) (SILUETA)  </v>
          </cell>
          <cell r="D2747" t="str">
            <v>PIKOL</v>
          </cell>
          <cell r="E2747">
            <v>113.84999999999998</v>
          </cell>
          <cell r="F2747">
            <v>132.06599999999997</v>
          </cell>
        </row>
        <row r="2748">
          <cell r="A2748">
            <v>2744</v>
          </cell>
          <cell r="B2748" t="str">
            <v xml:space="preserve">7501991808048   </v>
          </cell>
          <cell r="C2748" t="str">
            <v xml:space="preserve">(Em-2) SEGURIDAD 3 (NIÑOS) (SILUETA)    </v>
          </cell>
          <cell r="D2748" t="str">
            <v>PIKOL</v>
          </cell>
          <cell r="E2748">
            <v>47.85</v>
          </cell>
          <cell r="F2748">
            <v>55.506</v>
          </cell>
        </row>
        <row r="2749">
          <cell r="A2749">
            <v>2745</v>
          </cell>
          <cell r="B2749" t="str">
            <v xml:space="preserve">7501991808055   </v>
          </cell>
          <cell r="C2749" t="str">
            <v xml:space="preserve">(Em-3) AGUA                             </v>
          </cell>
          <cell r="D2749" t="str">
            <v>PIKOL</v>
          </cell>
          <cell r="E2749">
            <v>31.35</v>
          </cell>
          <cell r="F2749">
            <v>36.366</v>
          </cell>
        </row>
        <row r="2750">
          <cell r="A2750">
            <v>2746</v>
          </cell>
          <cell r="B2750" t="str">
            <v xml:space="preserve">7501991808062   </v>
          </cell>
          <cell r="C2750" t="str">
            <v xml:space="preserve">(Em-4) BASURA EN SU LUGAR   CHICA       </v>
          </cell>
          <cell r="D2750" t="str">
            <v>PIKOL</v>
          </cell>
          <cell r="E2750">
            <v>31.35</v>
          </cell>
          <cell r="F2750">
            <v>36.366</v>
          </cell>
        </row>
        <row r="2751">
          <cell r="A2751">
            <v>2747</v>
          </cell>
          <cell r="B2751" t="str">
            <v xml:space="preserve">7501991808079   </v>
          </cell>
          <cell r="C2751" t="str">
            <v xml:space="preserve">(Em-6) BASURA ORGANICA                  </v>
          </cell>
          <cell r="D2751" t="str">
            <v>PIKOL</v>
          </cell>
          <cell r="E2751">
            <v>31.35</v>
          </cell>
          <cell r="F2751">
            <v>36.366</v>
          </cell>
        </row>
        <row r="2752">
          <cell r="A2752">
            <v>2748</v>
          </cell>
          <cell r="B2752" t="str">
            <v xml:space="preserve">7501991808086   </v>
          </cell>
          <cell r="C2752" t="str">
            <v xml:space="preserve">(Em-7) BASURA OTROS                     </v>
          </cell>
          <cell r="D2752" t="str">
            <v>PIKOL</v>
          </cell>
          <cell r="E2752">
            <v>31.35</v>
          </cell>
          <cell r="F2752">
            <v>36.366</v>
          </cell>
        </row>
        <row r="2753">
          <cell r="A2753">
            <v>2749</v>
          </cell>
          <cell r="B2753" t="str">
            <v xml:space="preserve">7501991808093   </v>
          </cell>
          <cell r="C2753" t="str">
            <v xml:space="preserve">(Em-8) BASURA RECICLABLE                </v>
          </cell>
          <cell r="D2753" t="str">
            <v>PIKOL</v>
          </cell>
          <cell r="E2753">
            <v>31.35</v>
          </cell>
          <cell r="F2753">
            <v>36.366</v>
          </cell>
        </row>
        <row r="2754">
          <cell r="A2754">
            <v>2750</v>
          </cell>
          <cell r="B2754" t="str">
            <v xml:space="preserve">7501991808109   </v>
          </cell>
          <cell r="C2754" t="str">
            <v xml:space="preserve">(Em-9) EQUIPO CONTRA INCENDIO           </v>
          </cell>
          <cell r="D2754" t="str">
            <v>PIKOL</v>
          </cell>
          <cell r="E2754">
            <v>31.35</v>
          </cell>
          <cell r="F2754">
            <v>36.366</v>
          </cell>
        </row>
        <row r="2755">
          <cell r="A2755">
            <v>2751</v>
          </cell>
          <cell r="B2755" t="str">
            <v xml:space="preserve">7501991808116   </v>
          </cell>
          <cell r="C2755" t="str">
            <v xml:space="preserve">(Em-10) EXTINTOR                        </v>
          </cell>
          <cell r="D2755" t="str">
            <v>PIKOL</v>
          </cell>
          <cell r="E2755">
            <v>31.35</v>
          </cell>
          <cell r="F2755">
            <v>36.366</v>
          </cell>
        </row>
        <row r="2756">
          <cell r="A2756">
            <v>2752</v>
          </cell>
          <cell r="B2756" t="str">
            <v xml:space="preserve">7501991808123   </v>
          </cell>
          <cell r="C2756" t="str">
            <v xml:space="preserve">(Em-11) INSTALACION DE GAS              </v>
          </cell>
          <cell r="D2756" t="str">
            <v>PIKOL</v>
          </cell>
          <cell r="E2756">
            <v>31.35</v>
          </cell>
          <cell r="F2756">
            <v>36.366</v>
          </cell>
        </row>
        <row r="2757">
          <cell r="A2757">
            <v>2753</v>
          </cell>
          <cell r="B2757" t="str">
            <v xml:space="preserve">7501991808130   </v>
          </cell>
          <cell r="C2757" t="str">
            <v xml:space="preserve">(Em-12) NO FUMAR                        </v>
          </cell>
          <cell r="D2757" t="str">
            <v>PIKOL</v>
          </cell>
          <cell r="E2757">
            <v>31.35</v>
          </cell>
          <cell r="F2757">
            <v>36.366</v>
          </cell>
        </row>
        <row r="2758">
          <cell r="A2758">
            <v>2754</v>
          </cell>
          <cell r="B2758" t="str">
            <v xml:space="preserve">7501991808147   </v>
          </cell>
          <cell r="C2758" t="str">
            <v xml:space="preserve">(Em-13) PRIMEROS AUXILIOS               </v>
          </cell>
          <cell r="D2758" t="str">
            <v>PIKOL</v>
          </cell>
          <cell r="E2758">
            <v>31.35</v>
          </cell>
          <cell r="F2758">
            <v>36.366</v>
          </cell>
        </row>
        <row r="2759">
          <cell r="A2759">
            <v>2755</v>
          </cell>
          <cell r="B2759" t="str">
            <v xml:space="preserve">7501991808154   </v>
          </cell>
          <cell r="C2759" t="str">
            <v xml:space="preserve">(Em-14) RUTA DE EVACUACION              </v>
          </cell>
          <cell r="D2759" t="str">
            <v>PIKOL</v>
          </cell>
          <cell r="E2759">
            <v>31.35</v>
          </cell>
          <cell r="F2759">
            <v>36.366</v>
          </cell>
        </row>
        <row r="2760">
          <cell r="A2760">
            <v>2756</v>
          </cell>
          <cell r="B2760" t="str">
            <v xml:space="preserve">7501991808161   </v>
          </cell>
          <cell r="C2760" t="str">
            <v xml:space="preserve">(Em-15) SALIDA DE EMERGENCIA            </v>
          </cell>
          <cell r="D2760" t="str">
            <v>PIKOL</v>
          </cell>
          <cell r="E2760">
            <v>31.35</v>
          </cell>
          <cell r="F2760">
            <v>36.366</v>
          </cell>
        </row>
        <row r="2761">
          <cell r="A2761">
            <v>2757</v>
          </cell>
          <cell r="B2761" t="str">
            <v xml:space="preserve">7501991808178   </v>
          </cell>
          <cell r="C2761" t="str">
            <v xml:space="preserve">(Em-16) SEÑAL DE ALARMA   CAMPANA       </v>
          </cell>
          <cell r="D2761" t="str">
            <v>PIKOL</v>
          </cell>
          <cell r="E2761">
            <v>42.899999999999991</v>
          </cell>
          <cell r="F2761">
            <v>49.763999999999989</v>
          </cell>
        </row>
        <row r="2762">
          <cell r="A2762">
            <v>2758</v>
          </cell>
          <cell r="B2762" t="str">
            <v xml:space="preserve">7501991808185   </v>
          </cell>
          <cell r="C2762" t="str">
            <v xml:space="preserve">(Em-17) SEÑAL DE ALARMA   SILUETA       </v>
          </cell>
          <cell r="D2762" t="str">
            <v>PIKOL</v>
          </cell>
          <cell r="E2762">
            <v>31.35</v>
          </cell>
          <cell r="F2762">
            <v>36.366</v>
          </cell>
        </row>
        <row r="2763">
          <cell r="A2763">
            <v>2759</v>
          </cell>
          <cell r="B2763" t="str">
            <v xml:space="preserve">7501991808192   </v>
          </cell>
          <cell r="C2763" t="str">
            <v xml:space="preserve">(Em-18) ZONA DE RIESGO                  </v>
          </cell>
          <cell r="D2763" t="str">
            <v>PIKOL</v>
          </cell>
          <cell r="E2763">
            <v>31.35</v>
          </cell>
          <cell r="F2763">
            <v>36.366</v>
          </cell>
        </row>
        <row r="2764">
          <cell r="A2764">
            <v>2760</v>
          </cell>
          <cell r="B2764" t="str">
            <v xml:space="preserve">7501991808208   </v>
          </cell>
          <cell r="C2764" t="str">
            <v xml:space="preserve">(Em-19) ZONA DE SEGURIDAD               </v>
          </cell>
          <cell r="D2764" t="str">
            <v>PIKOL</v>
          </cell>
          <cell r="E2764">
            <v>31.35</v>
          </cell>
          <cell r="F2764">
            <v>36.366</v>
          </cell>
        </row>
        <row r="2765">
          <cell r="A2765">
            <v>2761</v>
          </cell>
          <cell r="B2765" t="str">
            <v xml:space="preserve">7501991808215   </v>
          </cell>
          <cell r="C2765" t="str">
            <v xml:space="preserve">(Emc-1) SEGURIDAD JUEGO CHICO           </v>
          </cell>
          <cell r="D2765" t="str">
            <v>PIKOL</v>
          </cell>
          <cell r="E2765">
            <v>56.1</v>
          </cell>
          <cell r="F2765">
            <v>65.075999999999993</v>
          </cell>
        </row>
        <row r="2766">
          <cell r="A2766">
            <v>2762</v>
          </cell>
          <cell r="B2766" t="str">
            <v xml:space="preserve">7501991808239   </v>
          </cell>
          <cell r="C2766" t="str">
            <v xml:space="preserve">(EmL-2) SEGURIDAD 3 VERTICAL            </v>
          </cell>
          <cell r="D2766" t="str">
            <v>PIKOL</v>
          </cell>
          <cell r="E2766">
            <v>61.04999999999999</v>
          </cell>
          <cell r="F2766">
            <v>70.817999999999984</v>
          </cell>
        </row>
        <row r="2767">
          <cell r="A2767">
            <v>2763</v>
          </cell>
          <cell r="B2767" t="str">
            <v xml:space="preserve">7501991808253   </v>
          </cell>
          <cell r="C2767" t="str">
            <v xml:space="preserve">(P-1) DESAYUNO                          </v>
          </cell>
          <cell r="D2767" t="str">
            <v>PIKOL</v>
          </cell>
          <cell r="E2767">
            <v>16.5</v>
          </cell>
          <cell r="F2767">
            <v>19.139999999999997</v>
          </cell>
        </row>
        <row r="2768">
          <cell r="A2768">
            <v>2764</v>
          </cell>
          <cell r="B2768" t="str">
            <v xml:space="preserve">7501991808260   </v>
          </cell>
          <cell r="C2768" t="str">
            <v xml:space="preserve">(P-2) GRAFICO PLASTICO                  </v>
          </cell>
          <cell r="D2768" t="str">
            <v>PIKOL</v>
          </cell>
          <cell r="E2768">
            <v>16.5</v>
          </cell>
          <cell r="F2768">
            <v>19.139999999999997</v>
          </cell>
        </row>
        <row r="2769">
          <cell r="A2769">
            <v>2765</v>
          </cell>
          <cell r="B2769" t="str">
            <v xml:space="preserve">7501991808277   </v>
          </cell>
          <cell r="C2769" t="str">
            <v xml:space="preserve">(P-3) EXPRESION                         </v>
          </cell>
          <cell r="D2769" t="str">
            <v>PIKOL</v>
          </cell>
          <cell r="E2769">
            <v>16.5</v>
          </cell>
          <cell r="F2769">
            <v>19.139999999999997</v>
          </cell>
        </row>
        <row r="2770">
          <cell r="A2770">
            <v>2766</v>
          </cell>
          <cell r="B2770" t="str">
            <v xml:space="preserve">7501991808284   </v>
          </cell>
          <cell r="C2770" t="str">
            <v xml:space="preserve">(P-4) CANTOS Y JUEGOS                   </v>
          </cell>
          <cell r="D2770" t="str">
            <v>PIKOL</v>
          </cell>
          <cell r="E2770">
            <v>16.5</v>
          </cell>
          <cell r="F2770">
            <v>19.139999999999997</v>
          </cell>
        </row>
        <row r="2771">
          <cell r="A2771">
            <v>2767</v>
          </cell>
          <cell r="B2771" t="str">
            <v xml:space="preserve">7501991808291   </v>
          </cell>
          <cell r="C2771" t="str">
            <v xml:space="preserve">(P-5) COMEDOR                           </v>
          </cell>
          <cell r="D2771" t="str">
            <v>PIKOL</v>
          </cell>
          <cell r="E2771">
            <v>16.5</v>
          </cell>
          <cell r="F2771">
            <v>19.139999999999997</v>
          </cell>
        </row>
        <row r="2772">
          <cell r="A2772">
            <v>2768</v>
          </cell>
          <cell r="B2772" t="str">
            <v xml:space="preserve">7501991808307   </v>
          </cell>
          <cell r="C2772" t="str">
            <v xml:space="preserve">(P-6) RECREO                            </v>
          </cell>
          <cell r="D2772" t="str">
            <v>PIKOL</v>
          </cell>
          <cell r="E2772">
            <v>16.5</v>
          </cell>
          <cell r="F2772">
            <v>19.139999999999997</v>
          </cell>
        </row>
        <row r="2773">
          <cell r="A2773">
            <v>2769</v>
          </cell>
          <cell r="B2773" t="str">
            <v xml:space="preserve">7501991808314   </v>
          </cell>
          <cell r="C2773" t="str">
            <v xml:space="preserve">(P-7) SALUDO                            </v>
          </cell>
          <cell r="D2773" t="str">
            <v>PIKOL</v>
          </cell>
          <cell r="E2773">
            <v>16.5</v>
          </cell>
          <cell r="F2773">
            <v>19.139999999999997</v>
          </cell>
        </row>
        <row r="2774">
          <cell r="A2774">
            <v>2770</v>
          </cell>
          <cell r="B2774" t="str">
            <v xml:space="preserve">7501991808321   </v>
          </cell>
          <cell r="C2774" t="str">
            <v xml:space="preserve">(P-8) HONORES A LA BANDERA              </v>
          </cell>
          <cell r="D2774" t="str">
            <v>PIKOL</v>
          </cell>
          <cell r="E2774">
            <v>16.5</v>
          </cell>
          <cell r="F2774">
            <v>19.139999999999997</v>
          </cell>
        </row>
        <row r="2775">
          <cell r="A2775">
            <v>2771</v>
          </cell>
          <cell r="B2775" t="str">
            <v xml:space="preserve">7501991808338   </v>
          </cell>
          <cell r="C2775" t="str">
            <v xml:space="preserve">(P-9) CONSTRUCCION                      </v>
          </cell>
          <cell r="D2775" t="str">
            <v>PIKOL</v>
          </cell>
          <cell r="E2775">
            <v>16.5</v>
          </cell>
          <cell r="F2775">
            <v>19.139999999999997</v>
          </cell>
        </row>
        <row r="2776">
          <cell r="A2776">
            <v>2772</v>
          </cell>
          <cell r="B2776" t="str">
            <v xml:space="preserve">7501991808345   </v>
          </cell>
          <cell r="C2776" t="str">
            <v xml:space="preserve">(P-10) LECTURA                          </v>
          </cell>
          <cell r="D2776" t="str">
            <v>PIKOL</v>
          </cell>
          <cell r="E2776">
            <v>16.5</v>
          </cell>
          <cell r="F2776">
            <v>19.139999999999997</v>
          </cell>
        </row>
        <row r="2777">
          <cell r="A2777">
            <v>2773</v>
          </cell>
          <cell r="B2777" t="str">
            <v xml:space="preserve">7501991808352   </v>
          </cell>
          <cell r="C2777" t="str">
            <v xml:space="preserve">(P-11) CUIDO LA NATURALEZA              </v>
          </cell>
          <cell r="D2777" t="str">
            <v>PIKOL</v>
          </cell>
          <cell r="E2777">
            <v>16.5</v>
          </cell>
          <cell r="F2777">
            <v>19.139999999999997</v>
          </cell>
        </row>
        <row r="2778">
          <cell r="A2778">
            <v>2774</v>
          </cell>
          <cell r="B2778" t="str">
            <v xml:space="preserve">7501991808369   </v>
          </cell>
          <cell r="C2778" t="str">
            <v xml:space="preserve">(P-12) ECOLOGIA                         </v>
          </cell>
          <cell r="D2778" t="str">
            <v>PIKOL</v>
          </cell>
          <cell r="E2778">
            <v>16.5</v>
          </cell>
          <cell r="F2778">
            <v>19.139999999999997</v>
          </cell>
        </row>
        <row r="2779">
          <cell r="A2779">
            <v>2775</v>
          </cell>
          <cell r="B2779" t="str">
            <v xml:space="preserve">7501991808376   </v>
          </cell>
          <cell r="C2779" t="str">
            <v xml:space="preserve">(P-13) ASEO                             </v>
          </cell>
          <cell r="D2779" t="str">
            <v>PIKOL</v>
          </cell>
          <cell r="E2779">
            <v>16.5</v>
          </cell>
          <cell r="F2779">
            <v>19.139999999999997</v>
          </cell>
        </row>
        <row r="2780">
          <cell r="A2780">
            <v>2776</v>
          </cell>
          <cell r="B2780" t="str">
            <v xml:space="preserve">7501991808383   </v>
          </cell>
          <cell r="C2780" t="str">
            <v xml:space="preserve">(P-14) ARENERO                          </v>
          </cell>
          <cell r="D2780" t="str">
            <v>PIKOL</v>
          </cell>
          <cell r="E2780">
            <v>16.5</v>
          </cell>
          <cell r="F2780">
            <v>19.139999999999997</v>
          </cell>
        </row>
        <row r="2781">
          <cell r="A2781">
            <v>2777</v>
          </cell>
          <cell r="B2781" t="str">
            <v xml:space="preserve">7501991808390   </v>
          </cell>
          <cell r="C2781" t="str">
            <v xml:space="preserve">(P-15) PARCELAS                         </v>
          </cell>
          <cell r="D2781" t="str">
            <v>PIKOL</v>
          </cell>
          <cell r="E2781">
            <v>16.5</v>
          </cell>
          <cell r="F2781">
            <v>19.139999999999997</v>
          </cell>
        </row>
        <row r="2782">
          <cell r="A2782">
            <v>2778</v>
          </cell>
          <cell r="B2782" t="str">
            <v xml:space="preserve">7501991808406   </v>
          </cell>
          <cell r="C2782" t="str">
            <v xml:space="preserve">(P-16) RITMOS, CANTOS...                </v>
          </cell>
          <cell r="D2782" t="str">
            <v>PIKOL</v>
          </cell>
          <cell r="E2782">
            <v>16.5</v>
          </cell>
          <cell r="F2782">
            <v>19.139999999999997</v>
          </cell>
        </row>
        <row r="2783">
          <cell r="A2783">
            <v>2779</v>
          </cell>
          <cell r="B2783" t="str">
            <v xml:space="preserve">7501991808413   </v>
          </cell>
          <cell r="C2783" t="str">
            <v xml:space="preserve">(P-17) EDUCACION FISICA                 </v>
          </cell>
          <cell r="D2783" t="str">
            <v>PIKOL</v>
          </cell>
          <cell r="E2783">
            <v>16.5</v>
          </cell>
          <cell r="F2783">
            <v>19.139999999999997</v>
          </cell>
        </row>
        <row r="2784">
          <cell r="A2784">
            <v>2780</v>
          </cell>
          <cell r="B2784" t="str">
            <v xml:space="preserve">7501991808420   </v>
          </cell>
          <cell r="C2784" t="str">
            <v xml:space="preserve">(P-18) TEATRO                           </v>
          </cell>
          <cell r="D2784" t="str">
            <v>PIKOL</v>
          </cell>
          <cell r="E2784">
            <v>16.5</v>
          </cell>
          <cell r="F2784">
            <v>19.139999999999997</v>
          </cell>
        </row>
        <row r="2785">
          <cell r="A2785">
            <v>2781</v>
          </cell>
          <cell r="B2785" t="str">
            <v xml:space="preserve">7501991808437   </v>
          </cell>
          <cell r="C2785" t="str">
            <v xml:space="preserve">(P-19) RONDAS                           </v>
          </cell>
          <cell r="D2785" t="str">
            <v>PIKOL</v>
          </cell>
          <cell r="E2785">
            <v>16.5</v>
          </cell>
          <cell r="F2785">
            <v>19.139999999999997</v>
          </cell>
        </row>
        <row r="2786">
          <cell r="A2786">
            <v>2782</v>
          </cell>
          <cell r="B2786" t="str">
            <v xml:space="preserve">7501991808444   </v>
          </cell>
          <cell r="C2786" t="str">
            <v xml:space="preserve">(P-20) RECREACION ACUATICA              </v>
          </cell>
          <cell r="D2786" t="str">
            <v>PIKOL</v>
          </cell>
          <cell r="E2786">
            <v>16.5</v>
          </cell>
          <cell r="F2786">
            <v>19.139999999999997</v>
          </cell>
        </row>
        <row r="2787">
          <cell r="A2787">
            <v>2783</v>
          </cell>
          <cell r="B2787" t="str">
            <v xml:space="preserve">7501991808451   </v>
          </cell>
          <cell r="C2787" t="str">
            <v xml:space="preserve">(P-21) DESPEDIDA                        </v>
          </cell>
          <cell r="D2787" t="str">
            <v>PIKOL</v>
          </cell>
          <cell r="E2787">
            <v>16.5</v>
          </cell>
          <cell r="F2787">
            <v>19.139999999999997</v>
          </cell>
        </row>
        <row r="2788">
          <cell r="A2788">
            <v>2784</v>
          </cell>
          <cell r="B2788" t="str">
            <v xml:space="preserve">7501991808468   </v>
          </cell>
          <cell r="C2788" t="str">
            <v xml:space="preserve">(P-22) ASAMBLEA                         </v>
          </cell>
          <cell r="D2788" t="str">
            <v>PIKOL</v>
          </cell>
          <cell r="E2788">
            <v>16.5</v>
          </cell>
          <cell r="F2788">
            <v>19.139999999999997</v>
          </cell>
        </row>
        <row r="2789">
          <cell r="A2789">
            <v>2785</v>
          </cell>
          <cell r="B2789" t="str">
            <v xml:space="preserve">7501991808475   </v>
          </cell>
          <cell r="C2789" t="str">
            <v xml:space="preserve">(P-23) PASE DE LISTA                    </v>
          </cell>
          <cell r="D2789" t="str">
            <v>PIKOL</v>
          </cell>
          <cell r="E2789">
            <v>16.5</v>
          </cell>
          <cell r="F2789">
            <v>19.139999999999997</v>
          </cell>
        </row>
        <row r="2790">
          <cell r="A2790">
            <v>2786</v>
          </cell>
          <cell r="B2790" t="str">
            <v xml:space="preserve">7501991808482   </v>
          </cell>
          <cell r="C2790" t="str">
            <v xml:space="preserve">(P-24) ASEO PERSONAL                    </v>
          </cell>
          <cell r="D2790" t="str">
            <v>PIKOL</v>
          </cell>
          <cell r="E2790">
            <v>16.5</v>
          </cell>
          <cell r="F2790">
            <v>19.139999999999997</v>
          </cell>
        </row>
        <row r="2791">
          <cell r="A2791">
            <v>2787</v>
          </cell>
          <cell r="B2791" t="str">
            <v xml:space="preserve">7501991808499   </v>
          </cell>
          <cell r="C2791" t="str">
            <v xml:space="preserve">(P-25) ASEO DIENTES                     </v>
          </cell>
          <cell r="D2791" t="str">
            <v>PIKOL</v>
          </cell>
          <cell r="E2791">
            <v>16.5</v>
          </cell>
          <cell r="F2791">
            <v>19.139999999999997</v>
          </cell>
        </row>
        <row r="2792">
          <cell r="A2792">
            <v>2788</v>
          </cell>
          <cell r="B2792" t="str">
            <v xml:space="preserve">7501991808505   </v>
          </cell>
          <cell r="C2792" t="str">
            <v xml:space="preserve">(P-26) VAMOS AL SANITARIO               </v>
          </cell>
          <cell r="D2792" t="str">
            <v>PIKOL</v>
          </cell>
          <cell r="E2792">
            <v>16.5</v>
          </cell>
          <cell r="F2792">
            <v>19.139999999999997</v>
          </cell>
        </row>
        <row r="2793">
          <cell r="A2793">
            <v>2789</v>
          </cell>
          <cell r="B2793" t="str">
            <v xml:space="preserve">7501991808512   </v>
          </cell>
          <cell r="C2793" t="str">
            <v xml:space="preserve">(RPP) RELOJ PERSONALIZADO               </v>
          </cell>
          <cell r="D2793" t="str">
            <v>PIKOL</v>
          </cell>
          <cell r="E2793">
            <v>123.75</v>
          </cell>
          <cell r="F2793">
            <v>143.54999999999998</v>
          </cell>
        </row>
        <row r="2794">
          <cell r="A2794">
            <v>2790</v>
          </cell>
          <cell r="B2794" t="str">
            <v xml:space="preserve">7501991808536   </v>
          </cell>
          <cell r="C2794" t="str">
            <v xml:space="preserve">(S-1) ME BAJO LA ROPA                   </v>
          </cell>
          <cell r="D2794" t="str">
            <v>PIKOL</v>
          </cell>
          <cell r="E2794">
            <v>28.05</v>
          </cell>
          <cell r="F2794">
            <v>32.537999999999997</v>
          </cell>
        </row>
        <row r="2795">
          <cell r="A2795">
            <v>2791</v>
          </cell>
          <cell r="B2795" t="str">
            <v xml:space="preserve">7501991808543   </v>
          </cell>
          <cell r="C2795" t="str">
            <v xml:space="preserve">(S-2) UTILIZO LA TAZA                   </v>
          </cell>
          <cell r="D2795" t="str">
            <v>PIKOL</v>
          </cell>
          <cell r="E2795">
            <v>28.05</v>
          </cell>
          <cell r="F2795">
            <v>32.537999999999997</v>
          </cell>
        </row>
        <row r="2796">
          <cell r="A2796">
            <v>2792</v>
          </cell>
          <cell r="B2796" t="str">
            <v xml:space="preserve">7501991808550   </v>
          </cell>
          <cell r="C2796" t="str">
            <v xml:space="preserve">(S-3) TIRO EL PAPEL                     </v>
          </cell>
          <cell r="D2796" t="str">
            <v>PIKOL</v>
          </cell>
          <cell r="E2796">
            <v>28.05</v>
          </cell>
          <cell r="F2796">
            <v>32.537999999999997</v>
          </cell>
        </row>
        <row r="2797">
          <cell r="A2797">
            <v>2793</v>
          </cell>
          <cell r="B2797" t="str">
            <v xml:space="preserve">7501991808567   </v>
          </cell>
          <cell r="C2797" t="str">
            <v xml:space="preserve">(S-4) ME LAVO LAS MANOS                 </v>
          </cell>
          <cell r="D2797" t="str">
            <v>PIKOL</v>
          </cell>
          <cell r="E2797">
            <v>28.05</v>
          </cell>
          <cell r="F2797">
            <v>32.537999999999997</v>
          </cell>
        </row>
        <row r="2798">
          <cell r="A2798">
            <v>2794</v>
          </cell>
          <cell r="B2798" t="str">
            <v xml:space="preserve">7501991808574   </v>
          </cell>
          <cell r="C2798" t="str">
            <v xml:space="preserve">(S-5) USO EL MIGINTORIO                 </v>
          </cell>
          <cell r="D2798" t="str">
            <v>PIKOL</v>
          </cell>
          <cell r="E2798">
            <v>28.05</v>
          </cell>
          <cell r="F2798">
            <v>32.537999999999997</v>
          </cell>
        </row>
        <row r="2799">
          <cell r="A2799">
            <v>2795</v>
          </cell>
          <cell r="B2799" t="str">
            <v xml:space="preserve">7501991808581   </v>
          </cell>
          <cell r="C2799" t="str">
            <v xml:space="preserve">(S-6) BAJO LA PALANCA (NIÑO)            </v>
          </cell>
          <cell r="D2799" t="str">
            <v>PIKOL</v>
          </cell>
          <cell r="E2799">
            <v>28.05</v>
          </cell>
          <cell r="F2799">
            <v>32.537999999999997</v>
          </cell>
        </row>
        <row r="2800">
          <cell r="A2800">
            <v>2796</v>
          </cell>
          <cell r="B2800" t="str">
            <v xml:space="preserve">7501991808598   </v>
          </cell>
          <cell r="C2800" t="str">
            <v xml:space="preserve">(S-7) TIRO EL PAPEL (NIÑA)              </v>
          </cell>
          <cell r="D2800" t="str">
            <v>PIKOL</v>
          </cell>
          <cell r="E2800">
            <v>28.05</v>
          </cell>
          <cell r="F2800">
            <v>32.537999999999997</v>
          </cell>
        </row>
        <row r="2801">
          <cell r="A2801">
            <v>2797</v>
          </cell>
          <cell r="B2801" t="str">
            <v xml:space="preserve">7501991808604   </v>
          </cell>
          <cell r="C2801" t="str">
            <v xml:space="preserve">(S-8) ME BAJO LA ROPA (NIÑA)            </v>
          </cell>
          <cell r="D2801" t="str">
            <v>PIKOL</v>
          </cell>
          <cell r="E2801">
            <v>28.05</v>
          </cell>
          <cell r="F2801">
            <v>32.537999999999997</v>
          </cell>
        </row>
        <row r="2802">
          <cell r="A2802">
            <v>2798</v>
          </cell>
          <cell r="B2802" t="str">
            <v xml:space="preserve">7501991808611   </v>
          </cell>
          <cell r="C2802" t="str">
            <v xml:space="preserve">(S-9) BAJO LA PALANCA (NIÑA)            </v>
          </cell>
          <cell r="D2802" t="str">
            <v>PIKOL</v>
          </cell>
          <cell r="E2802">
            <v>28.05</v>
          </cell>
          <cell r="F2802">
            <v>32.537999999999997</v>
          </cell>
        </row>
        <row r="2803">
          <cell r="A2803">
            <v>2799</v>
          </cell>
          <cell r="B2803" t="str">
            <v xml:space="preserve">7501991808628   </v>
          </cell>
          <cell r="C2803" t="str">
            <v xml:space="preserve">(S-10) ME LAVO LAS MANOS (NIÑA)         </v>
          </cell>
          <cell r="D2803" t="str">
            <v>PIKOL</v>
          </cell>
          <cell r="E2803">
            <v>28.05</v>
          </cell>
          <cell r="F2803">
            <v>32.537999999999997</v>
          </cell>
        </row>
        <row r="2804">
          <cell r="A2804">
            <v>2800</v>
          </cell>
          <cell r="B2804" t="str">
            <v xml:space="preserve">7501991808635   </v>
          </cell>
          <cell r="C2804" t="str">
            <v xml:space="preserve">(Sch-1) ME BAJO LA ROPA (NIÑO)          </v>
          </cell>
          <cell r="D2804" t="str">
            <v>PIKOL</v>
          </cell>
          <cell r="E2804">
            <v>16.5</v>
          </cell>
          <cell r="F2804">
            <v>19.139999999999997</v>
          </cell>
        </row>
        <row r="2805">
          <cell r="A2805">
            <v>2801</v>
          </cell>
          <cell r="B2805" t="str">
            <v xml:space="preserve">7501991808642   </v>
          </cell>
          <cell r="C2805" t="str">
            <v xml:space="preserve">(Sch-2) UTILZO LA TAZA (NIÑO)           </v>
          </cell>
          <cell r="D2805" t="str">
            <v>PIKOL</v>
          </cell>
          <cell r="E2805">
            <v>16.5</v>
          </cell>
          <cell r="F2805">
            <v>19.139999999999997</v>
          </cell>
        </row>
        <row r="2806">
          <cell r="A2806">
            <v>2802</v>
          </cell>
          <cell r="B2806" t="str">
            <v xml:space="preserve">7501991808659   </v>
          </cell>
          <cell r="C2806" t="str">
            <v xml:space="preserve">(Sch-3) TIRO EL PAPEL                   </v>
          </cell>
          <cell r="D2806" t="str">
            <v>PIKOL</v>
          </cell>
          <cell r="E2806">
            <v>16.5</v>
          </cell>
          <cell r="F2806">
            <v>19.139999999999997</v>
          </cell>
        </row>
        <row r="2807">
          <cell r="A2807">
            <v>2803</v>
          </cell>
          <cell r="B2807" t="str">
            <v xml:space="preserve">7501991808666   </v>
          </cell>
          <cell r="C2807" t="str">
            <v xml:space="preserve">(Sch-4) ME LAVO LAS MANOS               </v>
          </cell>
          <cell r="D2807" t="str">
            <v>PIKOL</v>
          </cell>
          <cell r="E2807">
            <v>16.5</v>
          </cell>
          <cell r="F2807">
            <v>19.139999999999997</v>
          </cell>
        </row>
        <row r="2808">
          <cell r="A2808">
            <v>2804</v>
          </cell>
          <cell r="B2808" t="str">
            <v xml:space="preserve">7501991808673   </v>
          </cell>
          <cell r="C2808" t="str">
            <v xml:space="preserve">(Sch-6) BAJO LA PALANCA                 </v>
          </cell>
          <cell r="D2808" t="str">
            <v>PIKOL</v>
          </cell>
          <cell r="E2808">
            <v>16.5</v>
          </cell>
          <cell r="F2808">
            <v>19.139999999999997</v>
          </cell>
        </row>
        <row r="2809">
          <cell r="A2809">
            <v>2805</v>
          </cell>
          <cell r="B2809" t="str">
            <v xml:space="preserve">7501991808680   </v>
          </cell>
          <cell r="C2809" t="str">
            <v xml:space="preserve">(Sch-7) TIRO EL PAPEL (NIÑA)            </v>
          </cell>
          <cell r="D2809" t="str">
            <v>PIKOL</v>
          </cell>
          <cell r="E2809">
            <v>16.5</v>
          </cell>
          <cell r="F2809">
            <v>19.139999999999997</v>
          </cell>
        </row>
        <row r="2810">
          <cell r="A2810">
            <v>2806</v>
          </cell>
          <cell r="B2810" t="str">
            <v xml:space="preserve">7501991808697   </v>
          </cell>
          <cell r="C2810" t="str">
            <v xml:space="preserve">(Sch-8) ME BAJO LA ROPA (NIÑA)          </v>
          </cell>
          <cell r="D2810" t="str">
            <v>PIKOL</v>
          </cell>
          <cell r="E2810">
            <v>16.5</v>
          </cell>
          <cell r="F2810">
            <v>19.139999999999997</v>
          </cell>
        </row>
        <row r="2811">
          <cell r="A2811">
            <v>2807</v>
          </cell>
          <cell r="B2811" t="str">
            <v xml:space="preserve">7501991808703   </v>
          </cell>
          <cell r="C2811" t="str">
            <v xml:space="preserve">(Sch-9) BAJO LA PALANCA (NIÑA)          </v>
          </cell>
          <cell r="D2811" t="str">
            <v>PIKOL</v>
          </cell>
          <cell r="E2811">
            <v>16.5</v>
          </cell>
          <cell r="F2811">
            <v>19.139999999999997</v>
          </cell>
        </row>
        <row r="2812">
          <cell r="A2812">
            <v>2808</v>
          </cell>
          <cell r="B2812" t="str">
            <v xml:space="preserve">7501991808710   </v>
          </cell>
          <cell r="C2812" t="str">
            <v xml:space="preserve">(Sch-10) ME LAVO LAS MANOS (NIÑA)       </v>
          </cell>
          <cell r="D2812" t="str">
            <v>PIKOL</v>
          </cell>
          <cell r="E2812">
            <v>16.5</v>
          </cell>
          <cell r="F2812">
            <v>19.139999999999997</v>
          </cell>
        </row>
        <row r="2813">
          <cell r="A2813">
            <v>2809</v>
          </cell>
          <cell r="B2813" t="str">
            <v xml:space="preserve">7501991808727   </v>
          </cell>
          <cell r="C2813" t="str">
            <v xml:space="preserve">(SM-1) SEÑALAMIENTO ESTACIONAMIENTO     </v>
          </cell>
          <cell r="D2813" t="str">
            <v>PIKOL</v>
          </cell>
          <cell r="E2813">
            <v>37.950000000000003</v>
          </cell>
          <cell r="F2813">
            <v>44.021999999999998</v>
          </cell>
        </row>
        <row r="2814">
          <cell r="A2814">
            <v>2810</v>
          </cell>
          <cell r="B2814" t="str">
            <v xml:space="preserve">7501991808734   </v>
          </cell>
          <cell r="C2814" t="str">
            <v xml:space="preserve">(SM-2) SEÑALAMIENTOS VELOCIDAD MAXIMA   </v>
          </cell>
          <cell r="D2814" t="str">
            <v>PIKOL</v>
          </cell>
          <cell r="E2814">
            <v>37.950000000000003</v>
          </cell>
          <cell r="F2814">
            <v>44.021999999999998</v>
          </cell>
        </row>
        <row r="2815">
          <cell r="A2815">
            <v>2811</v>
          </cell>
          <cell r="B2815" t="str">
            <v xml:space="preserve">7501991808741   </v>
          </cell>
          <cell r="C2815" t="str">
            <v xml:space="preserve">(SM-3) SEÑALAMIENTOS VIALDAD            </v>
          </cell>
          <cell r="D2815" t="str">
            <v>PIKOL</v>
          </cell>
          <cell r="E2815">
            <v>37.950000000000003</v>
          </cell>
          <cell r="F2815">
            <v>44.021999999999998</v>
          </cell>
        </row>
        <row r="2816">
          <cell r="A2816">
            <v>2812</v>
          </cell>
          <cell r="B2816" t="str">
            <v xml:space="preserve">7501991808758   </v>
          </cell>
          <cell r="C2816" t="str">
            <v xml:space="preserve">(Sch-5) USO EL MIGINTORIO               </v>
          </cell>
          <cell r="D2816" t="str">
            <v>PIKOL</v>
          </cell>
          <cell r="E2816">
            <v>16.5</v>
          </cell>
          <cell r="F2816">
            <v>19.139999999999997</v>
          </cell>
        </row>
        <row r="2817">
          <cell r="A2817">
            <v>2813</v>
          </cell>
          <cell r="B2817" t="str">
            <v xml:space="preserve">7501991808765   </v>
          </cell>
          <cell r="C2817" t="str">
            <v xml:space="preserve">(Ai-32) INFLUENZA                       </v>
          </cell>
          <cell r="D2817" t="str">
            <v>PIKOL</v>
          </cell>
          <cell r="E2817">
            <v>36.299999999999997</v>
          </cell>
          <cell r="F2817">
            <v>42.107999999999997</v>
          </cell>
        </row>
        <row r="2818">
          <cell r="A2818">
            <v>2814</v>
          </cell>
          <cell r="B2818" t="str">
            <v xml:space="preserve">7501991808772   </v>
          </cell>
          <cell r="C2818" t="str">
            <v xml:space="preserve">(Ar-47) FILTRO SANITARIO                </v>
          </cell>
          <cell r="D2818" t="str">
            <v>PIKOL</v>
          </cell>
          <cell r="E2818">
            <v>29.7</v>
          </cell>
          <cell r="F2818">
            <v>34.451999999999998</v>
          </cell>
        </row>
        <row r="2819">
          <cell r="A2819">
            <v>2815</v>
          </cell>
          <cell r="B2819" t="str">
            <v xml:space="preserve">7501991808789   </v>
          </cell>
          <cell r="C2819" t="str">
            <v xml:space="preserve">(Ar-36) LACTARIO                        </v>
          </cell>
          <cell r="D2819" t="str">
            <v>PIKOL</v>
          </cell>
          <cell r="E2819">
            <v>24.75</v>
          </cell>
          <cell r="F2819">
            <v>28.709999999999997</v>
          </cell>
        </row>
        <row r="2820">
          <cell r="A2820">
            <v>2816</v>
          </cell>
          <cell r="B2820" t="str">
            <v xml:space="preserve">7501991808796   </v>
          </cell>
          <cell r="C2820" t="str">
            <v xml:space="preserve">(Ar-49) BODEGA VIVERES                  </v>
          </cell>
          <cell r="D2820" t="str">
            <v>PIKOL</v>
          </cell>
          <cell r="E2820">
            <v>29.7</v>
          </cell>
          <cell r="F2820">
            <v>34.451999999999998</v>
          </cell>
        </row>
        <row r="2821">
          <cell r="A2821">
            <v>2817</v>
          </cell>
          <cell r="B2821" t="str">
            <v xml:space="preserve">7501991808802   </v>
          </cell>
          <cell r="C2821" t="str">
            <v xml:space="preserve">(Ar-50) LACTARIO ZONA DE ...            </v>
          </cell>
          <cell r="D2821" t="str">
            <v>PIKOL</v>
          </cell>
          <cell r="E2821">
            <v>29.7</v>
          </cell>
          <cell r="F2821">
            <v>34.451999999999998</v>
          </cell>
        </row>
        <row r="2822">
          <cell r="A2822">
            <v>2818</v>
          </cell>
          <cell r="B2822" t="str">
            <v xml:space="preserve">7501991808819   </v>
          </cell>
          <cell r="C2822" t="str">
            <v xml:space="preserve">(Em-5) BASURA EN SU LUGAR  GRANDE       </v>
          </cell>
          <cell r="D2822" t="str">
            <v>PIKOL</v>
          </cell>
          <cell r="E2822">
            <v>31.35</v>
          </cell>
          <cell r="F2822">
            <v>36.366</v>
          </cell>
        </row>
        <row r="2823">
          <cell r="A2823">
            <v>2819</v>
          </cell>
          <cell r="B2823" t="str">
            <v xml:space="preserve">7501991808840   </v>
          </cell>
          <cell r="C2823" t="str">
            <v xml:space="preserve">(Ar-28) PERCHERO                        </v>
          </cell>
          <cell r="D2823" t="str">
            <v>PIKOL</v>
          </cell>
          <cell r="E2823">
            <v>24.75</v>
          </cell>
          <cell r="F2823">
            <v>28.709999999999997</v>
          </cell>
        </row>
        <row r="2824">
          <cell r="A2824">
            <v>2820</v>
          </cell>
          <cell r="B2824" t="str">
            <v xml:space="preserve">7501991808857   </v>
          </cell>
          <cell r="C2824" t="str">
            <v xml:space="preserve">(Ar-35) PSICOLOGIA                      </v>
          </cell>
          <cell r="D2824" t="str">
            <v>PIKOL</v>
          </cell>
          <cell r="E2824">
            <v>24.75</v>
          </cell>
          <cell r="F2824">
            <v>28.709999999999997</v>
          </cell>
        </row>
        <row r="2825">
          <cell r="A2825">
            <v>2821</v>
          </cell>
          <cell r="B2825" t="str">
            <v xml:space="preserve">7501991808864   </v>
          </cell>
          <cell r="C2825" t="str">
            <v xml:space="preserve">(Ar-37) RECEPCION                       </v>
          </cell>
          <cell r="D2825" t="str">
            <v>PIKOL</v>
          </cell>
          <cell r="E2825">
            <v>24.75</v>
          </cell>
          <cell r="F2825">
            <v>28.709999999999997</v>
          </cell>
        </row>
        <row r="2826">
          <cell r="A2826">
            <v>2822</v>
          </cell>
          <cell r="B2826" t="str">
            <v xml:space="preserve">7501991808871   </v>
          </cell>
          <cell r="C2826" t="str">
            <v xml:space="preserve">(Ar-38) ADMINISTRATIVO                  </v>
          </cell>
          <cell r="D2826" t="str">
            <v>PIKOL</v>
          </cell>
          <cell r="E2826">
            <v>24.75</v>
          </cell>
          <cell r="F2826">
            <v>28.709999999999997</v>
          </cell>
        </row>
        <row r="2827">
          <cell r="A2827">
            <v>2823</v>
          </cell>
          <cell r="B2827" t="str">
            <v xml:space="preserve">7501991808888   </v>
          </cell>
          <cell r="C2827" t="str">
            <v xml:space="preserve">(Ar-39) COORDINACION                    </v>
          </cell>
          <cell r="D2827" t="str">
            <v>PIKOL</v>
          </cell>
          <cell r="E2827">
            <v>24.75</v>
          </cell>
          <cell r="F2827">
            <v>28.709999999999997</v>
          </cell>
        </row>
        <row r="2828">
          <cell r="A2828">
            <v>2824</v>
          </cell>
          <cell r="B2828" t="str">
            <v xml:space="preserve">7501991808895   </v>
          </cell>
          <cell r="C2828" t="str">
            <v xml:space="preserve">(Ar-40) GIMNACIO                        </v>
          </cell>
          <cell r="D2828" t="str">
            <v>PIKOL</v>
          </cell>
          <cell r="E2828">
            <v>24.75</v>
          </cell>
          <cell r="F2828">
            <v>28.709999999999997</v>
          </cell>
        </row>
        <row r="2829">
          <cell r="A2829">
            <v>2825</v>
          </cell>
          <cell r="B2829" t="str">
            <v xml:space="preserve">7501991808901   </v>
          </cell>
          <cell r="C2829" t="str">
            <v xml:space="preserve">(Ar-41) VIDEOTECA                       </v>
          </cell>
          <cell r="D2829" t="str">
            <v>PIKOL</v>
          </cell>
          <cell r="E2829">
            <v>24.75</v>
          </cell>
          <cell r="F2829">
            <v>28.709999999999997</v>
          </cell>
        </row>
        <row r="2830">
          <cell r="A2830">
            <v>2826</v>
          </cell>
          <cell r="B2830" t="str">
            <v xml:space="preserve">7501991808918   </v>
          </cell>
          <cell r="C2830" t="str">
            <v xml:space="preserve">(Ar-42) FILTRO                          </v>
          </cell>
          <cell r="D2830" t="str">
            <v>PIKOL</v>
          </cell>
          <cell r="E2830">
            <v>24.75</v>
          </cell>
          <cell r="F2830">
            <v>28.709999999999997</v>
          </cell>
        </row>
        <row r="2831">
          <cell r="A2831">
            <v>2827</v>
          </cell>
          <cell r="B2831" t="str">
            <v xml:space="preserve">7501991808925   </v>
          </cell>
          <cell r="C2831" t="str">
            <v xml:space="preserve">(Ar-45) INGLES                          </v>
          </cell>
          <cell r="D2831" t="str">
            <v>PIKOL</v>
          </cell>
          <cell r="E2831">
            <v>24.75</v>
          </cell>
          <cell r="F2831">
            <v>28.709999999999997</v>
          </cell>
        </row>
        <row r="2832">
          <cell r="A2832">
            <v>2828</v>
          </cell>
          <cell r="B2832" t="str">
            <v xml:space="preserve">7501991808932   </v>
          </cell>
          <cell r="C2832" t="str">
            <v xml:space="preserve">(Ar-46) TRABAJO SOCIAL                  </v>
          </cell>
          <cell r="D2832" t="str">
            <v>PIKOL</v>
          </cell>
          <cell r="E2832">
            <v>29.7</v>
          </cell>
          <cell r="F2832">
            <v>34.451999999999998</v>
          </cell>
        </row>
        <row r="2833">
          <cell r="A2833">
            <v>2829</v>
          </cell>
          <cell r="B2833" t="str">
            <v xml:space="preserve">7501991808949   </v>
          </cell>
          <cell r="C2833" t="str">
            <v xml:space="preserve">(Ar-48) SERVICIO MEDICO                 </v>
          </cell>
          <cell r="D2833" t="str">
            <v>PIKOL</v>
          </cell>
          <cell r="E2833">
            <v>29.7</v>
          </cell>
          <cell r="F2833">
            <v>34.451999999999998</v>
          </cell>
        </row>
        <row r="2834">
          <cell r="A2834">
            <v>2830</v>
          </cell>
          <cell r="B2834" t="str">
            <v xml:space="preserve">7501991808956   </v>
          </cell>
          <cell r="C2834" t="str">
            <v xml:space="preserve">(Ar-51) BODEGA REFRIGERACION            </v>
          </cell>
          <cell r="D2834" t="str">
            <v>PIKOL</v>
          </cell>
          <cell r="E2834">
            <v>29.7</v>
          </cell>
          <cell r="F2834">
            <v>34.451999999999998</v>
          </cell>
        </row>
        <row r="2835">
          <cell r="A2835">
            <v>2831</v>
          </cell>
          <cell r="B2835" t="str">
            <v xml:space="preserve">7501991808963   </v>
          </cell>
          <cell r="C2835" t="str">
            <v xml:space="preserve">(Ar-43) BIBLIOTECA GRANDE               </v>
          </cell>
          <cell r="D2835" t="str">
            <v>PIKOL</v>
          </cell>
          <cell r="E2835">
            <v>37.950000000000003</v>
          </cell>
          <cell r="F2835">
            <v>44.021999999999998</v>
          </cell>
        </row>
        <row r="2836">
          <cell r="A2836">
            <v>2832</v>
          </cell>
          <cell r="B2836" t="str">
            <v xml:space="preserve">7501991808970   </v>
          </cell>
          <cell r="C2836" t="str">
            <v xml:space="preserve">(EM-20) PUNTO DE REUNION                </v>
          </cell>
          <cell r="D2836" t="str">
            <v>PIKOL</v>
          </cell>
          <cell r="E2836">
            <v>31.35</v>
          </cell>
          <cell r="F2836">
            <v>36.366</v>
          </cell>
        </row>
        <row r="2837">
          <cell r="A2837">
            <v>2833</v>
          </cell>
          <cell r="B2837" t="str">
            <v xml:space="preserve">7501502400341   </v>
          </cell>
          <cell r="C2837" t="str">
            <v xml:space="preserve">PIZARRON CORCHO (40 x 60) cm            </v>
          </cell>
          <cell r="D2837" t="str">
            <v xml:space="preserve">PIZA </v>
          </cell>
          <cell r="E2837">
            <v>141.9</v>
          </cell>
          <cell r="F2837">
            <v>164.60399999999998</v>
          </cell>
        </row>
        <row r="2838">
          <cell r="A2838">
            <v>2834</v>
          </cell>
          <cell r="B2838" t="str">
            <v xml:space="preserve">7501502400587   </v>
          </cell>
          <cell r="C2838" t="str">
            <v xml:space="preserve">PIZARRON BLANCO (30 x 40) cm            </v>
          </cell>
          <cell r="D2838" t="str">
            <v xml:space="preserve">PIZA </v>
          </cell>
          <cell r="E2838">
            <v>70.95</v>
          </cell>
          <cell r="F2838">
            <v>82.301999999999992</v>
          </cell>
        </row>
        <row r="2839">
          <cell r="A2839">
            <v>2835</v>
          </cell>
          <cell r="B2839" t="str">
            <v xml:space="preserve">7501502400594   </v>
          </cell>
          <cell r="C2839" t="str">
            <v xml:space="preserve">PIZARRON BLANCO (40 x 60) cm            </v>
          </cell>
          <cell r="D2839" t="str">
            <v xml:space="preserve">PIZA </v>
          </cell>
          <cell r="E2839">
            <v>188.1</v>
          </cell>
          <cell r="F2839">
            <v>218.19599999999997</v>
          </cell>
        </row>
        <row r="2840">
          <cell r="A2840">
            <v>2836</v>
          </cell>
          <cell r="B2840" t="str">
            <v xml:space="preserve">7501502400877   </v>
          </cell>
          <cell r="C2840" t="str">
            <v xml:space="preserve">PIZARRON MIXTO (CORCHO/BLANCO) 40 x 60  </v>
          </cell>
          <cell r="D2840" t="str">
            <v xml:space="preserve">PIZA </v>
          </cell>
          <cell r="E2840">
            <v>188.1</v>
          </cell>
          <cell r="F2840">
            <v>218.19599999999997</v>
          </cell>
        </row>
        <row r="2841">
          <cell r="A2841">
            <v>2837</v>
          </cell>
          <cell r="B2841" t="str">
            <v xml:space="preserve">7501502401140   </v>
          </cell>
          <cell r="C2841" t="str">
            <v xml:space="preserve">PIZARRON CORCHO DE (45 x 60) cm         </v>
          </cell>
          <cell r="D2841" t="str">
            <v xml:space="preserve">PIZA </v>
          </cell>
          <cell r="E2841">
            <v>141.9</v>
          </cell>
          <cell r="F2841">
            <v>164.60399999999998</v>
          </cell>
        </row>
        <row r="2842">
          <cell r="A2842">
            <v>2838</v>
          </cell>
          <cell r="B2842" t="str">
            <v xml:space="preserve">7501502401256   </v>
          </cell>
          <cell r="C2842" t="str">
            <v xml:space="preserve">PIZARRON BLANCO (60 x 90) cm            </v>
          </cell>
          <cell r="D2842" t="str">
            <v xml:space="preserve">PIZA </v>
          </cell>
          <cell r="E2842">
            <v>353.09999999999997</v>
          </cell>
          <cell r="F2842">
            <v>409.59599999999995</v>
          </cell>
        </row>
        <row r="2843">
          <cell r="A2843">
            <v>2839</v>
          </cell>
          <cell r="B2843" t="str">
            <v xml:space="preserve">7501539900012   </v>
          </cell>
          <cell r="C2843" t="str">
            <v xml:space="preserve">PIZARRA MAGNETICA ABC MAYUSCULAS        </v>
          </cell>
          <cell r="D2843" t="str">
            <v>PIZAR</v>
          </cell>
          <cell r="E2843">
            <v>74.249999999999986</v>
          </cell>
          <cell r="F2843">
            <v>86.129999999999981</v>
          </cell>
        </row>
        <row r="2844">
          <cell r="A2844">
            <v>2840</v>
          </cell>
          <cell r="B2844" t="str">
            <v xml:space="preserve">7501539900029   </v>
          </cell>
          <cell r="C2844" t="str">
            <v xml:space="preserve">PIZARRA MAGNETICA ABC MINUS. 42Pz       </v>
          </cell>
          <cell r="D2844" t="str">
            <v>PIZAR</v>
          </cell>
          <cell r="E2844">
            <v>74.249999999999986</v>
          </cell>
          <cell r="F2844">
            <v>86.129999999999981</v>
          </cell>
        </row>
        <row r="2845">
          <cell r="A2845">
            <v>2841</v>
          </cell>
          <cell r="B2845" t="str">
            <v xml:space="preserve">7501539900036   </v>
          </cell>
          <cell r="C2845" t="str">
            <v xml:space="preserve">PIZARRA MAGNETICA NUMEROS 34Pz          </v>
          </cell>
          <cell r="D2845" t="str">
            <v>PIZAR</v>
          </cell>
          <cell r="E2845">
            <v>74.249999999999986</v>
          </cell>
          <cell r="F2845">
            <v>86.129999999999981</v>
          </cell>
        </row>
        <row r="2846">
          <cell r="A2846">
            <v>2842</v>
          </cell>
          <cell r="B2846" t="str">
            <v xml:space="preserve">7501539900043   </v>
          </cell>
          <cell r="C2846" t="str">
            <v xml:space="preserve">PIZARRA MAGNETICA MAY / MIN 84Pz        </v>
          </cell>
          <cell r="D2846" t="str">
            <v>PIZAR</v>
          </cell>
          <cell r="E2846">
            <v>146.85</v>
          </cell>
          <cell r="F2846">
            <v>170.34599999999998</v>
          </cell>
        </row>
        <row r="2847">
          <cell r="A2847">
            <v>2843</v>
          </cell>
          <cell r="B2847" t="str">
            <v xml:space="preserve">7501539900050   </v>
          </cell>
          <cell r="C2847" t="str">
            <v xml:space="preserve">PIZARRA MAGNETICA MAY / NUM 76Pz        </v>
          </cell>
          <cell r="D2847" t="str">
            <v>PIZAR</v>
          </cell>
          <cell r="E2847">
            <v>146.85</v>
          </cell>
          <cell r="F2847">
            <v>170.34599999999998</v>
          </cell>
        </row>
        <row r="2848">
          <cell r="A2848">
            <v>2844</v>
          </cell>
          <cell r="B2848" t="str">
            <v xml:space="preserve">7501991804132   </v>
          </cell>
          <cell r="C2848" t="str">
            <v xml:space="preserve">PIZARRA MAGNETICA FIG. GEOM. 36Pz       </v>
          </cell>
          <cell r="D2848" t="str">
            <v>PIZAR</v>
          </cell>
          <cell r="E2848">
            <v>90.75</v>
          </cell>
          <cell r="F2848">
            <v>105.27</v>
          </cell>
        </row>
        <row r="2849">
          <cell r="A2849">
            <v>2845</v>
          </cell>
          <cell r="B2849" t="str">
            <v xml:space="preserve">7501991804194   </v>
          </cell>
          <cell r="C2849" t="str">
            <v xml:space="preserve">PIZARRA MAGENTICA PAISAJE 29Pz          </v>
          </cell>
          <cell r="D2849" t="str">
            <v>PIZAR</v>
          </cell>
          <cell r="E2849">
            <v>90.75</v>
          </cell>
          <cell r="F2849">
            <v>105.27</v>
          </cell>
        </row>
        <row r="2850">
          <cell r="A2850">
            <v>2846</v>
          </cell>
          <cell r="B2850" t="str">
            <v xml:space="preserve">7501991823003   </v>
          </cell>
          <cell r="C2850" t="str">
            <v xml:space="preserve">PLUMIPIZARRON STD. 40X60                </v>
          </cell>
          <cell r="D2850" t="str">
            <v>PULSA</v>
          </cell>
          <cell r="E2850">
            <v>85.799999999999983</v>
          </cell>
          <cell r="F2850">
            <v>99.527999999999977</v>
          </cell>
        </row>
        <row r="2851">
          <cell r="A2851">
            <v>2847</v>
          </cell>
          <cell r="B2851" t="str">
            <v xml:space="preserve">P-PR90          </v>
          </cell>
          <cell r="C2851" t="str">
            <v xml:space="preserve">PIZARRONPLUMI REFORZADO 90X120 CM       </v>
          </cell>
          <cell r="D2851" t="str">
            <v>PULSA</v>
          </cell>
          <cell r="E2851">
            <v>1161.5999999999999</v>
          </cell>
          <cell r="F2851">
            <v>1347.4559999999999</v>
          </cell>
        </row>
        <row r="2852">
          <cell r="A2852">
            <v>2848</v>
          </cell>
          <cell r="B2852" t="str">
            <v xml:space="preserve">743195839818    </v>
          </cell>
          <cell r="C2852" t="str">
            <v xml:space="preserve">BIRDS PUPPETS C/4 PZAS (888398)         </v>
          </cell>
          <cell r="D2852" t="str">
            <v>PUPPE</v>
          </cell>
          <cell r="E2852">
            <v>272.25</v>
          </cell>
          <cell r="F2852">
            <v>315.80999999999995</v>
          </cell>
        </row>
        <row r="2853">
          <cell r="A2853">
            <v>2849</v>
          </cell>
          <cell r="B2853" t="str">
            <v xml:space="preserve">743195839825    </v>
          </cell>
          <cell r="C2853" t="str">
            <v xml:space="preserve">CATS PUPPETS C/4 PZAS (888398)          </v>
          </cell>
          <cell r="D2853" t="str">
            <v>PUPPE</v>
          </cell>
          <cell r="E2853">
            <v>272.25</v>
          </cell>
          <cell r="F2853">
            <v>315.80999999999995</v>
          </cell>
        </row>
        <row r="2854">
          <cell r="A2854">
            <v>2850</v>
          </cell>
          <cell r="B2854" t="str">
            <v xml:space="preserve">743195839832    </v>
          </cell>
          <cell r="C2854" t="str">
            <v xml:space="preserve">DOGS PUPPETS C/4 PZAS (888398)          </v>
          </cell>
          <cell r="D2854" t="str">
            <v>PUPPE</v>
          </cell>
          <cell r="E2854">
            <v>272.25</v>
          </cell>
          <cell r="F2854">
            <v>315.80999999999995</v>
          </cell>
        </row>
        <row r="2855">
          <cell r="A2855">
            <v>2851</v>
          </cell>
          <cell r="B2855" t="str">
            <v xml:space="preserve">743195839849    </v>
          </cell>
          <cell r="C2855" t="str">
            <v xml:space="preserve">OCEAN PUPPETS C/4 PZAS (888398)         </v>
          </cell>
          <cell r="D2855" t="str">
            <v>PUPPE</v>
          </cell>
          <cell r="E2855">
            <v>272.25</v>
          </cell>
          <cell r="F2855">
            <v>315.80999999999995</v>
          </cell>
        </row>
        <row r="2856">
          <cell r="A2856">
            <v>2852</v>
          </cell>
          <cell r="B2856" t="str">
            <v xml:space="preserve">743195839856    </v>
          </cell>
          <cell r="C2856" t="str">
            <v xml:space="preserve">JUNGLE PUPPETS C/4 PZAS (888398)        </v>
          </cell>
          <cell r="D2856" t="str">
            <v>PUPPE</v>
          </cell>
          <cell r="E2856">
            <v>272.25</v>
          </cell>
          <cell r="F2856">
            <v>315.80999999999995</v>
          </cell>
        </row>
        <row r="2857">
          <cell r="A2857">
            <v>2853</v>
          </cell>
          <cell r="B2857" t="str">
            <v xml:space="preserve">743195839863    </v>
          </cell>
          <cell r="C2857" t="str">
            <v xml:space="preserve">FARM PUPPETS  C/4 PZAS (888398)         </v>
          </cell>
          <cell r="D2857" t="str">
            <v>PUPPE</v>
          </cell>
          <cell r="E2857">
            <v>272.25</v>
          </cell>
          <cell r="F2857">
            <v>315.80999999999995</v>
          </cell>
        </row>
        <row r="2858">
          <cell r="A2858">
            <v>2854</v>
          </cell>
          <cell r="B2858" t="str">
            <v xml:space="preserve">000673009751    </v>
          </cell>
          <cell r="C2858" t="str">
            <v>R.C. CUADRO 27Pz TOY STORY CAUCHO ESPUMA</v>
          </cell>
          <cell r="D2858" t="str">
            <v>RONDA</v>
          </cell>
          <cell r="E2858">
            <v>252.45000000000002</v>
          </cell>
          <cell r="F2858">
            <v>292.84199999999998</v>
          </cell>
        </row>
        <row r="2859">
          <cell r="A2859">
            <v>2855</v>
          </cell>
          <cell r="B2859" t="str">
            <v xml:space="preserve">000673009782    </v>
          </cell>
          <cell r="C2859" t="str">
            <v xml:space="preserve">ROMPECABEZAS CAUCHO HIGH SCHOOL MUSICAL </v>
          </cell>
          <cell r="D2859" t="str">
            <v>RONDA</v>
          </cell>
          <cell r="E2859">
            <v>204.6</v>
          </cell>
          <cell r="F2859">
            <v>237.33599999999998</v>
          </cell>
        </row>
        <row r="2860">
          <cell r="A2860">
            <v>2856</v>
          </cell>
          <cell r="B2860" t="str">
            <v xml:space="preserve">000673009812    </v>
          </cell>
          <cell r="C2860" t="str">
            <v xml:space="preserve">R.C. 27Pz CUADRO C. E CAMPANITA         </v>
          </cell>
          <cell r="D2860" t="str">
            <v>RONDA</v>
          </cell>
          <cell r="E2860">
            <v>252.45000000000002</v>
          </cell>
          <cell r="F2860">
            <v>292.84199999999998</v>
          </cell>
        </row>
        <row r="2861">
          <cell r="A2861">
            <v>2857</v>
          </cell>
          <cell r="B2861" t="str">
            <v xml:space="preserve">000673100113    </v>
          </cell>
          <cell r="C2861" t="str">
            <v xml:space="preserve">MEMORIA LUCHA LIBRE                     </v>
          </cell>
          <cell r="D2861" t="str">
            <v>RONDA</v>
          </cell>
          <cell r="E2861">
            <v>132</v>
          </cell>
          <cell r="F2861">
            <v>153.11999999999998</v>
          </cell>
        </row>
        <row r="2862">
          <cell r="A2862">
            <v>2858</v>
          </cell>
          <cell r="B2862" t="str">
            <v xml:space="preserve">000673100335    </v>
          </cell>
          <cell r="C2862" t="str">
            <v xml:space="preserve">SUPERPACK CARS                          </v>
          </cell>
          <cell r="D2862" t="str">
            <v>RONDA</v>
          </cell>
          <cell r="E2862">
            <v>330</v>
          </cell>
          <cell r="F2862">
            <v>382.79999999999995</v>
          </cell>
        </row>
        <row r="2863">
          <cell r="A2863">
            <v>2859</v>
          </cell>
          <cell r="B2863" t="str">
            <v xml:space="preserve">000673100342    </v>
          </cell>
          <cell r="C2863" t="str">
            <v xml:space="preserve">SUPERPACK CAMPANITA                     </v>
          </cell>
          <cell r="D2863" t="str">
            <v>RONDA</v>
          </cell>
          <cell r="E2863">
            <v>330</v>
          </cell>
          <cell r="F2863">
            <v>382.79999999999995</v>
          </cell>
        </row>
        <row r="2864">
          <cell r="A2864">
            <v>2860</v>
          </cell>
          <cell r="B2864" t="str">
            <v xml:space="preserve">000673340014    </v>
          </cell>
          <cell r="C2864" t="str">
            <v xml:space="preserve">R.C. 100Pz CLASICOS (DISTRIBUTIVO)      </v>
          </cell>
          <cell r="D2864" t="str">
            <v>RONDA</v>
          </cell>
          <cell r="E2864">
            <v>84.149999999999991</v>
          </cell>
          <cell r="F2864">
            <v>97.61399999999999</v>
          </cell>
        </row>
        <row r="2865">
          <cell r="A2865">
            <v>2861</v>
          </cell>
          <cell r="B2865" t="str">
            <v xml:space="preserve">000673340021    </v>
          </cell>
          <cell r="C2865" t="str">
            <v>R.C. 100Pz ANIMAL FRIENDS (DISTRIBUTIVO)</v>
          </cell>
          <cell r="D2865" t="str">
            <v>RONDA</v>
          </cell>
          <cell r="E2865">
            <v>84.149999999999991</v>
          </cell>
          <cell r="F2865">
            <v>97.61399999999999</v>
          </cell>
        </row>
        <row r="2866">
          <cell r="A2866">
            <v>2862</v>
          </cell>
          <cell r="B2866" t="str">
            <v xml:space="preserve">000673341011    </v>
          </cell>
          <cell r="C2866" t="str">
            <v>R.C 2x70Pz ANIMAL FRIENDS (DISTRIBUTIVO)</v>
          </cell>
          <cell r="D2866" t="str">
            <v>RONDA</v>
          </cell>
          <cell r="E2866">
            <v>103.95</v>
          </cell>
          <cell r="F2866">
            <v>120.58199999999999</v>
          </cell>
        </row>
        <row r="2867">
          <cell r="A2867">
            <v>2863</v>
          </cell>
          <cell r="B2867" t="str">
            <v xml:space="preserve">000673341028    </v>
          </cell>
          <cell r="C2867" t="str">
            <v xml:space="preserve">R.C. 2x70Pz CLASICOS (DISTRIBUTIVO)     </v>
          </cell>
          <cell r="D2867" t="str">
            <v>RONDA</v>
          </cell>
          <cell r="E2867">
            <v>103.95</v>
          </cell>
          <cell r="F2867">
            <v>120.58199999999999</v>
          </cell>
        </row>
        <row r="2868">
          <cell r="A2868">
            <v>2864</v>
          </cell>
          <cell r="B2868" t="str">
            <v xml:space="preserve">000673342018    </v>
          </cell>
          <cell r="C2868" t="str">
            <v>R.C.(9,12,24)Pz PROGRESIVO ANIMAL FRIEND</v>
          </cell>
          <cell r="D2868" t="str">
            <v>RONDA</v>
          </cell>
          <cell r="E2868">
            <v>103.95</v>
          </cell>
          <cell r="F2868">
            <v>120.58199999999999</v>
          </cell>
        </row>
        <row r="2869">
          <cell r="A2869">
            <v>2865</v>
          </cell>
          <cell r="B2869" t="str">
            <v xml:space="preserve">000673342025    </v>
          </cell>
          <cell r="C2869" t="str">
            <v>R.C.(9,12,24)Pz PROGRESIVO CLASICO DIST.</v>
          </cell>
          <cell r="D2869" t="str">
            <v>RONDA</v>
          </cell>
          <cell r="E2869">
            <v>103.95</v>
          </cell>
          <cell r="F2869">
            <v>120.58199999999999</v>
          </cell>
        </row>
        <row r="2870">
          <cell r="A2870">
            <v>2866</v>
          </cell>
          <cell r="B2870" t="str">
            <v xml:space="preserve">000673343015    </v>
          </cell>
          <cell r="C2870" t="str">
            <v xml:space="preserve">R.C. 25Pz CLASICOS (DISTRIBUTIVO)       </v>
          </cell>
          <cell r="D2870" t="str">
            <v>RONDA</v>
          </cell>
          <cell r="E2870">
            <v>47.85</v>
          </cell>
          <cell r="F2870">
            <v>55.506</v>
          </cell>
        </row>
        <row r="2871">
          <cell r="A2871">
            <v>2867</v>
          </cell>
          <cell r="B2871" t="str">
            <v xml:space="preserve">000673343022    </v>
          </cell>
          <cell r="C2871" t="str">
            <v xml:space="preserve">R.C X 25 PZS ANIMAL FRIENDS DIS.        </v>
          </cell>
          <cell r="D2871" t="str">
            <v>RONDA</v>
          </cell>
          <cell r="E2871">
            <v>47.85</v>
          </cell>
          <cell r="F2871">
            <v>55.506</v>
          </cell>
        </row>
        <row r="2872">
          <cell r="A2872">
            <v>2868</v>
          </cell>
          <cell r="B2872" t="str">
            <v xml:space="preserve">000673344012    </v>
          </cell>
          <cell r="C2872" t="str">
            <v xml:space="preserve">R.C X 55 PZS CLASICOS  DIS              </v>
          </cell>
          <cell r="D2872" t="str">
            <v>RONDA</v>
          </cell>
          <cell r="E2872">
            <v>70.95</v>
          </cell>
          <cell r="F2872">
            <v>82.301999999999992</v>
          </cell>
        </row>
        <row r="2873">
          <cell r="A2873">
            <v>2869</v>
          </cell>
          <cell r="B2873" t="str">
            <v xml:space="preserve">000673344029    </v>
          </cell>
          <cell r="C2873" t="str">
            <v xml:space="preserve">R.C. X 55 ANIMAL FRIENDS DIS            </v>
          </cell>
          <cell r="D2873" t="str">
            <v>RONDA</v>
          </cell>
          <cell r="E2873">
            <v>70.95</v>
          </cell>
          <cell r="F2873">
            <v>82.301999999999992</v>
          </cell>
        </row>
        <row r="2874">
          <cell r="A2874">
            <v>2870</v>
          </cell>
          <cell r="B2874" t="str">
            <v xml:space="preserve">000673400084    </v>
          </cell>
          <cell r="C2874" t="str">
            <v xml:space="preserve">R.C. X9-12-24 PZ PROGRESIVO CARS        </v>
          </cell>
          <cell r="D2874" t="str">
            <v>RONDA</v>
          </cell>
          <cell r="E2874">
            <v>143.54999999999998</v>
          </cell>
          <cell r="F2874">
            <v>166.51799999999997</v>
          </cell>
        </row>
        <row r="2875">
          <cell r="A2875">
            <v>2871</v>
          </cell>
          <cell r="B2875" t="str">
            <v xml:space="preserve">000673402040    </v>
          </cell>
          <cell r="C2875" t="str">
            <v xml:space="preserve">ROMP. 24 PZ TOY STORY                   </v>
          </cell>
          <cell r="D2875" t="str">
            <v>RONDA</v>
          </cell>
          <cell r="E2875">
            <v>103.95</v>
          </cell>
          <cell r="F2875">
            <v>120.58199999999999</v>
          </cell>
        </row>
        <row r="2876">
          <cell r="A2876">
            <v>2872</v>
          </cell>
          <cell r="B2876" t="str">
            <v xml:space="preserve">000673402545    </v>
          </cell>
          <cell r="C2876" t="str">
            <v xml:space="preserve">ROMP MEET THE ROBINSONS 3X35 PZS        </v>
          </cell>
          <cell r="D2876" t="str">
            <v>RONDA</v>
          </cell>
          <cell r="E2876">
            <v>84.149999999999991</v>
          </cell>
          <cell r="F2876">
            <v>97.61399999999999</v>
          </cell>
        </row>
        <row r="2877">
          <cell r="A2877">
            <v>2873</v>
          </cell>
          <cell r="B2877" t="str">
            <v xml:space="preserve">000673402613    </v>
          </cell>
          <cell r="C2877" t="str">
            <v xml:space="preserve">R.C. 3X35 PZS POWER RANGERS             </v>
          </cell>
          <cell r="D2877" t="str">
            <v>RONDA</v>
          </cell>
          <cell r="E2877">
            <v>77.55</v>
          </cell>
          <cell r="F2877">
            <v>89.957999999999984</v>
          </cell>
        </row>
        <row r="2878">
          <cell r="A2878">
            <v>2874</v>
          </cell>
          <cell r="B2878" t="str">
            <v xml:space="preserve">000673403290    </v>
          </cell>
          <cell r="C2878" t="str">
            <v xml:space="preserve">ROMP. CARS X 100 PZS                    </v>
          </cell>
          <cell r="D2878" t="str">
            <v>RONDA</v>
          </cell>
          <cell r="E2878">
            <v>103.95</v>
          </cell>
          <cell r="F2878">
            <v>120.58199999999999</v>
          </cell>
        </row>
        <row r="2879">
          <cell r="A2879">
            <v>2875</v>
          </cell>
          <cell r="B2879" t="str">
            <v xml:space="preserve">000673403313    </v>
          </cell>
          <cell r="C2879" t="str">
            <v xml:space="preserve">R.C. X 100 PZS CAMPANITA                </v>
          </cell>
          <cell r="D2879" t="str">
            <v>RONDA</v>
          </cell>
          <cell r="E2879">
            <v>103.95</v>
          </cell>
          <cell r="F2879">
            <v>120.58199999999999</v>
          </cell>
        </row>
        <row r="2880">
          <cell r="A2880">
            <v>2876</v>
          </cell>
          <cell r="B2880" t="str">
            <v xml:space="preserve">000673403320    </v>
          </cell>
          <cell r="C2880" t="str">
            <v xml:space="preserve">ROMP. NARNIA X 100 PZS                  </v>
          </cell>
          <cell r="D2880" t="str">
            <v>RONDA</v>
          </cell>
          <cell r="E2880">
            <v>52.8</v>
          </cell>
          <cell r="F2880">
            <v>61.24799999999999</v>
          </cell>
        </row>
        <row r="2881">
          <cell r="A2881">
            <v>2877</v>
          </cell>
          <cell r="B2881" t="str">
            <v xml:space="preserve">000673404198    </v>
          </cell>
          <cell r="C2881" t="str">
            <v xml:space="preserve">R.C. TOY STORY 25 PZS DOBLE FAZ         </v>
          </cell>
          <cell r="D2881" t="str">
            <v>RONDA</v>
          </cell>
          <cell r="E2881">
            <v>136.94999999999999</v>
          </cell>
          <cell r="F2881">
            <v>158.86199999999997</v>
          </cell>
        </row>
        <row r="2882">
          <cell r="A2882">
            <v>2878</v>
          </cell>
          <cell r="B2882" t="str">
            <v xml:space="preserve">000673404235    </v>
          </cell>
          <cell r="C2882" t="str">
            <v xml:space="preserve">ROMP. CARS 25 PZS                       </v>
          </cell>
          <cell r="D2882" t="str">
            <v>RONDA</v>
          </cell>
          <cell r="E2882">
            <v>136.94999999999999</v>
          </cell>
          <cell r="F2882">
            <v>158.86199999999997</v>
          </cell>
        </row>
        <row r="2883">
          <cell r="A2883">
            <v>2879</v>
          </cell>
          <cell r="B2883" t="str">
            <v xml:space="preserve">000673404242    </v>
          </cell>
          <cell r="C2883" t="str">
            <v xml:space="preserve">R.C. CAMPANITA X 25 PZS DOBLE FAX       </v>
          </cell>
          <cell r="D2883" t="str">
            <v>RONDA</v>
          </cell>
          <cell r="E2883">
            <v>136.94999999999999</v>
          </cell>
          <cell r="F2883">
            <v>158.86199999999997</v>
          </cell>
        </row>
        <row r="2884">
          <cell r="A2884">
            <v>2880</v>
          </cell>
          <cell r="B2884" t="str">
            <v xml:space="preserve">000673404266    </v>
          </cell>
          <cell r="C2884" t="str">
            <v xml:space="preserve">R.C. RATATOUILLE X 25 PZS DOBLE FAZ     </v>
          </cell>
          <cell r="D2884" t="str">
            <v>RONDA</v>
          </cell>
          <cell r="E2884">
            <v>82.5</v>
          </cell>
          <cell r="F2884">
            <v>95.699999999999989</v>
          </cell>
        </row>
        <row r="2885">
          <cell r="A2885">
            <v>2881</v>
          </cell>
          <cell r="B2885" t="str">
            <v xml:space="preserve">000673404280    </v>
          </cell>
          <cell r="C2885" t="str">
            <v xml:space="preserve">ROMP. WALL-E X 25 PZS DOBLE FAZ         </v>
          </cell>
          <cell r="D2885" t="str">
            <v>RONDA</v>
          </cell>
          <cell r="E2885">
            <v>75.900000000000006</v>
          </cell>
          <cell r="F2885">
            <v>88.043999999999997</v>
          </cell>
        </row>
        <row r="2886">
          <cell r="A2886">
            <v>2882</v>
          </cell>
          <cell r="B2886" t="str">
            <v xml:space="preserve">000673405232    </v>
          </cell>
          <cell r="C2886" t="str">
            <v xml:space="preserve">ROMP POWER RANGER X 150 PZS             </v>
          </cell>
          <cell r="D2886" t="str">
            <v>RONDA</v>
          </cell>
          <cell r="E2886">
            <v>66</v>
          </cell>
          <cell r="F2886">
            <v>76.559999999999988</v>
          </cell>
        </row>
        <row r="2887">
          <cell r="A2887">
            <v>2883</v>
          </cell>
          <cell r="B2887" t="str">
            <v xml:space="preserve">000673405263    </v>
          </cell>
          <cell r="C2887" t="str">
            <v xml:space="preserve">ROMP PIRATAS DEL CARIBE X 150 PZS       </v>
          </cell>
          <cell r="D2887" t="str">
            <v>RONDA</v>
          </cell>
          <cell r="E2887">
            <v>66</v>
          </cell>
          <cell r="F2887">
            <v>76.559999999999988</v>
          </cell>
        </row>
        <row r="2888">
          <cell r="A2888">
            <v>2884</v>
          </cell>
          <cell r="B2888" t="str">
            <v xml:space="preserve">000673405287    </v>
          </cell>
          <cell r="C2888" t="str">
            <v xml:space="preserve">R.C. 150 PZS HIGH SCHOOL MUSICAL        </v>
          </cell>
          <cell r="D2888" t="str">
            <v>RONDA</v>
          </cell>
          <cell r="E2888">
            <v>80.849999999999994</v>
          </cell>
          <cell r="F2888">
            <v>93.785999999999987</v>
          </cell>
        </row>
        <row r="2889">
          <cell r="A2889">
            <v>2885</v>
          </cell>
          <cell r="B2889" t="str">
            <v xml:space="preserve">000673405294    </v>
          </cell>
          <cell r="C2889" t="str">
            <v xml:space="preserve">R.C. X 150 PZS POWER RANGERS            </v>
          </cell>
          <cell r="D2889" t="str">
            <v>RONDA</v>
          </cell>
          <cell r="E2889">
            <v>66</v>
          </cell>
          <cell r="F2889">
            <v>76.559999999999988</v>
          </cell>
        </row>
        <row r="2890">
          <cell r="A2890">
            <v>2886</v>
          </cell>
          <cell r="B2890" t="str">
            <v xml:space="preserve">000673405317    </v>
          </cell>
          <cell r="C2890" t="str">
            <v xml:space="preserve">ROMP WALL-E X 150 PZS                   </v>
          </cell>
          <cell r="D2890" t="str">
            <v>RONDA</v>
          </cell>
          <cell r="E2890">
            <v>61.04999999999999</v>
          </cell>
          <cell r="F2890">
            <v>70.817999999999984</v>
          </cell>
        </row>
        <row r="2891">
          <cell r="A2891">
            <v>2887</v>
          </cell>
          <cell r="B2891" t="str">
            <v xml:space="preserve">000673405331    </v>
          </cell>
          <cell r="C2891" t="str">
            <v xml:space="preserve">ROMP X 150 PZS + POSTER HSM3            </v>
          </cell>
          <cell r="D2891" t="str">
            <v>RONDA</v>
          </cell>
          <cell r="E2891">
            <v>92.399999999999991</v>
          </cell>
          <cell r="F2891">
            <v>107.18399999999998</v>
          </cell>
        </row>
        <row r="2892">
          <cell r="A2892">
            <v>2888</v>
          </cell>
          <cell r="B2892" t="str">
            <v xml:space="preserve">000673406185    </v>
          </cell>
          <cell r="C2892" t="str">
            <v xml:space="preserve">ROMP. TOY STORY 3X35 PZS                </v>
          </cell>
          <cell r="D2892" t="str">
            <v>RONDA</v>
          </cell>
          <cell r="E2892">
            <v>140.24999999999997</v>
          </cell>
          <cell r="F2892">
            <v>162.68999999999997</v>
          </cell>
        </row>
        <row r="2893">
          <cell r="A2893">
            <v>2889</v>
          </cell>
          <cell r="B2893" t="str">
            <v xml:space="preserve">000673406215    </v>
          </cell>
          <cell r="C2893" t="str">
            <v xml:space="preserve">R.C X 55 PZS POWER RANGERS              </v>
          </cell>
          <cell r="D2893" t="str">
            <v>RONDA</v>
          </cell>
          <cell r="E2893">
            <v>94.05</v>
          </cell>
          <cell r="F2893">
            <v>109.09799999999998</v>
          </cell>
        </row>
        <row r="2894">
          <cell r="A2894">
            <v>2890</v>
          </cell>
          <cell r="B2894" t="str">
            <v xml:space="preserve">000673407137    </v>
          </cell>
          <cell r="C2894" t="str">
            <v xml:space="preserve">ROMP POWER RANGER X 250 PZS             </v>
          </cell>
          <cell r="D2894" t="str">
            <v>RONDA</v>
          </cell>
          <cell r="E2894">
            <v>75.900000000000006</v>
          </cell>
          <cell r="F2894">
            <v>88.043999999999997</v>
          </cell>
        </row>
        <row r="2895">
          <cell r="A2895">
            <v>2891</v>
          </cell>
          <cell r="B2895" t="str">
            <v xml:space="preserve">000673407175    </v>
          </cell>
          <cell r="C2895" t="str">
            <v xml:space="preserve">R.C X 250 PZS POWER RANGERS             </v>
          </cell>
          <cell r="D2895" t="str">
            <v>RONDA</v>
          </cell>
          <cell r="E2895">
            <v>75.900000000000006</v>
          </cell>
          <cell r="F2895">
            <v>88.043999999999997</v>
          </cell>
        </row>
        <row r="2896">
          <cell r="A2896">
            <v>2892</v>
          </cell>
          <cell r="B2896" t="str">
            <v xml:space="preserve">000673407199    </v>
          </cell>
          <cell r="C2896" t="str">
            <v xml:space="preserve">ROMP NARNIA X 250 PZS                   </v>
          </cell>
          <cell r="D2896" t="str">
            <v>RONDA</v>
          </cell>
          <cell r="E2896">
            <v>67.649999999999991</v>
          </cell>
          <cell r="F2896">
            <v>78.47399999999999</v>
          </cell>
        </row>
        <row r="2897">
          <cell r="A2897">
            <v>2893</v>
          </cell>
          <cell r="B2897" t="str">
            <v xml:space="preserve">000673408103    </v>
          </cell>
          <cell r="C2897" t="str">
            <v xml:space="preserve">R.C. 2X 70 PZS CARS                     </v>
          </cell>
          <cell r="D2897" t="str">
            <v>RONDA</v>
          </cell>
          <cell r="E2897">
            <v>143.54999999999998</v>
          </cell>
          <cell r="F2897">
            <v>166.51799999999997</v>
          </cell>
        </row>
        <row r="2898">
          <cell r="A2898">
            <v>2894</v>
          </cell>
          <cell r="B2898" t="str">
            <v xml:space="preserve">000673408110    </v>
          </cell>
          <cell r="C2898" t="str">
            <v xml:space="preserve">ROMP 2 X 70 PZS NARNIA                  </v>
          </cell>
          <cell r="D2898" t="str">
            <v>RONDA</v>
          </cell>
          <cell r="E2898">
            <v>70.95</v>
          </cell>
          <cell r="F2898">
            <v>82.301999999999992</v>
          </cell>
        </row>
        <row r="2899">
          <cell r="A2899">
            <v>2895</v>
          </cell>
          <cell r="B2899" t="str">
            <v xml:space="preserve">000673417044    </v>
          </cell>
          <cell r="C2899" t="str">
            <v xml:space="preserve">R.C.X 180 PZS PANORAMICO POWER RANGERS  </v>
          </cell>
          <cell r="D2899" t="str">
            <v>RONDA</v>
          </cell>
          <cell r="E2899">
            <v>72.599999999999994</v>
          </cell>
          <cell r="F2899">
            <v>84.215999999999994</v>
          </cell>
        </row>
        <row r="2900">
          <cell r="A2900">
            <v>2896</v>
          </cell>
          <cell r="B2900" t="str">
            <v xml:space="preserve">000673421201    </v>
          </cell>
          <cell r="C2900" t="str">
            <v xml:space="preserve">R.C. TOY STORY X 20 PZS                 </v>
          </cell>
          <cell r="D2900" t="str">
            <v>RONDA</v>
          </cell>
          <cell r="E2900">
            <v>136.94999999999999</v>
          </cell>
          <cell r="F2900">
            <v>158.86199999999997</v>
          </cell>
        </row>
        <row r="2901">
          <cell r="A2901">
            <v>2897</v>
          </cell>
          <cell r="B2901" t="str">
            <v xml:space="preserve">000673421249    </v>
          </cell>
          <cell r="C2901" t="str">
            <v xml:space="preserve">ROMP. CARS 20 PZS                       </v>
          </cell>
          <cell r="D2901" t="str">
            <v>RONDA</v>
          </cell>
          <cell r="E2901">
            <v>136.94999999999999</v>
          </cell>
          <cell r="F2901">
            <v>158.86199999999997</v>
          </cell>
        </row>
        <row r="2902">
          <cell r="A2902">
            <v>2898</v>
          </cell>
          <cell r="B2902" t="str">
            <v xml:space="preserve">000673421256    </v>
          </cell>
          <cell r="C2902" t="str">
            <v xml:space="preserve">ROMPECABEZAS CAMPANITA X 20 PZS         </v>
          </cell>
          <cell r="D2902" t="str">
            <v>RONDA</v>
          </cell>
          <cell r="E2902">
            <v>136.94999999999999</v>
          </cell>
          <cell r="F2902">
            <v>158.86199999999997</v>
          </cell>
        </row>
        <row r="2903">
          <cell r="A2903">
            <v>2899</v>
          </cell>
          <cell r="B2903" t="str">
            <v xml:space="preserve">000673421270    </v>
          </cell>
          <cell r="C2903" t="str">
            <v xml:space="preserve">R.C. RATATOUILLE X 20 PZS               </v>
          </cell>
          <cell r="D2903" t="str">
            <v>RONDA</v>
          </cell>
          <cell r="E2903">
            <v>77.55</v>
          </cell>
          <cell r="F2903">
            <v>89.957999999999984</v>
          </cell>
        </row>
        <row r="2904">
          <cell r="A2904">
            <v>2900</v>
          </cell>
          <cell r="B2904" t="str">
            <v xml:space="preserve">000673421294    </v>
          </cell>
          <cell r="C2904" t="str">
            <v xml:space="preserve">R.C. THE WORLD OF CARS 20Pz             </v>
          </cell>
          <cell r="D2904" t="str">
            <v>RONDA</v>
          </cell>
          <cell r="E2904">
            <v>136.94999999999999</v>
          </cell>
          <cell r="F2904">
            <v>158.86199999999997</v>
          </cell>
        </row>
        <row r="2905">
          <cell r="A2905">
            <v>2901</v>
          </cell>
          <cell r="B2905" t="str">
            <v xml:space="preserve">000673421300    </v>
          </cell>
          <cell r="C2905" t="str">
            <v xml:space="preserve">ROMP. WALL-E X 20 PZS                   </v>
          </cell>
          <cell r="D2905" t="str">
            <v>RONDA</v>
          </cell>
          <cell r="E2905">
            <v>70.95</v>
          </cell>
          <cell r="F2905">
            <v>82.301999999999992</v>
          </cell>
        </row>
        <row r="2906">
          <cell r="A2906">
            <v>2902</v>
          </cell>
          <cell r="B2906" t="str">
            <v xml:space="preserve">000673503570    </v>
          </cell>
          <cell r="C2906" t="str">
            <v xml:space="preserve">MEMORIA TOY STORY                       </v>
          </cell>
          <cell r="D2906" t="str">
            <v>RONDA</v>
          </cell>
          <cell r="E2906">
            <v>113.84999999999998</v>
          </cell>
          <cell r="F2906">
            <v>132.06599999999997</v>
          </cell>
        </row>
        <row r="2907">
          <cell r="A2907">
            <v>2903</v>
          </cell>
          <cell r="B2907" t="str">
            <v xml:space="preserve">000673503594    </v>
          </cell>
          <cell r="C2907" t="str">
            <v xml:space="preserve">FIGURITAS TOY STORY                     </v>
          </cell>
          <cell r="D2907" t="str">
            <v>RONDA</v>
          </cell>
          <cell r="E2907">
            <v>221.10000000000002</v>
          </cell>
          <cell r="F2907">
            <v>256.476</v>
          </cell>
        </row>
        <row r="2908">
          <cell r="A2908">
            <v>2904</v>
          </cell>
          <cell r="B2908" t="str">
            <v xml:space="preserve">000673503716    </v>
          </cell>
          <cell r="C2908" t="str">
            <v xml:space="preserve">RALLY CARS                              </v>
          </cell>
          <cell r="D2908" t="str">
            <v>RONDA</v>
          </cell>
          <cell r="E2908">
            <v>230.99999999999994</v>
          </cell>
          <cell r="F2908">
            <v>267.95999999999992</v>
          </cell>
        </row>
        <row r="2909">
          <cell r="A2909">
            <v>2905</v>
          </cell>
          <cell r="B2909" t="str">
            <v xml:space="preserve">000673503723    </v>
          </cell>
          <cell r="C2909" t="str">
            <v xml:space="preserve">MEMORIA CAMPANIA                        </v>
          </cell>
          <cell r="D2909" t="str">
            <v>RONDA</v>
          </cell>
          <cell r="E2909">
            <v>113.84999999999998</v>
          </cell>
          <cell r="F2909">
            <v>132.06599999999997</v>
          </cell>
        </row>
        <row r="2910">
          <cell r="A2910">
            <v>2906</v>
          </cell>
          <cell r="B2910" t="str">
            <v xml:space="preserve">000673503730    </v>
          </cell>
          <cell r="C2910" t="str">
            <v xml:space="preserve">MEMORIA CARS                            </v>
          </cell>
          <cell r="D2910" t="str">
            <v>RONDA</v>
          </cell>
          <cell r="E2910">
            <v>113.84999999999998</v>
          </cell>
          <cell r="F2910">
            <v>132.06599999999997</v>
          </cell>
        </row>
        <row r="2911">
          <cell r="A2911">
            <v>2907</v>
          </cell>
          <cell r="B2911" t="str">
            <v xml:space="preserve">000673503853    </v>
          </cell>
          <cell r="C2911" t="str">
            <v xml:space="preserve">FIESTA DE GRADUACION HSM3               </v>
          </cell>
          <cell r="D2911" t="str">
            <v>RONDA</v>
          </cell>
          <cell r="E2911">
            <v>204.6</v>
          </cell>
          <cell r="F2911">
            <v>237.33599999999998</v>
          </cell>
        </row>
        <row r="2912">
          <cell r="A2912">
            <v>2908</v>
          </cell>
          <cell r="B2912" t="str">
            <v xml:space="preserve">000673506083    </v>
          </cell>
          <cell r="C2912" t="str">
            <v xml:space="preserve">JUEGO TALENTOS HIGH SCHOOL MUSICAL      </v>
          </cell>
          <cell r="D2912" t="str">
            <v>RONDA</v>
          </cell>
          <cell r="E2912">
            <v>249.14999999999998</v>
          </cell>
          <cell r="F2912">
            <v>289.01399999999995</v>
          </cell>
        </row>
        <row r="2913">
          <cell r="A2913">
            <v>2909</v>
          </cell>
          <cell r="B2913" t="str">
            <v xml:space="preserve">000673510301    </v>
          </cell>
          <cell r="C2913" t="str">
            <v xml:space="preserve">BLOQUEO MISTICO POWER RANGERS           </v>
          </cell>
          <cell r="D2913" t="str">
            <v>RONDA</v>
          </cell>
          <cell r="E2913">
            <v>92.399999999999991</v>
          </cell>
          <cell r="F2913">
            <v>107.18399999999998</v>
          </cell>
        </row>
        <row r="2914">
          <cell r="A2914">
            <v>2910</v>
          </cell>
          <cell r="B2914" t="str">
            <v xml:space="preserve">000673510431    </v>
          </cell>
          <cell r="C2914" t="str">
            <v xml:space="preserve">CONQUISTA PIRATAS DEL CARIBE            </v>
          </cell>
          <cell r="D2914" t="str">
            <v>RONDA</v>
          </cell>
          <cell r="E2914">
            <v>107.24999999999999</v>
          </cell>
          <cell r="F2914">
            <v>124.40999999999998</v>
          </cell>
        </row>
        <row r="2915">
          <cell r="A2915">
            <v>2911</v>
          </cell>
          <cell r="B2915" t="str">
            <v xml:space="preserve">000673510455    </v>
          </cell>
          <cell r="C2915" t="str">
            <v xml:space="preserve">PASAPORTE AL MUNDO                      </v>
          </cell>
          <cell r="D2915" t="str">
            <v>RONDA</v>
          </cell>
          <cell r="E2915">
            <v>288.75</v>
          </cell>
          <cell r="F2915">
            <v>334.95</v>
          </cell>
        </row>
        <row r="2916">
          <cell r="A2916">
            <v>2912</v>
          </cell>
          <cell r="B2916" t="str">
            <v xml:space="preserve">000673514149    </v>
          </cell>
          <cell r="C2916" t="str">
            <v xml:space="preserve">DOMINO CAUCHO ESPUMA TOY STORY          </v>
          </cell>
          <cell r="D2916" t="str">
            <v>RONDA</v>
          </cell>
          <cell r="E2916">
            <v>141.9</v>
          </cell>
          <cell r="F2916">
            <v>164.60399999999998</v>
          </cell>
        </row>
        <row r="2917">
          <cell r="A2917">
            <v>2913</v>
          </cell>
          <cell r="B2917" t="str">
            <v xml:space="preserve">000673514156    </v>
          </cell>
          <cell r="C2917" t="str">
            <v xml:space="preserve">LINEA 4 TOY STORY                       </v>
          </cell>
          <cell r="D2917" t="str">
            <v>RONDA</v>
          </cell>
          <cell r="E2917">
            <v>270.59999999999997</v>
          </cell>
          <cell r="F2917">
            <v>313.89599999999996</v>
          </cell>
        </row>
        <row r="2918">
          <cell r="A2918">
            <v>2914</v>
          </cell>
          <cell r="B2918" t="str">
            <v xml:space="preserve">000673514163    </v>
          </cell>
          <cell r="C2918" t="str">
            <v xml:space="preserve">LABERINTO POWER RANGERS                 </v>
          </cell>
          <cell r="D2918" t="str">
            <v>RONDA</v>
          </cell>
          <cell r="E2918">
            <v>97.35</v>
          </cell>
          <cell r="F2918">
            <v>112.92599999999999</v>
          </cell>
        </row>
        <row r="2919">
          <cell r="A2919">
            <v>2915</v>
          </cell>
          <cell r="B2919" t="str">
            <v xml:space="preserve">000673602150    </v>
          </cell>
          <cell r="C2919" t="str">
            <v xml:space="preserve">LOTERIA TOY STORY                       </v>
          </cell>
          <cell r="D2919" t="str">
            <v>RONDA</v>
          </cell>
          <cell r="E2919">
            <v>133.65</v>
          </cell>
          <cell r="F2919">
            <v>155.03399999999999</v>
          </cell>
        </row>
        <row r="2920">
          <cell r="A2920">
            <v>2916</v>
          </cell>
          <cell r="B2920" t="str">
            <v xml:space="preserve">000673603010    </v>
          </cell>
          <cell r="C2920" t="str">
            <v xml:space="preserve">BUSCA MI PAREJA                         </v>
          </cell>
          <cell r="D2920" t="str">
            <v>RONDA</v>
          </cell>
          <cell r="E2920">
            <v>87.45</v>
          </cell>
          <cell r="F2920">
            <v>101.44199999999999</v>
          </cell>
        </row>
        <row r="2921">
          <cell r="A2921">
            <v>2917</v>
          </cell>
          <cell r="B2921" t="str">
            <v xml:space="preserve">000673607094    </v>
          </cell>
          <cell r="C2921" t="str">
            <v xml:space="preserve">RELACIONA LOS TAMAÑOS                   </v>
          </cell>
          <cell r="D2921" t="str">
            <v>RONDA</v>
          </cell>
          <cell r="E2921">
            <v>87.45</v>
          </cell>
          <cell r="F2921">
            <v>101.44199999999999</v>
          </cell>
        </row>
        <row r="2922">
          <cell r="A2922">
            <v>2918</v>
          </cell>
          <cell r="B2922" t="str">
            <v xml:space="preserve">000673607117    </v>
          </cell>
          <cell r="C2922" t="str">
            <v xml:space="preserve">JUGANDO A MULTIPLICAR                   </v>
          </cell>
          <cell r="D2922" t="str">
            <v>RONDA</v>
          </cell>
          <cell r="E2922">
            <v>87.45</v>
          </cell>
          <cell r="F2922">
            <v>101.44199999999999</v>
          </cell>
        </row>
        <row r="2923">
          <cell r="A2923">
            <v>2919</v>
          </cell>
          <cell r="B2923" t="str">
            <v xml:space="preserve">000673607209    </v>
          </cell>
          <cell r="C2923" t="str">
            <v xml:space="preserve">LAS PROFESIONES                         </v>
          </cell>
          <cell r="D2923" t="str">
            <v>RONDA</v>
          </cell>
          <cell r="E2923">
            <v>87.45</v>
          </cell>
          <cell r="F2923">
            <v>101.44199999999999</v>
          </cell>
        </row>
        <row r="2924">
          <cell r="A2924">
            <v>2920</v>
          </cell>
          <cell r="B2924" t="str">
            <v xml:space="preserve">000673607650    </v>
          </cell>
          <cell r="C2924" t="str">
            <v xml:space="preserve">OPERACIONES HEROES                      </v>
          </cell>
          <cell r="D2924" t="str">
            <v>RONDA</v>
          </cell>
          <cell r="E2924">
            <v>56.1</v>
          </cell>
          <cell r="F2924">
            <v>65.075999999999993</v>
          </cell>
        </row>
        <row r="2925">
          <cell r="A2925">
            <v>2921</v>
          </cell>
          <cell r="B2925" t="str">
            <v xml:space="preserve">000673607674    </v>
          </cell>
          <cell r="C2925" t="str">
            <v xml:space="preserve">OPUESTOS HEROES                         </v>
          </cell>
          <cell r="D2925" t="str">
            <v>RONDA</v>
          </cell>
          <cell r="E2925">
            <v>56.1</v>
          </cell>
          <cell r="F2925">
            <v>65.075999999999993</v>
          </cell>
        </row>
        <row r="2926">
          <cell r="A2926">
            <v>2922</v>
          </cell>
          <cell r="B2926" t="str">
            <v xml:space="preserve">000673607681    </v>
          </cell>
          <cell r="C2926" t="str">
            <v xml:space="preserve">ASOCIACION HEROES                       </v>
          </cell>
          <cell r="D2926" t="str">
            <v>RONDA</v>
          </cell>
          <cell r="E2926">
            <v>56.1</v>
          </cell>
          <cell r="F2926">
            <v>65.075999999999993</v>
          </cell>
        </row>
        <row r="2927">
          <cell r="A2927">
            <v>2923</v>
          </cell>
          <cell r="B2927" t="str">
            <v xml:space="preserve">000673607698    </v>
          </cell>
          <cell r="C2927" t="str">
            <v xml:space="preserve">PALABRAS HEROES                         </v>
          </cell>
          <cell r="D2927" t="str">
            <v>RONDA</v>
          </cell>
          <cell r="E2927">
            <v>56.1</v>
          </cell>
          <cell r="F2927">
            <v>65.075999999999993</v>
          </cell>
        </row>
        <row r="2928">
          <cell r="A2928">
            <v>2924</v>
          </cell>
          <cell r="B2928" t="str">
            <v xml:space="preserve">000673607797    </v>
          </cell>
          <cell r="C2928" t="str">
            <v xml:space="preserve">SECUENCIAS                              </v>
          </cell>
          <cell r="D2928" t="str">
            <v>RONDA</v>
          </cell>
          <cell r="E2928">
            <v>87.45</v>
          </cell>
          <cell r="F2928">
            <v>101.44199999999999</v>
          </cell>
        </row>
        <row r="2929">
          <cell r="A2929">
            <v>2925</v>
          </cell>
          <cell r="B2929" t="str">
            <v xml:space="preserve">000673607810    </v>
          </cell>
          <cell r="C2929" t="str">
            <v xml:space="preserve">CONTANDO DEL 1 AL 10                    </v>
          </cell>
          <cell r="D2929" t="str">
            <v>RONDA</v>
          </cell>
          <cell r="E2929">
            <v>87.45</v>
          </cell>
          <cell r="F2929">
            <v>101.44199999999999</v>
          </cell>
        </row>
        <row r="2930">
          <cell r="A2930">
            <v>2926</v>
          </cell>
          <cell r="B2930" t="str">
            <v xml:space="preserve">000673607827    </v>
          </cell>
          <cell r="C2930" t="str">
            <v xml:space="preserve">CONOCIENDO MI CUERPO                    </v>
          </cell>
          <cell r="D2930" t="str">
            <v>RONDA</v>
          </cell>
          <cell r="E2930">
            <v>87.45</v>
          </cell>
          <cell r="F2930">
            <v>101.44199999999999</v>
          </cell>
        </row>
        <row r="2931">
          <cell r="A2931">
            <v>2927</v>
          </cell>
          <cell r="B2931" t="str">
            <v xml:space="preserve">000673607834    </v>
          </cell>
          <cell r="C2931" t="str">
            <v xml:space="preserve">DONDE VIVEN                             </v>
          </cell>
          <cell r="D2931" t="str">
            <v>RONDA</v>
          </cell>
          <cell r="E2931">
            <v>87.45</v>
          </cell>
          <cell r="F2931">
            <v>101.44199999999999</v>
          </cell>
        </row>
        <row r="2932">
          <cell r="A2932">
            <v>2928</v>
          </cell>
          <cell r="B2932" t="str">
            <v xml:space="preserve">000673607841    </v>
          </cell>
          <cell r="C2932" t="str">
            <v xml:space="preserve">DESCUBRIENDO EL ABC                     </v>
          </cell>
          <cell r="D2932" t="str">
            <v>RONDA</v>
          </cell>
          <cell r="E2932">
            <v>87.45</v>
          </cell>
          <cell r="F2932">
            <v>101.44199999999999</v>
          </cell>
        </row>
        <row r="2933">
          <cell r="A2933">
            <v>2929</v>
          </cell>
          <cell r="B2933" t="str">
            <v xml:space="preserve">000673607858    </v>
          </cell>
          <cell r="C2933" t="str">
            <v xml:space="preserve">APRENDIENDO LOS COLORES                 </v>
          </cell>
          <cell r="D2933" t="str">
            <v>RONDA</v>
          </cell>
          <cell r="E2933">
            <v>87.45</v>
          </cell>
          <cell r="F2933">
            <v>101.44199999999999</v>
          </cell>
        </row>
        <row r="2934">
          <cell r="A2934">
            <v>2930</v>
          </cell>
          <cell r="B2934" t="str">
            <v xml:space="preserve">000673607865    </v>
          </cell>
          <cell r="C2934" t="str">
            <v xml:space="preserve">SUMA Y RESTA                            </v>
          </cell>
          <cell r="D2934" t="str">
            <v>RONDA</v>
          </cell>
          <cell r="E2934">
            <v>87.45</v>
          </cell>
          <cell r="F2934">
            <v>101.44199999999999</v>
          </cell>
        </row>
        <row r="2935">
          <cell r="A2935">
            <v>2931</v>
          </cell>
          <cell r="B2935" t="str">
            <v xml:space="preserve">000673607940    </v>
          </cell>
          <cell r="C2935" t="str">
            <v xml:space="preserve">APRENDIENDO LAS FORMAS                  </v>
          </cell>
          <cell r="D2935" t="str">
            <v>RONDA</v>
          </cell>
          <cell r="E2935">
            <v>87.45</v>
          </cell>
          <cell r="F2935">
            <v>101.44199999999999</v>
          </cell>
        </row>
        <row r="2936">
          <cell r="A2936">
            <v>2932</v>
          </cell>
          <cell r="B2936" t="str">
            <v xml:space="preserve">000673608053    </v>
          </cell>
          <cell r="C2936" t="str">
            <v xml:space="preserve">MOLDEA Y PINTA                          </v>
          </cell>
          <cell r="D2936" t="str">
            <v>RONDA</v>
          </cell>
          <cell r="E2936">
            <v>179.85</v>
          </cell>
          <cell r="F2936">
            <v>208.62599999999998</v>
          </cell>
        </row>
        <row r="2937">
          <cell r="A2937">
            <v>2933</v>
          </cell>
          <cell r="B2937" t="str">
            <v xml:space="preserve">000673608060    </v>
          </cell>
          <cell r="C2937" t="str">
            <v xml:space="preserve">PINTA CON LOS DEDOS                     </v>
          </cell>
          <cell r="D2937" t="str">
            <v>RONDA</v>
          </cell>
          <cell r="E2937">
            <v>179.85</v>
          </cell>
          <cell r="F2937">
            <v>208.62599999999998</v>
          </cell>
        </row>
        <row r="2938">
          <cell r="A2938">
            <v>2934</v>
          </cell>
          <cell r="B2938" t="str">
            <v xml:space="preserve">000673608084    </v>
          </cell>
          <cell r="C2938" t="str">
            <v xml:space="preserve">SET DE PINTURA                          </v>
          </cell>
          <cell r="D2938" t="str">
            <v>RONDA</v>
          </cell>
          <cell r="E2938">
            <v>188.1</v>
          </cell>
          <cell r="F2938">
            <v>218.19599999999997</v>
          </cell>
        </row>
        <row r="2939">
          <cell r="A2939">
            <v>2935</v>
          </cell>
          <cell r="B2939" t="str">
            <v xml:space="preserve">000673608091    </v>
          </cell>
          <cell r="C2939" t="str">
            <v xml:space="preserve">CREA TUS FIGURAS                        </v>
          </cell>
          <cell r="D2939" t="str">
            <v>RONDA</v>
          </cell>
          <cell r="E2939">
            <v>161.69999999999999</v>
          </cell>
          <cell r="F2939">
            <v>187.57199999999997</v>
          </cell>
        </row>
        <row r="2940">
          <cell r="A2940">
            <v>2936</v>
          </cell>
          <cell r="B2940" t="str">
            <v xml:space="preserve">000673608107    </v>
          </cell>
          <cell r="C2940" t="str">
            <v xml:space="preserve">CREA TUS STICKERS                       </v>
          </cell>
          <cell r="D2940" t="str">
            <v>RONDA</v>
          </cell>
          <cell r="E2940">
            <v>179.85</v>
          </cell>
          <cell r="F2940">
            <v>208.62599999999998</v>
          </cell>
        </row>
        <row r="2941">
          <cell r="A2941">
            <v>2937</v>
          </cell>
          <cell r="B2941" t="str">
            <v xml:space="preserve">000673608138    </v>
          </cell>
          <cell r="C2941" t="str">
            <v xml:space="preserve">FORMAS Y COLORES                        </v>
          </cell>
          <cell r="D2941" t="str">
            <v>RONDA</v>
          </cell>
          <cell r="E2941">
            <v>87.45</v>
          </cell>
          <cell r="F2941">
            <v>101.44199999999999</v>
          </cell>
        </row>
        <row r="2942">
          <cell r="A2942">
            <v>2938</v>
          </cell>
          <cell r="B2942" t="str">
            <v xml:space="preserve">000673609029    </v>
          </cell>
          <cell r="C2942" t="str">
            <v xml:space="preserve">LAS SILABAS                             </v>
          </cell>
          <cell r="D2942" t="str">
            <v>RONDA</v>
          </cell>
          <cell r="E2942">
            <v>87.45</v>
          </cell>
          <cell r="F2942">
            <v>101.44199999999999</v>
          </cell>
        </row>
        <row r="2943">
          <cell r="A2943">
            <v>2939</v>
          </cell>
          <cell r="B2943" t="str">
            <v xml:space="preserve">796850600087    </v>
          </cell>
          <cell r="C2943" t="str">
            <v xml:space="preserve">CD ROOM CANCIONES CLASICAS              </v>
          </cell>
          <cell r="D2943" t="str">
            <v xml:space="preserve">ROOM </v>
          </cell>
          <cell r="E2943">
            <v>46.199999999999996</v>
          </cell>
          <cell r="F2943">
            <v>53.591999999999992</v>
          </cell>
        </row>
        <row r="2944">
          <cell r="A2944">
            <v>2940</v>
          </cell>
          <cell r="B2944" t="str">
            <v xml:space="preserve">796850600107    </v>
          </cell>
          <cell r="C2944" t="str">
            <v xml:space="preserve">CD ROOM MULTIPLICACION                  </v>
          </cell>
          <cell r="D2944" t="str">
            <v xml:space="preserve">ROOM </v>
          </cell>
          <cell r="E2944">
            <v>46.199999999999996</v>
          </cell>
          <cell r="F2944">
            <v>53.591999999999992</v>
          </cell>
        </row>
        <row r="2945">
          <cell r="A2945">
            <v>2941</v>
          </cell>
          <cell r="B2945" t="str">
            <v xml:space="preserve">796850600117    </v>
          </cell>
          <cell r="C2945" t="str">
            <v xml:space="preserve">CD ROOM SUMAR Y RESTAR                  </v>
          </cell>
          <cell r="D2945" t="str">
            <v xml:space="preserve">ROOM </v>
          </cell>
          <cell r="E2945">
            <v>46.199999999999996</v>
          </cell>
          <cell r="F2945">
            <v>53.591999999999992</v>
          </cell>
        </row>
        <row r="2946">
          <cell r="A2946">
            <v>2942</v>
          </cell>
          <cell r="B2946" t="str">
            <v xml:space="preserve">796850600137    </v>
          </cell>
          <cell r="C2946" t="str">
            <v xml:space="preserve">CD ROOM ESTIMULACION TEMPRANA           </v>
          </cell>
          <cell r="D2946" t="str">
            <v xml:space="preserve">ROOM </v>
          </cell>
          <cell r="E2946">
            <v>46.199999999999996</v>
          </cell>
          <cell r="F2946">
            <v>53.591999999999992</v>
          </cell>
        </row>
        <row r="2947">
          <cell r="A2947">
            <v>2943</v>
          </cell>
          <cell r="B2947" t="str">
            <v xml:space="preserve">796850600147    </v>
          </cell>
          <cell r="C2947" t="str">
            <v xml:space="preserve">CD ROOM CANCIONES PREESCOLARES          </v>
          </cell>
          <cell r="D2947" t="str">
            <v xml:space="preserve">ROOM </v>
          </cell>
          <cell r="E2947">
            <v>46.199999999999996</v>
          </cell>
          <cell r="F2947">
            <v>53.591999999999992</v>
          </cell>
        </row>
        <row r="2948">
          <cell r="A2948">
            <v>2944</v>
          </cell>
          <cell r="B2948" t="str">
            <v xml:space="preserve">796850600177    </v>
          </cell>
          <cell r="C2948" t="str">
            <v xml:space="preserve">CD ROOM APRENDE A LEER                  </v>
          </cell>
          <cell r="D2948" t="str">
            <v xml:space="preserve">ROOM </v>
          </cell>
          <cell r="E2948">
            <v>46.199999999999996</v>
          </cell>
          <cell r="F2948">
            <v>53.591999999999992</v>
          </cell>
        </row>
        <row r="2949">
          <cell r="A2949">
            <v>2945</v>
          </cell>
          <cell r="B2949" t="str">
            <v xml:space="preserve">796850600197    </v>
          </cell>
          <cell r="C2949" t="str">
            <v xml:space="preserve">CD ROOM INGLES PARA NIÑOS               </v>
          </cell>
          <cell r="D2949" t="str">
            <v xml:space="preserve">ROOM </v>
          </cell>
          <cell r="E2949">
            <v>46.199999999999996</v>
          </cell>
          <cell r="F2949">
            <v>53.591999999999992</v>
          </cell>
        </row>
        <row r="2950">
          <cell r="A2950">
            <v>2946</v>
          </cell>
          <cell r="B2950" t="str">
            <v xml:space="preserve">79850600127     </v>
          </cell>
          <cell r="C2950" t="str">
            <v xml:space="preserve">CD ROOM HISTORIA DE MEXICO              </v>
          </cell>
          <cell r="D2950" t="str">
            <v xml:space="preserve">ROOM </v>
          </cell>
          <cell r="E2950">
            <v>46.199999999999996</v>
          </cell>
          <cell r="F2950">
            <v>53.591999999999992</v>
          </cell>
        </row>
        <row r="2951">
          <cell r="A2951">
            <v>2947</v>
          </cell>
          <cell r="B2951" t="str">
            <v xml:space="preserve">9685060017      </v>
          </cell>
          <cell r="C2951" t="str">
            <v xml:space="preserve">CD ROOM 12 CUENTOS CLASICO              </v>
          </cell>
          <cell r="D2951" t="str">
            <v xml:space="preserve">ROOM </v>
          </cell>
          <cell r="E2951">
            <v>46.199999999999996</v>
          </cell>
          <cell r="F2951">
            <v>53.591999999999992</v>
          </cell>
        </row>
        <row r="2952">
          <cell r="A2952">
            <v>2948</v>
          </cell>
          <cell r="B2952" t="str">
            <v xml:space="preserve">9685060018      </v>
          </cell>
          <cell r="C2952" t="str">
            <v xml:space="preserve">CD ROOM MATEMATICAS 5to AÑO             </v>
          </cell>
          <cell r="D2952" t="str">
            <v xml:space="preserve">ROOM </v>
          </cell>
          <cell r="E2952">
            <v>46.199999999999996</v>
          </cell>
          <cell r="F2952">
            <v>53.591999999999992</v>
          </cell>
        </row>
        <row r="2953">
          <cell r="A2953">
            <v>2949</v>
          </cell>
          <cell r="B2953" t="str">
            <v xml:space="preserve">9685060019      </v>
          </cell>
          <cell r="C2953" t="str">
            <v xml:space="preserve">CD ROOM MUSICA CLASICA                  </v>
          </cell>
          <cell r="D2953" t="str">
            <v xml:space="preserve">ROOM </v>
          </cell>
          <cell r="E2953">
            <v>46.199999999999996</v>
          </cell>
          <cell r="F2953">
            <v>53.591999999999992</v>
          </cell>
        </row>
        <row r="2954">
          <cell r="A2954">
            <v>2950</v>
          </cell>
          <cell r="B2954" t="str">
            <v xml:space="preserve">9685080019      </v>
          </cell>
          <cell r="C2954" t="str">
            <v xml:space="preserve">CD ROOM APRENDE A DIVIDIR               </v>
          </cell>
          <cell r="D2954" t="str">
            <v xml:space="preserve">ROOM </v>
          </cell>
          <cell r="E2954">
            <v>46.199999999999996</v>
          </cell>
          <cell r="F2954">
            <v>53.591999999999992</v>
          </cell>
        </row>
        <row r="2955">
          <cell r="A2955">
            <v>2951</v>
          </cell>
          <cell r="B2955" t="str">
            <v xml:space="preserve">681593990079    </v>
          </cell>
          <cell r="C2955" t="str">
            <v xml:space="preserve">LIBRO CON MUSICO-TERAPIA APLICADA       </v>
          </cell>
          <cell r="D2955" t="str">
            <v xml:space="preserve">SONI </v>
          </cell>
          <cell r="E2955">
            <v>645.15</v>
          </cell>
          <cell r="F2955">
            <v>748.37399999999991</v>
          </cell>
        </row>
        <row r="2956">
          <cell r="A2956">
            <v>2952</v>
          </cell>
          <cell r="B2956" t="str">
            <v xml:space="preserve">7501991815756   </v>
          </cell>
          <cell r="C2956" t="str">
            <v xml:space="preserve">CAJA DEL SISTEMA DECIMAL (MONTESSORI)   </v>
          </cell>
          <cell r="D2956" t="str">
            <v>SSORI</v>
          </cell>
          <cell r="E2956">
            <v>1355.4749999999999</v>
          </cell>
          <cell r="F2956">
            <v>1572.3509999999999</v>
          </cell>
        </row>
        <row r="2957">
          <cell r="A2957">
            <v>2953</v>
          </cell>
          <cell r="B2957" t="str">
            <v xml:space="preserve">7501991819006   </v>
          </cell>
          <cell r="C2957" t="str">
            <v xml:space="preserve">VOCALES MAY. C/LIJA (MONTESSORI) (E200) </v>
          </cell>
          <cell r="D2957" t="str">
            <v>SSORI</v>
          </cell>
          <cell r="E2957">
            <v>70.95</v>
          </cell>
          <cell r="F2957">
            <v>82.301999999999992</v>
          </cell>
        </row>
        <row r="2958">
          <cell r="A2958">
            <v>2954</v>
          </cell>
          <cell r="B2958" t="str">
            <v xml:space="preserve">7501991819013   </v>
          </cell>
          <cell r="C2958" t="str">
            <v xml:space="preserve">TRIANGULO CON EQUIVALENCIAS             </v>
          </cell>
          <cell r="D2958" t="str">
            <v>SSORI</v>
          </cell>
          <cell r="E2958">
            <v>84.149999999999991</v>
          </cell>
          <cell r="F2958">
            <v>97.61399999999999</v>
          </cell>
        </row>
        <row r="2959">
          <cell r="A2959">
            <v>2955</v>
          </cell>
          <cell r="B2959" t="str">
            <v xml:space="preserve">7501991819020   </v>
          </cell>
          <cell r="C2959" t="str">
            <v xml:space="preserve">R.Q. GEOM.4 FIG. (MONTESSORI)           </v>
          </cell>
          <cell r="D2959" t="str">
            <v>SSORI</v>
          </cell>
          <cell r="E2959">
            <v>108.89999999999998</v>
          </cell>
          <cell r="F2959">
            <v>126.32399999999997</v>
          </cell>
        </row>
        <row r="2960">
          <cell r="A2960">
            <v>2956</v>
          </cell>
          <cell r="B2960" t="str">
            <v xml:space="preserve">7501991819037   </v>
          </cell>
          <cell r="C2960" t="str">
            <v xml:space="preserve">GABINETE GEOM. (MONTESSORI) 27Pz        </v>
          </cell>
          <cell r="D2960" t="str">
            <v>SSORI</v>
          </cell>
          <cell r="E2960">
            <v>4455</v>
          </cell>
          <cell r="F2960">
            <v>5167.7999999999993</v>
          </cell>
        </row>
        <row r="2961">
          <cell r="A2961">
            <v>2957</v>
          </cell>
          <cell r="B2961" t="str">
            <v xml:space="preserve">7501991819044   </v>
          </cell>
          <cell r="C2961" t="str">
            <v xml:space="preserve">JGO. BLOQUES 4CIL.(MONTESSORI)44Pz      </v>
          </cell>
          <cell r="D2961" t="str">
            <v>SSORI</v>
          </cell>
          <cell r="E2961">
            <v>1367.85</v>
          </cell>
          <cell r="F2961">
            <v>1586.7059999999999</v>
          </cell>
        </row>
        <row r="2962">
          <cell r="A2962">
            <v>2958</v>
          </cell>
          <cell r="B2962" t="str">
            <v xml:space="preserve">7501991819051   </v>
          </cell>
          <cell r="C2962" t="str">
            <v xml:space="preserve">CUBOS ENSARTAR (MONTESSORI) 50Pz        </v>
          </cell>
          <cell r="D2962" t="str">
            <v>SSORI</v>
          </cell>
          <cell r="E2962">
            <v>221.10000000000002</v>
          </cell>
          <cell r="F2962">
            <v>256.476</v>
          </cell>
        </row>
        <row r="2963">
          <cell r="A2963">
            <v>2959</v>
          </cell>
          <cell r="B2963" t="str">
            <v xml:space="preserve">7501991819068   </v>
          </cell>
          <cell r="C2963" t="str">
            <v xml:space="preserve">E071 ESCALERA CAFE 10Pz (MONTESSORI)    </v>
          </cell>
          <cell r="D2963" t="str">
            <v>SSORI</v>
          </cell>
          <cell r="E2963">
            <v>506.5499999999999</v>
          </cell>
          <cell r="F2963">
            <v>587.59799999999984</v>
          </cell>
        </row>
        <row r="2964">
          <cell r="A2964">
            <v>2960</v>
          </cell>
          <cell r="B2964" t="str">
            <v xml:space="preserve">7501991819075   </v>
          </cell>
          <cell r="C2964" t="str">
            <v xml:space="preserve">E073 GAMA COL. GRANDE 63Pz (MONTESSORI) </v>
          </cell>
          <cell r="D2964" t="str">
            <v>SSORI</v>
          </cell>
          <cell r="E2964">
            <v>389.4</v>
          </cell>
          <cell r="F2964">
            <v>451.70399999999995</v>
          </cell>
        </row>
        <row r="2965">
          <cell r="A2965">
            <v>2961</v>
          </cell>
          <cell r="B2965" t="str">
            <v xml:space="preserve">7501991819082   </v>
          </cell>
          <cell r="C2965" t="str">
            <v xml:space="preserve">E073A GAMA COL. MED.(MONTESSORI)22Pz    </v>
          </cell>
          <cell r="D2965" t="str">
            <v>SSORI</v>
          </cell>
          <cell r="E2965">
            <v>123.75</v>
          </cell>
          <cell r="F2965">
            <v>143.54999999999998</v>
          </cell>
        </row>
        <row r="2966">
          <cell r="A2966">
            <v>2962</v>
          </cell>
          <cell r="B2966" t="str">
            <v xml:space="preserve">7501991819099   </v>
          </cell>
          <cell r="C2966" t="str">
            <v xml:space="preserve">E073B GAMA COL. CHICA (MONTESSORI) 6P   </v>
          </cell>
          <cell r="D2966" t="str">
            <v>SSORI</v>
          </cell>
          <cell r="E2966">
            <v>49.5</v>
          </cell>
          <cell r="F2966">
            <v>57.419999999999995</v>
          </cell>
        </row>
        <row r="2967">
          <cell r="A2967">
            <v>2963</v>
          </cell>
          <cell r="B2967" t="str">
            <v xml:space="preserve">7501991819105   </v>
          </cell>
          <cell r="C2967" t="str">
            <v xml:space="preserve">E099 TORRE ROSA 10Pz (MONTESSORI)       </v>
          </cell>
          <cell r="D2967" t="str">
            <v>SSORI</v>
          </cell>
          <cell r="E2967">
            <v>372.89999999999992</v>
          </cell>
          <cell r="F2967">
            <v>432.56399999999991</v>
          </cell>
        </row>
        <row r="2968">
          <cell r="A2968">
            <v>2964</v>
          </cell>
          <cell r="B2968" t="str">
            <v xml:space="preserve">7501991819112   </v>
          </cell>
          <cell r="C2968" t="str">
            <v xml:space="preserve">E117 ARBOLES (MONTESSORI) CON PIJA 10Pz </v>
          </cell>
          <cell r="D2968" t="str">
            <v>SSORI</v>
          </cell>
          <cell r="E2968">
            <v>501.6</v>
          </cell>
          <cell r="F2968">
            <v>581.85599999999999</v>
          </cell>
        </row>
        <row r="2969">
          <cell r="A2969">
            <v>2965</v>
          </cell>
          <cell r="B2969" t="str">
            <v xml:space="preserve">7501991819129   </v>
          </cell>
          <cell r="C2969" t="str">
            <v>E148 BLOQUES DE CILINDROS 1 (MONTESSORI)</v>
          </cell>
          <cell r="D2969" t="str">
            <v>SSORI</v>
          </cell>
          <cell r="E2969">
            <v>364.65</v>
          </cell>
          <cell r="F2969">
            <v>422.99399999999991</v>
          </cell>
        </row>
        <row r="2970">
          <cell r="A2970">
            <v>2966</v>
          </cell>
          <cell r="B2970" t="str">
            <v xml:space="preserve">7501991819136   </v>
          </cell>
          <cell r="C2970" t="str">
            <v xml:space="preserve">HEXAGONO GRANDE (MONTESSORI) 10Pz       </v>
          </cell>
          <cell r="D2970" t="str">
            <v>SSORI</v>
          </cell>
          <cell r="E2970">
            <v>202.94999999999996</v>
          </cell>
          <cell r="F2970">
            <v>235.42199999999994</v>
          </cell>
        </row>
        <row r="2971">
          <cell r="A2971">
            <v>2967</v>
          </cell>
          <cell r="B2971" t="str">
            <v xml:space="preserve">7501991819143   </v>
          </cell>
          <cell r="C2971" t="str">
            <v>E172 HEXAGONO CHICO (MONTESSORI) 18Pz (E</v>
          </cell>
          <cell r="D2971" t="str">
            <v>SSORI</v>
          </cell>
          <cell r="E2971">
            <v>174.9</v>
          </cell>
          <cell r="F2971">
            <v>202.88399999999999</v>
          </cell>
        </row>
        <row r="2972">
          <cell r="A2972">
            <v>2968</v>
          </cell>
          <cell r="B2972" t="str">
            <v xml:space="preserve">7501991819150   </v>
          </cell>
          <cell r="C2972" t="str">
            <v xml:space="preserve">E173 TRIANGULO GRANDE (MONTESSORI) 10Pz </v>
          </cell>
          <cell r="D2972" t="str">
            <v>SSORI</v>
          </cell>
          <cell r="E2972">
            <v>202.94999999999996</v>
          </cell>
          <cell r="F2972">
            <v>235.42199999999994</v>
          </cell>
        </row>
        <row r="2973">
          <cell r="A2973">
            <v>2969</v>
          </cell>
          <cell r="B2973" t="str">
            <v xml:space="preserve">7501991819167   </v>
          </cell>
          <cell r="C2973" t="str">
            <v xml:space="preserve">E172 TRIANGULO CHICO MONTESSORI         </v>
          </cell>
          <cell r="D2973" t="str">
            <v>SSORI</v>
          </cell>
          <cell r="E2973">
            <v>113.84999999999998</v>
          </cell>
          <cell r="F2973">
            <v>132.06599999999997</v>
          </cell>
        </row>
        <row r="2974">
          <cell r="A2974">
            <v>2970</v>
          </cell>
          <cell r="B2974" t="str">
            <v xml:space="preserve">7501991819174   </v>
          </cell>
          <cell r="C2974" t="str">
            <v xml:space="preserve">E174 CUADRO AZUL (MONTESSORI) 12Pz      </v>
          </cell>
          <cell r="D2974" t="str">
            <v>SSORI</v>
          </cell>
          <cell r="E2974">
            <v>160.05000000000001</v>
          </cell>
          <cell r="F2974">
            <v>185.65799999999999</v>
          </cell>
        </row>
        <row r="2975">
          <cell r="A2975">
            <v>2971</v>
          </cell>
          <cell r="B2975" t="str">
            <v xml:space="preserve">7501991819181   </v>
          </cell>
          <cell r="C2975" t="str">
            <v xml:space="preserve">E175 CUADRO AMARILLO (MONTESSORI) 12Pz  </v>
          </cell>
          <cell r="D2975" t="str">
            <v>SSORI</v>
          </cell>
          <cell r="E2975">
            <v>66</v>
          </cell>
          <cell r="F2975">
            <v>76.559999999999988</v>
          </cell>
        </row>
        <row r="2976">
          <cell r="A2976">
            <v>2972</v>
          </cell>
          <cell r="B2976" t="str">
            <v xml:space="preserve">7501991819198   </v>
          </cell>
          <cell r="C2976" t="str">
            <v xml:space="preserve">E176 RECTANGULO AZUL (MONTESSORI) 12Pz  </v>
          </cell>
          <cell r="D2976" t="str">
            <v>SSORI</v>
          </cell>
          <cell r="E2976">
            <v>66</v>
          </cell>
          <cell r="F2976">
            <v>76.559999999999988</v>
          </cell>
        </row>
        <row r="2977">
          <cell r="A2977">
            <v>2973</v>
          </cell>
          <cell r="B2977" t="str">
            <v xml:space="preserve">7501991819204   </v>
          </cell>
          <cell r="C2977" t="str">
            <v xml:space="preserve">E177 BARRA ROJA (MONTESSORI) 10Pz       </v>
          </cell>
          <cell r="D2977" t="str">
            <v>SSORI</v>
          </cell>
          <cell r="E2977">
            <v>270.59999999999997</v>
          </cell>
          <cell r="F2977">
            <v>313.89599999999996</v>
          </cell>
        </row>
        <row r="2978">
          <cell r="A2978">
            <v>2974</v>
          </cell>
          <cell r="B2978" t="str">
            <v xml:space="preserve">7501991819211   </v>
          </cell>
          <cell r="C2978" t="str">
            <v xml:space="preserve">E178 BARRA NUMERICA (MONTESSORI) 10Pz   </v>
          </cell>
          <cell r="D2978" t="str">
            <v>SSORI</v>
          </cell>
          <cell r="E2978">
            <v>318.45</v>
          </cell>
          <cell r="F2978">
            <v>369.40199999999999</v>
          </cell>
        </row>
        <row r="2979">
          <cell r="A2979">
            <v>2975</v>
          </cell>
          <cell r="B2979" t="str">
            <v xml:space="preserve">7501991819228   </v>
          </cell>
          <cell r="C2979" t="str">
            <v xml:space="preserve">E183 CUBO BASE 10 DE MADERA 121Pz       </v>
          </cell>
          <cell r="D2979" t="str">
            <v>SSORI</v>
          </cell>
          <cell r="E2979">
            <v>410.84999999999997</v>
          </cell>
          <cell r="F2979">
            <v>476.58599999999996</v>
          </cell>
        </row>
        <row r="2980">
          <cell r="A2980">
            <v>2976</v>
          </cell>
          <cell r="B2980" t="str">
            <v xml:space="preserve">7501991819235   </v>
          </cell>
          <cell r="C2980" t="str">
            <v xml:space="preserve">E188 CAJA DE HUSILLOS (MONTESSORI) 57Pz </v>
          </cell>
          <cell r="D2980" t="str">
            <v>SSORI</v>
          </cell>
          <cell r="E2980">
            <v>412.5</v>
          </cell>
          <cell r="F2980">
            <v>478.5</v>
          </cell>
        </row>
        <row r="2981">
          <cell r="A2981">
            <v>2977</v>
          </cell>
          <cell r="B2981" t="str">
            <v xml:space="preserve">7501991819242   </v>
          </cell>
          <cell r="C2981" t="str">
            <v>TABLA DE SEGUIN (MONTESSORI) 22Pz 1-CAJA</v>
          </cell>
          <cell r="D2981" t="str">
            <v>SSORI</v>
          </cell>
          <cell r="E2981">
            <v>285.45</v>
          </cell>
          <cell r="F2981">
            <v>331.12199999999996</v>
          </cell>
        </row>
        <row r="2982">
          <cell r="A2982">
            <v>2978</v>
          </cell>
          <cell r="B2982" t="str">
            <v xml:space="preserve">7501991819259   </v>
          </cell>
          <cell r="C2982" t="str">
            <v xml:space="preserve">BLOQUES LOGICOS (MONTESSORI) (ES48)     </v>
          </cell>
          <cell r="D2982" t="str">
            <v>SSORI</v>
          </cell>
          <cell r="E2982">
            <v>207.9</v>
          </cell>
          <cell r="F2982">
            <v>241.16399999999999</v>
          </cell>
        </row>
        <row r="2983">
          <cell r="A2983">
            <v>2979</v>
          </cell>
          <cell r="B2983" t="str">
            <v xml:space="preserve">7501991819266   </v>
          </cell>
          <cell r="C2983" t="str">
            <v xml:space="preserve">T017 REGLETAS MADERA (MONTESSORI) 298Pz </v>
          </cell>
          <cell r="D2983" t="str">
            <v>SSORI</v>
          </cell>
          <cell r="E2983">
            <v>321.75</v>
          </cell>
          <cell r="F2983">
            <v>373.22999999999996</v>
          </cell>
        </row>
        <row r="2984">
          <cell r="A2984">
            <v>2980</v>
          </cell>
          <cell r="B2984" t="str">
            <v xml:space="preserve">7501991819280   </v>
          </cell>
          <cell r="C2984" t="str">
            <v xml:space="preserve">VOCALES MIN. S/LIJA (MONTESSORI) (E203) </v>
          </cell>
          <cell r="D2984" t="str">
            <v>SSORI</v>
          </cell>
          <cell r="E2984">
            <v>64.349999999999994</v>
          </cell>
          <cell r="F2984">
            <v>74.645999999999987</v>
          </cell>
        </row>
        <row r="2985">
          <cell r="A2985">
            <v>2981</v>
          </cell>
          <cell r="B2985" t="str">
            <v xml:space="preserve">7501991819297   </v>
          </cell>
          <cell r="C2985" t="str">
            <v xml:space="preserve">VOCALES MIN. C/LIJA (MONTESSORI)        </v>
          </cell>
          <cell r="D2985" t="str">
            <v>SSORI</v>
          </cell>
          <cell r="E2985">
            <v>72.599999999999994</v>
          </cell>
          <cell r="F2985">
            <v>84.215999999999994</v>
          </cell>
        </row>
        <row r="2986">
          <cell r="A2986">
            <v>2982</v>
          </cell>
          <cell r="B2986" t="str">
            <v xml:space="preserve">7501991819303   </v>
          </cell>
          <cell r="C2986" t="str">
            <v xml:space="preserve">DISCOS CONTADORES 66Pz (MONTESSORI)     </v>
          </cell>
          <cell r="D2986" t="str">
            <v>SSORI</v>
          </cell>
          <cell r="E2986">
            <v>239.25</v>
          </cell>
          <cell r="F2986">
            <v>277.52999999999997</v>
          </cell>
        </row>
        <row r="2987">
          <cell r="A2987">
            <v>2983</v>
          </cell>
          <cell r="B2987" t="str">
            <v xml:space="preserve">7501991819310   </v>
          </cell>
          <cell r="C2987" t="str">
            <v xml:space="preserve">ABC MAYUS S/LIJA (MONTESSORI) -E245     </v>
          </cell>
          <cell r="D2987" t="str">
            <v>SSORI</v>
          </cell>
          <cell r="E2987">
            <v>412.5</v>
          </cell>
          <cell r="F2987">
            <v>478.5</v>
          </cell>
        </row>
        <row r="2988">
          <cell r="A2988">
            <v>2984</v>
          </cell>
          <cell r="B2988" t="str">
            <v xml:space="preserve">7501991819327   </v>
          </cell>
          <cell r="C2988" t="str">
            <v xml:space="preserve">ABC MINUS. C/LIJA (MONTESSORI) -E243    </v>
          </cell>
          <cell r="D2988" t="str">
            <v>SSORI</v>
          </cell>
          <cell r="E2988">
            <v>460.35</v>
          </cell>
          <cell r="F2988">
            <v>534.00599999999997</v>
          </cell>
        </row>
        <row r="2989">
          <cell r="A2989">
            <v>2985</v>
          </cell>
          <cell r="B2989" t="str">
            <v xml:space="preserve">7501991819334   </v>
          </cell>
          <cell r="C2989" t="str">
            <v xml:space="preserve">ABC MAYUSC. C/LIJA (MONTESSORI) -E244   </v>
          </cell>
          <cell r="D2989" t="str">
            <v>SSORI</v>
          </cell>
          <cell r="E2989">
            <v>389.4</v>
          </cell>
          <cell r="F2989">
            <v>451.70399999999995</v>
          </cell>
        </row>
        <row r="2990">
          <cell r="A2990">
            <v>2986</v>
          </cell>
          <cell r="B2990" t="str">
            <v xml:space="preserve">7501991819341   </v>
          </cell>
          <cell r="C2990" t="str">
            <v xml:space="preserve">ABC MINUSC. S/LIJA (MONTESSORI) -E246   </v>
          </cell>
          <cell r="D2990" t="str">
            <v>SSORI</v>
          </cell>
          <cell r="E2990">
            <v>325.04999999999995</v>
          </cell>
          <cell r="F2990">
            <v>377.05799999999994</v>
          </cell>
        </row>
        <row r="2991">
          <cell r="A2991">
            <v>2987</v>
          </cell>
          <cell r="B2991" t="str">
            <v xml:space="preserve">7501991819358   </v>
          </cell>
          <cell r="C2991" t="str">
            <v xml:space="preserve">JUEGO CILINDRO AMARILLO y/o ROJO 10Pz   </v>
          </cell>
          <cell r="D2991" t="str">
            <v>SSORI</v>
          </cell>
          <cell r="E2991">
            <v>189.74999999999997</v>
          </cell>
          <cell r="F2991">
            <v>220.10999999999996</v>
          </cell>
        </row>
        <row r="2992">
          <cell r="A2992">
            <v>2988</v>
          </cell>
          <cell r="B2992" t="str">
            <v xml:space="preserve">7501991819365   </v>
          </cell>
          <cell r="C2992" t="str">
            <v xml:space="preserve">CAJA TORRE ROSA 10Pz                    </v>
          </cell>
          <cell r="D2992" t="str">
            <v>SSORI</v>
          </cell>
          <cell r="E2992">
            <v>353.09999999999997</v>
          </cell>
          <cell r="F2992">
            <v>409.59599999999995</v>
          </cell>
        </row>
        <row r="2993">
          <cell r="A2993">
            <v>2989</v>
          </cell>
          <cell r="B2993" t="str">
            <v xml:space="preserve">7501991819372   </v>
          </cell>
          <cell r="C2993" t="str">
            <v xml:space="preserve">T150 SERPIENTE MATE  MONTESSORI  (2Pz)  </v>
          </cell>
          <cell r="D2993" t="str">
            <v>SSORI</v>
          </cell>
          <cell r="E2993">
            <v>1249.0499999999997</v>
          </cell>
          <cell r="F2993">
            <v>1448.8979999999997</v>
          </cell>
        </row>
        <row r="2994">
          <cell r="A2994">
            <v>2990</v>
          </cell>
          <cell r="B2994" t="str">
            <v xml:space="preserve">7501991819389   </v>
          </cell>
          <cell r="C2994" t="str">
            <v xml:space="preserve">BANCO MONTESSORI                        </v>
          </cell>
          <cell r="D2994" t="str">
            <v>SSORI</v>
          </cell>
          <cell r="E2994">
            <v>2112</v>
          </cell>
          <cell r="F2994">
            <v>2449.9199999999996</v>
          </cell>
        </row>
        <row r="2995">
          <cell r="A2995">
            <v>2991</v>
          </cell>
          <cell r="B2995" t="str">
            <v xml:space="preserve">7501991819396   </v>
          </cell>
          <cell r="C2995" t="str">
            <v xml:space="preserve">JUEGO DE CILINDRO AZULy/o VERDE 10Pz    </v>
          </cell>
          <cell r="D2995" t="str">
            <v>SSORI</v>
          </cell>
          <cell r="E2995">
            <v>189.74999999999997</v>
          </cell>
          <cell r="F2995">
            <v>220.10999999999996</v>
          </cell>
        </row>
        <row r="2996">
          <cell r="A2996">
            <v>2992</v>
          </cell>
          <cell r="B2996" t="str">
            <v xml:space="preserve">7501991819402   </v>
          </cell>
          <cell r="C2996" t="str">
            <v xml:space="preserve">VOCALES MAY. S/LIJA MONTESSORI (E201)   </v>
          </cell>
          <cell r="D2996" t="str">
            <v>SSORI</v>
          </cell>
          <cell r="E2996">
            <v>75.900000000000006</v>
          </cell>
          <cell r="F2996">
            <v>88.043999999999997</v>
          </cell>
        </row>
        <row r="2997">
          <cell r="A2997">
            <v>2993</v>
          </cell>
          <cell r="B2997" t="str">
            <v xml:space="preserve">7501991819419   </v>
          </cell>
          <cell r="C2997" t="str">
            <v xml:space="preserve">TARJETAS SISTEMA DECIMAL MONTESSOR)     </v>
          </cell>
          <cell r="D2997" t="str">
            <v>SSORI</v>
          </cell>
          <cell r="E2997">
            <v>240.89999999999998</v>
          </cell>
          <cell r="F2997">
            <v>279.44399999999996</v>
          </cell>
        </row>
        <row r="2998">
          <cell r="A2998">
            <v>2994</v>
          </cell>
          <cell r="B2998" t="str">
            <v xml:space="preserve">7501991819426   </v>
          </cell>
          <cell r="C2998" t="str">
            <v xml:space="preserve">NUMEROS CON LIJA MONTESSORI (E241)      </v>
          </cell>
          <cell r="D2998" t="str">
            <v>SSORI</v>
          </cell>
          <cell r="E2998">
            <v>193.05</v>
          </cell>
          <cell r="F2998">
            <v>223.93799999999999</v>
          </cell>
        </row>
        <row r="2999">
          <cell r="A2999">
            <v>2995</v>
          </cell>
          <cell r="B2999" t="str">
            <v xml:space="preserve">7501991819433   </v>
          </cell>
          <cell r="C2999" t="str">
            <v xml:space="preserve">NUMEROS SIN LIJA MONTESSORI (E242)      </v>
          </cell>
          <cell r="D2999" t="str">
            <v>SSORI</v>
          </cell>
          <cell r="E2999">
            <v>153.44999999999999</v>
          </cell>
          <cell r="F2999">
            <v>178.00199999999998</v>
          </cell>
        </row>
        <row r="3000">
          <cell r="A3000">
            <v>2996</v>
          </cell>
          <cell r="B3000" t="str">
            <v xml:space="preserve">7501991819440   </v>
          </cell>
          <cell r="C3000" t="str">
            <v xml:space="preserve">BOTE  TEXTURAS MONTESSORI LIJA          </v>
          </cell>
          <cell r="D3000" t="str">
            <v>SSORI</v>
          </cell>
          <cell r="E3000">
            <v>264</v>
          </cell>
          <cell r="F3000">
            <v>306.23999999999995</v>
          </cell>
        </row>
        <row r="3001">
          <cell r="A3001">
            <v>2997</v>
          </cell>
          <cell r="B3001" t="str">
            <v xml:space="preserve">7501991819457   </v>
          </cell>
          <cell r="C3001" t="str">
            <v xml:space="preserve">BOTE TEXTURAS MONTESSORI LISO           </v>
          </cell>
          <cell r="D3001" t="str">
            <v>SSORI</v>
          </cell>
          <cell r="E3001">
            <v>264</v>
          </cell>
          <cell r="F3001">
            <v>306.23999999999995</v>
          </cell>
        </row>
        <row r="3002">
          <cell r="A3002">
            <v>2998</v>
          </cell>
          <cell r="B3002" t="str">
            <v xml:space="preserve">7501991819464   </v>
          </cell>
          <cell r="C3002" t="str">
            <v xml:space="preserve">BANCUBI DE MADERA 60Pz (MONTESSORI)     </v>
          </cell>
          <cell r="D3002" t="str">
            <v>SSORI</v>
          </cell>
          <cell r="E3002">
            <v>99</v>
          </cell>
          <cell r="F3002">
            <v>114.83999999999999</v>
          </cell>
        </row>
        <row r="3003">
          <cell r="A3003">
            <v>2999</v>
          </cell>
          <cell r="B3003" t="str">
            <v xml:space="preserve">7501991819471   </v>
          </cell>
          <cell r="C3003" t="str">
            <v xml:space="preserve">BOTE TEXTURAS MONTESSORI TOALLA         </v>
          </cell>
          <cell r="D3003" t="str">
            <v>SSORI</v>
          </cell>
          <cell r="E3003">
            <v>264</v>
          </cell>
          <cell r="F3003">
            <v>306.23999999999995</v>
          </cell>
        </row>
        <row r="3004">
          <cell r="A3004">
            <v>3000</v>
          </cell>
          <cell r="B3004" t="str">
            <v xml:space="preserve">7501991819488   </v>
          </cell>
          <cell r="C3004" t="str">
            <v xml:space="preserve">BOTE TEXTURAS MONTESSORI DUBETINA       </v>
          </cell>
          <cell r="D3004" t="str">
            <v>SSORI</v>
          </cell>
          <cell r="E3004">
            <v>264</v>
          </cell>
          <cell r="F3004">
            <v>306.23999999999995</v>
          </cell>
        </row>
        <row r="3005">
          <cell r="A3005">
            <v>3001</v>
          </cell>
          <cell r="B3005" t="str">
            <v xml:space="preserve">7502212381746   </v>
          </cell>
          <cell r="C3005" t="str">
            <v xml:space="preserve">CD VAMOS A CANTAR VOL. 1                </v>
          </cell>
          <cell r="D3005" t="str">
            <v>STIMO</v>
          </cell>
          <cell r="E3005">
            <v>133.65</v>
          </cell>
          <cell r="F3005">
            <v>155.03399999999999</v>
          </cell>
        </row>
        <row r="3006">
          <cell r="A3006">
            <v>3002</v>
          </cell>
          <cell r="B3006" t="str">
            <v xml:space="preserve">7502230951020   </v>
          </cell>
          <cell r="C3006" t="str">
            <v xml:space="preserve">MEMORIA VISUAL 20Pz                     </v>
          </cell>
          <cell r="D3006" t="str">
            <v>STIMO</v>
          </cell>
          <cell r="E3006">
            <v>66</v>
          </cell>
          <cell r="F3006">
            <v>76.559999999999988</v>
          </cell>
        </row>
        <row r="3007">
          <cell r="A3007">
            <v>3003</v>
          </cell>
          <cell r="B3007" t="str">
            <v xml:space="preserve">7502230951037   </v>
          </cell>
          <cell r="C3007" t="str">
            <v xml:space="preserve">MEMORIA DE OLOR                         </v>
          </cell>
          <cell r="D3007" t="str">
            <v>STIMO</v>
          </cell>
          <cell r="E3007">
            <v>230.99999999999994</v>
          </cell>
          <cell r="F3007">
            <v>267.95999999999992</v>
          </cell>
        </row>
        <row r="3008">
          <cell r="A3008">
            <v>3004</v>
          </cell>
          <cell r="B3008" t="str">
            <v xml:space="preserve">7502230951051   </v>
          </cell>
          <cell r="C3008" t="str">
            <v xml:space="preserve">LIBROS DE SONIDOS                       </v>
          </cell>
          <cell r="D3008" t="str">
            <v>STIMO</v>
          </cell>
          <cell r="E3008">
            <v>214.49999999999997</v>
          </cell>
          <cell r="F3008">
            <v>248.81999999999996</v>
          </cell>
        </row>
        <row r="3009">
          <cell r="A3009">
            <v>3005</v>
          </cell>
          <cell r="B3009" t="str">
            <v xml:space="preserve">7502230951068   </v>
          </cell>
          <cell r="C3009" t="str">
            <v xml:space="preserve">BABY'S KIT ESTIMULACION TEMPRANA        </v>
          </cell>
          <cell r="D3009" t="str">
            <v>STIMO</v>
          </cell>
          <cell r="E3009">
            <v>237.6</v>
          </cell>
          <cell r="F3009">
            <v>275.61599999999999</v>
          </cell>
        </row>
        <row r="3010">
          <cell r="A3010">
            <v>3006</v>
          </cell>
          <cell r="B3010" t="str">
            <v xml:space="preserve">ES06            </v>
          </cell>
          <cell r="C3010" t="str">
            <v xml:space="preserve">DVD DE SONIDOS                          </v>
          </cell>
          <cell r="D3010" t="str">
            <v>STIMO</v>
          </cell>
          <cell r="E3010">
            <v>173.25</v>
          </cell>
          <cell r="F3010">
            <v>200.96999999999997</v>
          </cell>
        </row>
        <row r="3011">
          <cell r="A3011">
            <v>3007</v>
          </cell>
          <cell r="B3011" t="str">
            <v xml:space="preserve">633682003269    </v>
          </cell>
          <cell r="C3011" t="str">
            <v xml:space="preserve">HISTORIA A300                           </v>
          </cell>
          <cell r="D3011" t="str">
            <v>STORI</v>
          </cell>
          <cell r="E3011">
            <v>526.34999999999991</v>
          </cell>
          <cell r="F3011">
            <v>610.56599999999992</v>
          </cell>
        </row>
        <row r="3012">
          <cell r="A3012">
            <v>3008</v>
          </cell>
          <cell r="B3012" t="str">
            <v xml:space="preserve">AA100           </v>
          </cell>
          <cell r="C3012" t="str">
            <v xml:space="preserve">STORIA A100                             </v>
          </cell>
          <cell r="D3012" t="str">
            <v>STORI</v>
          </cell>
          <cell r="E3012">
            <v>193.05</v>
          </cell>
          <cell r="F3012">
            <v>223.93799999999999</v>
          </cell>
        </row>
        <row r="3013">
          <cell r="A3013">
            <v>3009</v>
          </cell>
          <cell r="B3013" t="str">
            <v xml:space="preserve">AA1000          </v>
          </cell>
          <cell r="C3013" t="str">
            <v xml:space="preserve">STORIA 1000                             </v>
          </cell>
          <cell r="D3013" t="str">
            <v>STORI</v>
          </cell>
          <cell r="E3013">
            <v>1392.6000000000001</v>
          </cell>
          <cell r="F3013">
            <v>1615.4159999999999</v>
          </cell>
        </row>
        <row r="3014">
          <cell r="A3014">
            <v>3010</v>
          </cell>
          <cell r="B3014" t="str">
            <v xml:space="preserve">AA200           </v>
          </cell>
          <cell r="C3014" t="str">
            <v xml:space="preserve">STORIA  A200                            </v>
          </cell>
          <cell r="D3014" t="str">
            <v>STORI</v>
          </cell>
          <cell r="E3014">
            <v>379.49999999999994</v>
          </cell>
          <cell r="F3014">
            <v>440.21999999999991</v>
          </cell>
        </row>
        <row r="3015">
          <cell r="A3015">
            <v>3011</v>
          </cell>
          <cell r="B3015" t="str">
            <v xml:space="preserve">AA40            </v>
          </cell>
          <cell r="C3015" t="str">
            <v xml:space="preserve">STORIA A40                              </v>
          </cell>
          <cell r="D3015" t="str">
            <v>STORI</v>
          </cell>
          <cell r="E3015">
            <v>99</v>
          </cell>
          <cell r="F3015">
            <v>114.83999999999999</v>
          </cell>
        </row>
        <row r="3016">
          <cell r="A3016">
            <v>3012</v>
          </cell>
          <cell r="B3016" t="str">
            <v xml:space="preserve">7502223520011   </v>
          </cell>
          <cell r="C3016" t="str">
            <v xml:space="preserve">POSTER PLASTIFICADA MY BODY             </v>
          </cell>
          <cell r="D3016" t="str">
            <v>TEACH</v>
          </cell>
          <cell r="E3016">
            <v>42.899999999999991</v>
          </cell>
          <cell r="F3016">
            <v>49.763999999999989</v>
          </cell>
        </row>
        <row r="3017">
          <cell r="A3017">
            <v>3013</v>
          </cell>
          <cell r="B3017" t="str">
            <v xml:space="preserve">7502223520028   </v>
          </cell>
          <cell r="C3017" t="str">
            <v xml:space="preserve">POSTER MI CUERPO                        </v>
          </cell>
          <cell r="D3017" t="str">
            <v>TEACH</v>
          </cell>
          <cell r="E3017">
            <v>42.899999999999991</v>
          </cell>
          <cell r="F3017">
            <v>49.763999999999989</v>
          </cell>
        </row>
        <row r="3018">
          <cell r="A3018">
            <v>3014</v>
          </cell>
          <cell r="B3018" t="str">
            <v xml:space="preserve">7502223520035   </v>
          </cell>
          <cell r="C3018" t="str">
            <v xml:space="preserve">POSTER NUMBERS 1 TO 20                  </v>
          </cell>
          <cell r="D3018" t="str">
            <v>TEACH</v>
          </cell>
          <cell r="E3018">
            <v>42.899999999999991</v>
          </cell>
          <cell r="F3018">
            <v>49.763999999999989</v>
          </cell>
        </row>
        <row r="3019">
          <cell r="A3019">
            <v>3015</v>
          </cell>
          <cell r="B3019" t="str">
            <v xml:space="preserve">7502223520042   </v>
          </cell>
          <cell r="C3019" t="str">
            <v xml:space="preserve">POSTER NUMEROS  1 AL 20                 </v>
          </cell>
          <cell r="D3019" t="str">
            <v>TEACH</v>
          </cell>
          <cell r="E3019">
            <v>42.899999999999991</v>
          </cell>
          <cell r="F3019">
            <v>49.763999999999989</v>
          </cell>
        </row>
        <row r="3020">
          <cell r="A3020">
            <v>3016</v>
          </cell>
          <cell r="B3020" t="str">
            <v xml:space="preserve">7502223520059   </v>
          </cell>
          <cell r="C3020" t="str">
            <v xml:space="preserve">POSTER ABC ASSOCIATION                  </v>
          </cell>
          <cell r="D3020" t="str">
            <v>TEACH</v>
          </cell>
          <cell r="E3020">
            <v>42.899999999999991</v>
          </cell>
          <cell r="F3020">
            <v>49.763999999999989</v>
          </cell>
        </row>
        <row r="3021">
          <cell r="A3021">
            <v>3017</v>
          </cell>
          <cell r="B3021" t="str">
            <v xml:space="preserve">7502223520066   </v>
          </cell>
          <cell r="C3021" t="str">
            <v xml:space="preserve">POSTER ABC DE ASOCIACION                </v>
          </cell>
          <cell r="D3021" t="str">
            <v>TEACH</v>
          </cell>
          <cell r="E3021">
            <v>42.899999999999991</v>
          </cell>
          <cell r="F3021">
            <v>49.763999999999989</v>
          </cell>
        </row>
        <row r="3022">
          <cell r="A3022">
            <v>3018</v>
          </cell>
          <cell r="B3022" t="str">
            <v xml:space="preserve">7502223520073   </v>
          </cell>
          <cell r="C3022" t="str">
            <v xml:space="preserve">POSTER FEELINGS                         </v>
          </cell>
          <cell r="D3022" t="str">
            <v>TEACH</v>
          </cell>
          <cell r="E3022">
            <v>42.899999999999991</v>
          </cell>
          <cell r="F3022">
            <v>49.763999999999989</v>
          </cell>
        </row>
        <row r="3023">
          <cell r="A3023">
            <v>3019</v>
          </cell>
          <cell r="B3023" t="str">
            <v xml:space="preserve">7502223520080   </v>
          </cell>
          <cell r="C3023" t="str">
            <v xml:space="preserve">POSTER ESTADOS DE ANIMO                 </v>
          </cell>
          <cell r="D3023" t="str">
            <v>TEACH</v>
          </cell>
          <cell r="E3023">
            <v>42.899999999999991</v>
          </cell>
          <cell r="F3023">
            <v>49.763999999999989</v>
          </cell>
        </row>
        <row r="3024">
          <cell r="A3024">
            <v>3020</v>
          </cell>
          <cell r="B3024" t="str">
            <v xml:space="preserve">7502223520097   </v>
          </cell>
          <cell r="C3024" t="str">
            <v xml:space="preserve">POSTER THE WEATHER                      </v>
          </cell>
          <cell r="D3024" t="str">
            <v>TEACH</v>
          </cell>
          <cell r="E3024">
            <v>42.899999999999991</v>
          </cell>
          <cell r="F3024">
            <v>49.763999999999989</v>
          </cell>
        </row>
        <row r="3025">
          <cell r="A3025">
            <v>3021</v>
          </cell>
          <cell r="B3025" t="str">
            <v xml:space="preserve">7502223520103   </v>
          </cell>
          <cell r="C3025" t="str">
            <v xml:space="preserve">POSTER CLOTHES                          </v>
          </cell>
          <cell r="D3025" t="str">
            <v>TEACH</v>
          </cell>
          <cell r="E3025">
            <v>42.899999999999991</v>
          </cell>
          <cell r="F3025">
            <v>49.763999999999989</v>
          </cell>
        </row>
        <row r="3026">
          <cell r="A3026">
            <v>3022</v>
          </cell>
          <cell r="B3026" t="str">
            <v xml:space="preserve">7502223520110   </v>
          </cell>
          <cell r="C3026" t="str">
            <v xml:space="preserve">POSTER SOLAR SYSTEM                     </v>
          </cell>
          <cell r="D3026" t="str">
            <v>TEACH</v>
          </cell>
          <cell r="E3026">
            <v>42.899999999999991</v>
          </cell>
          <cell r="F3026">
            <v>49.763999999999989</v>
          </cell>
        </row>
        <row r="3027">
          <cell r="A3027">
            <v>3023</v>
          </cell>
          <cell r="B3027" t="str">
            <v xml:space="preserve">7502223520127   </v>
          </cell>
          <cell r="C3027" t="str">
            <v xml:space="preserve">POSTER THE COLORS                       </v>
          </cell>
          <cell r="D3027" t="str">
            <v>TEACH</v>
          </cell>
          <cell r="E3027">
            <v>42.899999999999991</v>
          </cell>
          <cell r="F3027">
            <v>49.763999999999989</v>
          </cell>
        </row>
        <row r="3028">
          <cell r="A3028">
            <v>3024</v>
          </cell>
          <cell r="B3028" t="str">
            <v xml:space="preserve">7502223520134   </v>
          </cell>
          <cell r="C3028" t="str">
            <v xml:space="preserve">POSTER TABLAS DE MULTIPLICAR            </v>
          </cell>
          <cell r="D3028" t="str">
            <v>TEACH</v>
          </cell>
          <cell r="E3028">
            <v>42.899999999999991</v>
          </cell>
          <cell r="F3028">
            <v>49.763999999999989</v>
          </cell>
        </row>
        <row r="3029">
          <cell r="A3029">
            <v>3025</v>
          </cell>
          <cell r="B3029" t="str">
            <v xml:space="preserve">7502223520141   </v>
          </cell>
          <cell r="C3029" t="str">
            <v xml:space="preserve">POSTER VERBOS 1                         </v>
          </cell>
          <cell r="D3029" t="str">
            <v>TEACH</v>
          </cell>
          <cell r="E3029">
            <v>42.899999999999991</v>
          </cell>
          <cell r="F3029">
            <v>49.763999999999989</v>
          </cell>
        </row>
        <row r="3030">
          <cell r="A3030">
            <v>3026</v>
          </cell>
          <cell r="B3030" t="str">
            <v xml:space="preserve">7502223520158   </v>
          </cell>
          <cell r="C3030" t="str">
            <v xml:space="preserve">POSTER VERBOS 2                         </v>
          </cell>
          <cell r="D3030" t="str">
            <v>TEACH</v>
          </cell>
          <cell r="E3030">
            <v>42.899999999999991</v>
          </cell>
          <cell r="F3030">
            <v>49.763999999999989</v>
          </cell>
        </row>
        <row r="3031">
          <cell r="A3031">
            <v>3027</v>
          </cell>
          <cell r="B3031" t="str">
            <v xml:space="preserve">7502223520165   </v>
          </cell>
          <cell r="C3031" t="str">
            <v xml:space="preserve">POSTER VERBOS 3                         </v>
          </cell>
          <cell r="D3031" t="str">
            <v>TEACH</v>
          </cell>
          <cell r="E3031">
            <v>42.899999999999991</v>
          </cell>
          <cell r="F3031">
            <v>49.763999999999989</v>
          </cell>
        </row>
        <row r="3032">
          <cell r="A3032">
            <v>3028</v>
          </cell>
          <cell r="B3032" t="str">
            <v xml:space="preserve">7502223520172   </v>
          </cell>
          <cell r="C3032" t="str">
            <v xml:space="preserve">POSTER  FRUTIS                          </v>
          </cell>
          <cell r="D3032" t="str">
            <v>TEACH</v>
          </cell>
          <cell r="E3032">
            <v>42.899999999999991</v>
          </cell>
          <cell r="F3032">
            <v>49.763999999999989</v>
          </cell>
        </row>
        <row r="3033">
          <cell r="A3033">
            <v>3029</v>
          </cell>
          <cell r="B3033" t="str">
            <v xml:space="preserve">7502223520189   </v>
          </cell>
          <cell r="C3033" t="str">
            <v xml:space="preserve">POSTER  VEGETABLES (DPT-23)             </v>
          </cell>
          <cell r="D3033" t="str">
            <v>TEACH</v>
          </cell>
          <cell r="E3033">
            <v>42.899999999999991</v>
          </cell>
          <cell r="F3033">
            <v>49.763999999999989</v>
          </cell>
        </row>
        <row r="3034">
          <cell r="A3034">
            <v>3030</v>
          </cell>
          <cell r="B3034" t="str">
            <v xml:space="preserve">7502223520196   </v>
          </cell>
          <cell r="C3034" t="str">
            <v xml:space="preserve">POSTER  POLITICO                        </v>
          </cell>
          <cell r="D3034" t="str">
            <v>TEACH</v>
          </cell>
          <cell r="E3034">
            <v>42.899999999999991</v>
          </cell>
          <cell r="F3034">
            <v>49.763999999999989</v>
          </cell>
        </row>
        <row r="3035">
          <cell r="A3035">
            <v>3031</v>
          </cell>
          <cell r="B3035" t="str">
            <v xml:space="preserve">7502223520202   </v>
          </cell>
          <cell r="C3035" t="str">
            <v xml:space="preserve">POSTER  WORLD                           </v>
          </cell>
          <cell r="D3035" t="str">
            <v>TEACH</v>
          </cell>
          <cell r="E3035">
            <v>42.899999999999991</v>
          </cell>
          <cell r="F3035">
            <v>49.763999999999989</v>
          </cell>
        </row>
        <row r="3036">
          <cell r="A3036">
            <v>3032</v>
          </cell>
          <cell r="B3036" t="str">
            <v xml:space="preserve">7502223520219   </v>
          </cell>
          <cell r="C3036" t="str">
            <v xml:space="preserve">POSTER FARM ANIMALS (DTP-24)            </v>
          </cell>
          <cell r="D3036" t="str">
            <v>TEACH</v>
          </cell>
          <cell r="E3036">
            <v>42.899999999999991</v>
          </cell>
          <cell r="F3036">
            <v>49.763999999999989</v>
          </cell>
        </row>
        <row r="3037">
          <cell r="A3037">
            <v>3033</v>
          </cell>
          <cell r="B3037" t="str">
            <v xml:space="preserve">7502223520226   </v>
          </cell>
          <cell r="C3037" t="str">
            <v xml:space="preserve">POSTER  MARINE WORLD (DTP-25)           </v>
          </cell>
          <cell r="D3037" t="str">
            <v>TEACH</v>
          </cell>
          <cell r="E3037">
            <v>42.899999999999991</v>
          </cell>
          <cell r="F3037">
            <v>49.763999999999989</v>
          </cell>
        </row>
        <row r="3038">
          <cell r="A3038">
            <v>3034</v>
          </cell>
          <cell r="B3038" t="str">
            <v xml:space="preserve">7502223520233   </v>
          </cell>
          <cell r="C3038" t="str">
            <v xml:space="preserve">POSTER FAMILY TREE                      </v>
          </cell>
          <cell r="D3038" t="str">
            <v>TEACH</v>
          </cell>
          <cell r="E3038">
            <v>42.899999999999991</v>
          </cell>
          <cell r="F3038">
            <v>49.763999999999989</v>
          </cell>
        </row>
        <row r="3039">
          <cell r="A3039">
            <v>3035</v>
          </cell>
          <cell r="B3039" t="str">
            <v xml:space="preserve">7502223520240   </v>
          </cell>
          <cell r="C3039" t="str">
            <v xml:space="preserve">POSTER LETRA SCRIPT                     </v>
          </cell>
          <cell r="D3039" t="str">
            <v>TEACH</v>
          </cell>
          <cell r="E3039">
            <v>42.899999999999991</v>
          </cell>
          <cell r="F3039">
            <v>49.763999999999989</v>
          </cell>
        </row>
        <row r="3040">
          <cell r="A3040">
            <v>3036</v>
          </cell>
          <cell r="B3040" t="str">
            <v xml:space="preserve">7502223520257   </v>
          </cell>
          <cell r="C3040" t="str">
            <v xml:space="preserve">POSTER THE BODY PARTS                   </v>
          </cell>
          <cell r="D3040" t="str">
            <v>TEACH</v>
          </cell>
          <cell r="E3040">
            <v>42.899999999999991</v>
          </cell>
          <cell r="F3040">
            <v>49.763999999999989</v>
          </cell>
        </row>
        <row r="3041">
          <cell r="A3041">
            <v>3037</v>
          </cell>
          <cell r="B3041" t="str">
            <v xml:space="preserve">7502223520288   </v>
          </cell>
          <cell r="C3041" t="str">
            <v xml:space="preserve">POSTER OPPOSITES 1                      </v>
          </cell>
          <cell r="D3041" t="str">
            <v>TEACH</v>
          </cell>
          <cell r="E3041">
            <v>42.899999999999991</v>
          </cell>
          <cell r="F3041">
            <v>49.763999999999989</v>
          </cell>
        </row>
        <row r="3042">
          <cell r="A3042">
            <v>3038</v>
          </cell>
          <cell r="B3042" t="str">
            <v xml:space="preserve">7502223520295   </v>
          </cell>
          <cell r="C3042" t="str">
            <v xml:space="preserve">POSTER OPPOSITES 2                      </v>
          </cell>
          <cell r="D3042" t="str">
            <v>TEACH</v>
          </cell>
          <cell r="E3042">
            <v>42.899999999999991</v>
          </cell>
          <cell r="F3042">
            <v>49.763999999999989</v>
          </cell>
        </row>
        <row r="3043">
          <cell r="A3043">
            <v>3039</v>
          </cell>
          <cell r="B3043" t="str">
            <v xml:space="preserve">7502223520301   </v>
          </cell>
          <cell r="C3043" t="str">
            <v xml:space="preserve">POSTER DAYS OF THE WEEK                 </v>
          </cell>
          <cell r="D3043" t="str">
            <v>TEACH</v>
          </cell>
          <cell r="E3043">
            <v>42.899999999999991</v>
          </cell>
          <cell r="F3043">
            <v>49.763999999999989</v>
          </cell>
        </row>
        <row r="3044">
          <cell r="A3044">
            <v>3040</v>
          </cell>
          <cell r="B3044" t="str">
            <v xml:space="preserve">7502223520318   </v>
          </cell>
          <cell r="C3044" t="str">
            <v xml:space="preserve">POSTER SASONS OF THE YEAR               </v>
          </cell>
          <cell r="D3044" t="str">
            <v>TEACH</v>
          </cell>
          <cell r="E3044">
            <v>42.899999999999991</v>
          </cell>
          <cell r="F3044">
            <v>49.763999999999989</v>
          </cell>
        </row>
        <row r="3045">
          <cell r="A3045">
            <v>3041</v>
          </cell>
          <cell r="B3045" t="str">
            <v xml:space="preserve">7502223520325   </v>
          </cell>
          <cell r="C3045" t="str">
            <v xml:space="preserve">POSTER THE CALENDAR                     </v>
          </cell>
          <cell r="D3045" t="str">
            <v>TEACH</v>
          </cell>
          <cell r="E3045">
            <v>42.899999999999991</v>
          </cell>
          <cell r="F3045">
            <v>49.763999999999989</v>
          </cell>
        </row>
        <row r="3046">
          <cell r="A3046">
            <v>3042</v>
          </cell>
          <cell r="B3046" t="str">
            <v xml:space="preserve">7502223520332   </v>
          </cell>
          <cell r="C3046" t="str">
            <v xml:space="preserve">POSTER VOWELS                           </v>
          </cell>
          <cell r="D3046" t="str">
            <v>TEACH</v>
          </cell>
          <cell r="E3046">
            <v>42.899999999999991</v>
          </cell>
          <cell r="F3046">
            <v>49.763999999999989</v>
          </cell>
        </row>
        <row r="3047">
          <cell r="A3047">
            <v>3043</v>
          </cell>
          <cell r="B3047" t="str">
            <v xml:space="preserve">7502223520356   </v>
          </cell>
          <cell r="C3047" t="str">
            <v xml:space="preserve">POSTER JOBS AND OCCUPATIONS 1           </v>
          </cell>
          <cell r="D3047" t="str">
            <v>TEACH</v>
          </cell>
          <cell r="E3047">
            <v>57.749999999999986</v>
          </cell>
          <cell r="F3047">
            <v>66.989999999999981</v>
          </cell>
        </row>
        <row r="3048">
          <cell r="A3048">
            <v>3044</v>
          </cell>
          <cell r="B3048" t="str">
            <v xml:space="preserve">7502223520363   </v>
          </cell>
          <cell r="C3048" t="str">
            <v xml:space="preserve">POSTER JOBS AND OCCUPATIONS 2           </v>
          </cell>
          <cell r="D3048" t="str">
            <v>TEACH</v>
          </cell>
          <cell r="E3048">
            <v>57.749999999999986</v>
          </cell>
          <cell r="F3048">
            <v>66.989999999999981</v>
          </cell>
        </row>
        <row r="3049">
          <cell r="A3049">
            <v>3045</v>
          </cell>
          <cell r="B3049" t="str">
            <v xml:space="preserve">7502223523005   </v>
          </cell>
          <cell r="C3049" t="str">
            <v xml:space="preserve">DOMINO NUMBERS (4X8 CMS)                </v>
          </cell>
          <cell r="D3049" t="str">
            <v>TEACH</v>
          </cell>
          <cell r="E3049">
            <v>257.39999999999998</v>
          </cell>
          <cell r="F3049">
            <v>298.58399999999995</v>
          </cell>
        </row>
        <row r="3050">
          <cell r="A3050">
            <v>3046</v>
          </cell>
          <cell r="B3050" t="str">
            <v xml:space="preserve">7502223523012   </v>
          </cell>
          <cell r="C3050" t="str">
            <v xml:space="preserve">DOMINO COLORS (4X8 CMS)                 </v>
          </cell>
          <cell r="D3050" t="str">
            <v>TEACH</v>
          </cell>
          <cell r="E3050">
            <v>257.39999999999998</v>
          </cell>
          <cell r="F3050">
            <v>298.58399999999995</v>
          </cell>
        </row>
        <row r="3051">
          <cell r="A3051">
            <v>3047</v>
          </cell>
          <cell r="B3051" t="str">
            <v xml:space="preserve">7502223523203   </v>
          </cell>
          <cell r="C3051" t="str">
            <v xml:space="preserve">MEMORAMA COLORS (8X8 CMS)               </v>
          </cell>
          <cell r="D3051" t="str">
            <v>TEACH</v>
          </cell>
          <cell r="E3051">
            <v>165</v>
          </cell>
          <cell r="F3051">
            <v>191.39999999999998</v>
          </cell>
        </row>
        <row r="3052">
          <cell r="A3052">
            <v>3048</v>
          </cell>
          <cell r="B3052" t="str">
            <v xml:space="preserve">7502223523210   </v>
          </cell>
          <cell r="C3052" t="str">
            <v xml:space="preserve">MEMORAMA TRANSPORTES (8x8 CMS)          </v>
          </cell>
          <cell r="D3052" t="str">
            <v>TEACH</v>
          </cell>
          <cell r="E3052">
            <v>143.54999999999998</v>
          </cell>
          <cell r="F3052">
            <v>166.51799999999997</v>
          </cell>
        </row>
        <row r="3053">
          <cell r="A3053">
            <v>3049</v>
          </cell>
          <cell r="B3053" t="str">
            <v xml:space="preserve">7502223525016   </v>
          </cell>
          <cell r="C3053" t="str">
            <v xml:space="preserve">LOTERIA ENGLISH VERBS 1                 </v>
          </cell>
          <cell r="D3053" t="str">
            <v>TEACH</v>
          </cell>
          <cell r="E3053">
            <v>163.34999999999997</v>
          </cell>
          <cell r="F3053">
            <v>189.48599999999996</v>
          </cell>
        </row>
        <row r="3054">
          <cell r="A3054">
            <v>3050</v>
          </cell>
          <cell r="B3054" t="str">
            <v xml:space="preserve">7502223525023   </v>
          </cell>
          <cell r="C3054" t="str">
            <v xml:space="preserve">LOTERIA FRUITS AND VEGETABLES           </v>
          </cell>
          <cell r="D3054" t="str">
            <v>TEACH</v>
          </cell>
          <cell r="E3054">
            <v>163.34999999999997</v>
          </cell>
          <cell r="F3054">
            <v>189.48599999999996</v>
          </cell>
        </row>
        <row r="3055">
          <cell r="A3055">
            <v>3051</v>
          </cell>
          <cell r="B3055" t="str">
            <v xml:space="preserve">7502223525030   </v>
          </cell>
          <cell r="C3055" t="str">
            <v xml:space="preserve">LOTERIA ANIMALS 1                       </v>
          </cell>
          <cell r="D3055" t="str">
            <v>TEACH</v>
          </cell>
          <cell r="E3055">
            <v>163.34999999999997</v>
          </cell>
          <cell r="F3055">
            <v>189.48599999999996</v>
          </cell>
        </row>
        <row r="3056">
          <cell r="A3056">
            <v>3052</v>
          </cell>
          <cell r="B3056" t="str">
            <v xml:space="preserve">7502223525047   </v>
          </cell>
          <cell r="C3056" t="str">
            <v xml:space="preserve">LOTERIA ANIMALS 2                       </v>
          </cell>
          <cell r="D3056" t="str">
            <v>TEACH</v>
          </cell>
          <cell r="E3056">
            <v>163.34999999999997</v>
          </cell>
          <cell r="F3056">
            <v>189.48599999999996</v>
          </cell>
        </row>
        <row r="3057">
          <cell r="A3057">
            <v>3053</v>
          </cell>
          <cell r="B3057" t="str">
            <v xml:space="preserve">7502223525054   </v>
          </cell>
          <cell r="C3057" t="str">
            <v xml:space="preserve">LOTERIA PRESCHOOL 1                     </v>
          </cell>
          <cell r="D3057" t="str">
            <v>TEACH</v>
          </cell>
          <cell r="E3057">
            <v>145.19999999999999</v>
          </cell>
          <cell r="F3057">
            <v>168.43199999999999</v>
          </cell>
        </row>
        <row r="3058">
          <cell r="A3058">
            <v>3054</v>
          </cell>
          <cell r="B3058" t="str">
            <v xml:space="preserve">7502223525061   </v>
          </cell>
          <cell r="C3058" t="str">
            <v xml:space="preserve">LOTERIA PRESCHOOL 2                     </v>
          </cell>
          <cell r="D3058" t="str">
            <v>TEACH</v>
          </cell>
          <cell r="E3058">
            <v>145.19999999999999</v>
          </cell>
          <cell r="F3058">
            <v>168.43199999999999</v>
          </cell>
        </row>
        <row r="3059">
          <cell r="A3059">
            <v>3055</v>
          </cell>
          <cell r="B3059" t="str">
            <v xml:space="preserve">7502223526013   </v>
          </cell>
          <cell r="C3059" t="str">
            <v xml:space="preserve">MEMORAMA ENGLISH VERBS 1                </v>
          </cell>
          <cell r="D3059" t="str">
            <v>TEACH</v>
          </cell>
          <cell r="E3059">
            <v>80.849999999999994</v>
          </cell>
          <cell r="F3059">
            <v>93.785999999999987</v>
          </cell>
        </row>
        <row r="3060">
          <cell r="A3060">
            <v>3056</v>
          </cell>
          <cell r="B3060" t="str">
            <v xml:space="preserve">7502223526020   </v>
          </cell>
          <cell r="C3060" t="str">
            <v xml:space="preserve">MEMORAMA ENGLISH VERBS 2                </v>
          </cell>
          <cell r="D3060" t="str">
            <v>TEACH</v>
          </cell>
          <cell r="E3060">
            <v>80.849999999999994</v>
          </cell>
          <cell r="F3060">
            <v>93.785999999999987</v>
          </cell>
        </row>
        <row r="3061">
          <cell r="A3061">
            <v>3057</v>
          </cell>
          <cell r="B3061" t="str">
            <v xml:space="preserve">7502223526037   </v>
          </cell>
          <cell r="C3061" t="str">
            <v xml:space="preserve">MEMORAMA ENGLISH VERBS 3                </v>
          </cell>
          <cell r="D3061" t="str">
            <v>TEACH</v>
          </cell>
          <cell r="E3061">
            <v>80.849999999999994</v>
          </cell>
          <cell r="F3061">
            <v>93.785999999999987</v>
          </cell>
        </row>
        <row r="3062">
          <cell r="A3062">
            <v>3058</v>
          </cell>
          <cell r="B3062" t="str">
            <v xml:space="preserve">7502223526051   </v>
          </cell>
          <cell r="C3062" t="str">
            <v xml:space="preserve">MEMORAMA FRUITS                         </v>
          </cell>
          <cell r="D3062" t="str">
            <v>TEACH</v>
          </cell>
          <cell r="E3062">
            <v>80.849999999999994</v>
          </cell>
          <cell r="F3062">
            <v>93.785999999999987</v>
          </cell>
        </row>
        <row r="3063">
          <cell r="A3063">
            <v>3059</v>
          </cell>
          <cell r="B3063" t="str">
            <v xml:space="preserve">7502223526068   </v>
          </cell>
          <cell r="C3063" t="str">
            <v xml:space="preserve">MEMORAMA VEGETABLES                     </v>
          </cell>
          <cell r="D3063" t="str">
            <v>TEACH</v>
          </cell>
          <cell r="E3063">
            <v>80.849999999999994</v>
          </cell>
          <cell r="F3063">
            <v>93.785999999999987</v>
          </cell>
        </row>
        <row r="3064">
          <cell r="A3064">
            <v>3060</v>
          </cell>
          <cell r="B3064" t="str">
            <v xml:space="preserve">7502223526075   </v>
          </cell>
          <cell r="C3064" t="str">
            <v xml:space="preserve">MEMORAMA WILD ANIMALS 1                 </v>
          </cell>
          <cell r="D3064" t="str">
            <v>TEACH</v>
          </cell>
          <cell r="E3064">
            <v>80.849999999999994</v>
          </cell>
          <cell r="F3064">
            <v>93.785999999999987</v>
          </cell>
        </row>
        <row r="3065">
          <cell r="A3065">
            <v>3061</v>
          </cell>
          <cell r="B3065" t="str">
            <v xml:space="preserve">7502223526082   </v>
          </cell>
          <cell r="C3065" t="str">
            <v xml:space="preserve">MEMORAMA WILD ANIMALS 2                 </v>
          </cell>
          <cell r="D3065" t="str">
            <v>TEACH</v>
          </cell>
          <cell r="E3065">
            <v>80.849999999999994</v>
          </cell>
          <cell r="F3065">
            <v>93.785999999999987</v>
          </cell>
        </row>
        <row r="3066">
          <cell r="A3066">
            <v>3062</v>
          </cell>
          <cell r="B3066" t="str">
            <v xml:space="preserve">7502223526099   </v>
          </cell>
          <cell r="C3066" t="str">
            <v xml:space="preserve">MEMORAMA MARINE WORLD                   </v>
          </cell>
          <cell r="D3066" t="str">
            <v>TEACH</v>
          </cell>
          <cell r="E3066">
            <v>80.849999999999994</v>
          </cell>
          <cell r="F3066">
            <v>93.785999999999987</v>
          </cell>
        </row>
        <row r="3067">
          <cell r="A3067">
            <v>3063</v>
          </cell>
          <cell r="B3067" t="str">
            <v xml:space="preserve">7502223526105   </v>
          </cell>
          <cell r="C3067" t="str">
            <v xml:space="preserve">MEMORAMA DOMESTIC ANIMALS               </v>
          </cell>
          <cell r="D3067" t="str">
            <v>TEACH</v>
          </cell>
          <cell r="E3067">
            <v>80.849999999999994</v>
          </cell>
          <cell r="F3067">
            <v>93.785999999999987</v>
          </cell>
        </row>
        <row r="3068">
          <cell r="A3068">
            <v>3064</v>
          </cell>
          <cell r="B3068" t="str">
            <v xml:space="preserve">7502223526112   </v>
          </cell>
          <cell r="C3068" t="str">
            <v xml:space="preserve">MEMORAMA PRESCHOOL 1                    </v>
          </cell>
          <cell r="D3068" t="str">
            <v>TEACH</v>
          </cell>
          <cell r="E3068">
            <v>80.849999999999994</v>
          </cell>
          <cell r="F3068">
            <v>93.785999999999987</v>
          </cell>
        </row>
        <row r="3069">
          <cell r="A3069">
            <v>3065</v>
          </cell>
          <cell r="B3069" t="str">
            <v xml:space="preserve">7502223526129   </v>
          </cell>
          <cell r="C3069" t="str">
            <v xml:space="preserve">MEMORAMA PRESCHOOL 2                    </v>
          </cell>
          <cell r="D3069" t="str">
            <v>TEACH</v>
          </cell>
          <cell r="E3069">
            <v>80.849999999999994</v>
          </cell>
          <cell r="F3069">
            <v>93.785999999999987</v>
          </cell>
        </row>
        <row r="3070">
          <cell r="A3070">
            <v>3066</v>
          </cell>
          <cell r="B3070" t="str">
            <v xml:space="preserve">7502223527010   </v>
          </cell>
          <cell r="C3070" t="str">
            <v xml:space="preserve">FLASH CARDS OF ENGLISH VERBS            </v>
          </cell>
          <cell r="D3070" t="str">
            <v>TEACH</v>
          </cell>
          <cell r="E3070">
            <v>280.49999999999994</v>
          </cell>
          <cell r="F3070">
            <v>325.37999999999994</v>
          </cell>
        </row>
        <row r="3071">
          <cell r="A3071">
            <v>3067</v>
          </cell>
          <cell r="B3071" t="str">
            <v xml:space="preserve">7502223527027   </v>
          </cell>
          <cell r="C3071" t="str">
            <v xml:space="preserve">FLASH CARDS FRUITS AN VEGETABLES        </v>
          </cell>
          <cell r="D3071" t="str">
            <v>TEACH</v>
          </cell>
          <cell r="E3071">
            <v>191.4</v>
          </cell>
          <cell r="F3071">
            <v>222.024</v>
          </cell>
        </row>
        <row r="3072">
          <cell r="A3072">
            <v>3068</v>
          </cell>
          <cell r="B3072" t="str">
            <v xml:space="preserve">7502223527058   </v>
          </cell>
          <cell r="C3072" t="str">
            <v xml:space="preserve">FLASH CARDS PRESCHOOL                   </v>
          </cell>
          <cell r="D3072" t="str">
            <v>TEACH</v>
          </cell>
          <cell r="E3072">
            <v>169.95</v>
          </cell>
          <cell r="F3072">
            <v>197.14199999999997</v>
          </cell>
        </row>
        <row r="3073">
          <cell r="A3073">
            <v>3069</v>
          </cell>
          <cell r="B3073" t="str">
            <v xml:space="preserve">7502223528017   </v>
          </cell>
          <cell r="C3073" t="str">
            <v xml:space="preserve">TABLA DE VERBOS 7 COLUMNAS              </v>
          </cell>
          <cell r="D3073" t="str">
            <v>TEACH</v>
          </cell>
          <cell r="E3073">
            <v>16.5</v>
          </cell>
          <cell r="F3073">
            <v>19.139999999999997</v>
          </cell>
        </row>
        <row r="3074">
          <cell r="A3074">
            <v>3070</v>
          </cell>
          <cell r="B3074" t="str">
            <v xml:space="preserve">7502223528024   </v>
          </cell>
          <cell r="C3074" t="str">
            <v xml:space="preserve">TABLA DE VERBOS 3 COLUMNAS              </v>
          </cell>
          <cell r="D3074" t="str">
            <v>TEACH</v>
          </cell>
          <cell r="E3074">
            <v>16.5</v>
          </cell>
          <cell r="F3074">
            <v>19.139999999999997</v>
          </cell>
        </row>
        <row r="3075">
          <cell r="A3075">
            <v>3071</v>
          </cell>
          <cell r="B3075" t="str">
            <v xml:space="preserve">75002244160036  </v>
          </cell>
          <cell r="C3075" t="str">
            <v>T003 LOS NUMEROS DEL -20 (ESPAÑOL-INGLES</v>
          </cell>
          <cell r="D3075" t="str">
            <v>TOTTE</v>
          </cell>
          <cell r="E3075">
            <v>82.5</v>
          </cell>
          <cell r="F3075">
            <v>95.699999999999989</v>
          </cell>
        </row>
        <row r="3076">
          <cell r="A3076">
            <v>3072</v>
          </cell>
          <cell r="B3076" t="str">
            <v xml:space="preserve">7502244160012   </v>
          </cell>
          <cell r="C3076" t="str">
            <v xml:space="preserve">T001 LAS VOCALES                        </v>
          </cell>
          <cell r="D3076" t="str">
            <v>TOTTE</v>
          </cell>
          <cell r="E3076">
            <v>82.5</v>
          </cell>
          <cell r="F3076">
            <v>95.699999999999989</v>
          </cell>
        </row>
        <row r="3077">
          <cell r="A3077">
            <v>3073</v>
          </cell>
          <cell r="B3077" t="str">
            <v xml:space="preserve">7502244160029   </v>
          </cell>
          <cell r="C3077" t="str">
            <v xml:space="preserve">T002 EL ABECEDARIO (ESPAÑOL-INGLES)     </v>
          </cell>
          <cell r="D3077" t="str">
            <v>TOTTE</v>
          </cell>
          <cell r="E3077">
            <v>82.5</v>
          </cell>
          <cell r="F3077">
            <v>95.699999999999989</v>
          </cell>
        </row>
        <row r="3078">
          <cell r="A3078">
            <v>3074</v>
          </cell>
          <cell r="B3078" t="str">
            <v xml:space="preserve">7502244160036   </v>
          </cell>
          <cell r="C3078" t="str">
            <v>T003 LOS NUMEROS DEL 1-20 (ESPAÑOL-INGLE</v>
          </cell>
          <cell r="D3078" t="str">
            <v>TOTTE</v>
          </cell>
          <cell r="E3078">
            <v>82.5</v>
          </cell>
          <cell r="F3078">
            <v>95.699999999999989</v>
          </cell>
        </row>
        <row r="3079">
          <cell r="A3079">
            <v>3075</v>
          </cell>
          <cell r="B3079" t="str">
            <v xml:space="preserve">7502244160043   </v>
          </cell>
          <cell r="C3079" t="str">
            <v xml:space="preserve">T004 LOS COLORES                        </v>
          </cell>
          <cell r="D3079" t="str">
            <v>TOTTE</v>
          </cell>
          <cell r="E3079">
            <v>82.5</v>
          </cell>
          <cell r="F3079">
            <v>95.699999999999989</v>
          </cell>
        </row>
        <row r="3080">
          <cell r="A3080">
            <v>3076</v>
          </cell>
          <cell r="B3080" t="str">
            <v xml:space="preserve">7502244160050   </v>
          </cell>
          <cell r="C3080" t="str">
            <v xml:space="preserve">T005 LAS FORMAS (ESPAÑOL-INGLES)        </v>
          </cell>
          <cell r="D3080" t="str">
            <v>TOTTE</v>
          </cell>
          <cell r="E3080">
            <v>82.5</v>
          </cell>
          <cell r="F3080">
            <v>95.699999999999989</v>
          </cell>
        </row>
        <row r="3081">
          <cell r="A3081">
            <v>3077</v>
          </cell>
          <cell r="B3081" t="str">
            <v xml:space="preserve">7502244160302   </v>
          </cell>
          <cell r="C3081" t="str">
            <v xml:space="preserve">T030 SUMANDO Y RESTANDO                 </v>
          </cell>
          <cell r="D3081" t="str">
            <v>TOTTE</v>
          </cell>
          <cell r="E3081">
            <v>141.9</v>
          </cell>
          <cell r="F3081">
            <v>164.60399999999998</v>
          </cell>
        </row>
        <row r="3082">
          <cell r="A3082">
            <v>3078</v>
          </cell>
          <cell r="B3082" t="str">
            <v xml:space="preserve">7502244160319   </v>
          </cell>
          <cell r="C3082" t="str">
            <v xml:space="preserve">T031 MULTIPLICANDO                      </v>
          </cell>
          <cell r="D3082" t="str">
            <v>TOTTE</v>
          </cell>
          <cell r="E3082">
            <v>141.9</v>
          </cell>
          <cell r="F3082">
            <v>164.60399999999998</v>
          </cell>
        </row>
        <row r="3083">
          <cell r="A3083">
            <v>3079</v>
          </cell>
          <cell r="B3083" t="str">
            <v xml:space="preserve">7502244160401   </v>
          </cell>
          <cell r="C3083" t="str">
            <v xml:space="preserve">T040 LOS TRANSPORTES                    </v>
          </cell>
          <cell r="D3083" t="str">
            <v>TOTTE</v>
          </cell>
          <cell r="E3083">
            <v>56.1</v>
          </cell>
          <cell r="F3083">
            <v>65.075999999999993</v>
          </cell>
        </row>
        <row r="3084">
          <cell r="A3084">
            <v>3080</v>
          </cell>
          <cell r="B3084" t="str">
            <v xml:space="preserve">7502244160418   </v>
          </cell>
          <cell r="C3084" t="str">
            <v xml:space="preserve">T041 LAS MASCOTAS                       </v>
          </cell>
          <cell r="D3084" t="str">
            <v>TOTTE</v>
          </cell>
          <cell r="E3084">
            <v>56.1</v>
          </cell>
          <cell r="F3084">
            <v>65.075999999999993</v>
          </cell>
        </row>
        <row r="3085">
          <cell r="A3085">
            <v>3081</v>
          </cell>
          <cell r="B3085" t="str">
            <v xml:space="preserve">7502244160500   </v>
          </cell>
          <cell r="C3085" t="str">
            <v xml:space="preserve">T050 DOMINO DE FRUTAS Y DEPORTES        </v>
          </cell>
          <cell r="D3085" t="str">
            <v>TOTTE</v>
          </cell>
          <cell r="E3085">
            <v>82.5</v>
          </cell>
          <cell r="F3085">
            <v>95.699999999999989</v>
          </cell>
        </row>
        <row r="3086">
          <cell r="A3086">
            <v>3082</v>
          </cell>
          <cell r="B3086" t="str">
            <v xml:space="preserve">7502244160517   </v>
          </cell>
          <cell r="C3086" t="str">
            <v xml:space="preserve">T051 DOMINO DE ANIMALES Y COLORES       </v>
          </cell>
          <cell r="D3086" t="str">
            <v>TOTTE</v>
          </cell>
          <cell r="E3086">
            <v>82.5</v>
          </cell>
          <cell r="F3086">
            <v>95.699999999999989</v>
          </cell>
        </row>
        <row r="3087">
          <cell r="A3087">
            <v>3083</v>
          </cell>
          <cell r="B3087" t="str">
            <v xml:space="preserve">7502244160807   </v>
          </cell>
          <cell r="C3087" t="str">
            <v>T080 MEMORAMA ANIMALES 48 PZAS (ESP-ING)</v>
          </cell>
          <cell r="D3087" t="str">
            <v>TOTTE</v>
          </cell>
          <cell r="E3087">
            <v>82.5</v>
          </cell>
          <cell r="F3087">
            <v>95.699999999999989</v>
          </cell>
        </row>
        <row r="3088">
          <cell r="A3088">
            <v>3084</v>
          </cell>
          <cell r="B3088" t="str">
            <v xml:space="preserve">7502244160814   </v>
          </cell>
          <cell r="C3088" t="str">
            <v>T081 MEMO FORMAS Y COLORES 24 PZAS (E-I)</v>
          </cell>
          <cell r="D3088" t="str">
            <v>TOTTE</v>
          </cell>
          <cell r="E3088">
            <v>82.5</v>
          </cell>
          <cell r="F3088">
            <v>95.699999999999989</v>
          </cell>
        </row>
        <row r="3089">
          <cell r="A3089">
            <v>3085</v>
          </cell>
          <cell r="B3089" t="str">
            <v xml:space="preserve">7502244161002   </v>
          </cell>
          <cell r="C3089" t="str">
            <v xml:space="preserve">T100 LOTTO NUMEROS (ESPAÑOL-INGLES)     </v>
          </cell>
          <cell r="D3089" t="str">
            <v>TOTTE</v>
          </cell>
          <cell r="E3089">
            <v>141.9</v>
          </cell>
          <cell r="F3089">
            <v>164.60399999999998</v>
          </cell>
        </row>
        <row r="3090">
          <cell r="A3090">
            <v>3086</v>
          </cell>
          <cell r="B3090" t="str">
            <v xml:space="preserve">7502244161019   </v>
          </cell>
          <cell r="C3090" t="str">
            <v xml:space="preserve">T101 LOTTO ANIMALES (ESPAÑOL-INGLES)    </v>
          </cell>
          <cell r="D3090" t="str">
            <v>TOTTE</v>
          </cell>
          <cell r="E3090">
            <v>141.9</v>
          </cell>
          <cell r="F3090">
            <v>164.60399999999998</v>
          </cell>
        </row>
        <row r="3091">
          <cell r="A3091">
            <v>3087</v>
          </cell>
          <cell r="B3091" t="str">
            <v xml:space="preserve">7502244161026   </v>
          </cell>
          <cell r="C3091" t="str">
            <v xml:space="preserve">T102 LOTTO PALABRAS (ESPAÑOL-INGLES)    </v>
          </cell>
          <cell r="D3091" t="str">
            <v>TOTTE</v>
          </cell>
          <cell r="E3091">
            <v>141.9</v>
          </cell>
          <cell r="F3091">
            <v>164.60399999999998</v>
          </cell>
        </row>
        <row r="3092">
          <cell r="A3092">
            <v>3088</v>
          </cell>
          <cell r="B3092" t="str">
            <v xml:space="preserve">7502244162009   </v>
          </cell>
          <cell r="C3092" t="str">
            <v>T200 R.C. ANIMALES DE LA GRANJA (ESP-ING</v>
          </cell>
          <cell r="D3092" t="str">
            <v>TOTTE</v>
          </cell>
          <cell r="E3092">
            <v>59.4</v>
          </cell>
          <cell r="F3092">
            <v>68.903999999999996</v>
          </cell>
        </row>
        <row r="3093">
          <cell r="A3093">
            <v>3089</v>
          </cell>
          <cell r="B3093" t="str">
            <v xml:space="preserve">7502244162016   </v>
          </cell>
          <cell r="C3093" t="str">
            <v xml:space="preserve">T201 R.C. ANIMALES DEL MAR (ESP-ING)    </v>
          </cell>
          <cell r="D3093" t="str">
            <v>TOTTE</v>
          </cell>
          <cell r="E3093">
            <v>59.4</v>
          </cell>
          <cell r="F3093">
            <v>68.903999999999996</v>
          </cell>
        </row>
        <row r="3094">
          <cell r="A3094">
            <v>3090</v>
          </cell>
          <cell r="B3094" t="str">
            <v xml:space="preserve">7502244162023   </v>
          </cell>
          <cell r="C3094" t="str">
            <v>T202 R.C. ANIMALES DE LA SELVA (ESP-ING)</v>
          </cell>
          <cell r="D3094" t="str">
            <v>TOTTE</v>
          </cell>
          <cell r="E3094">
            <v>59.4</v>
          </cell>
          <cell r="F3094">
            <v>68.903999999999996</v>
          </cell>
        </row>
        <row r="3095">
          <cell r="A3095">
            <v>3091</v>
          </cell>
          <cell r="B3095" t="str">
            <v xml:space="preserve">7503006234118   </v>
          </cell>
          <cell r="C3095" t="str">
            <v xml:space="preserve">CD. TREPSI VOL. 1 (TRE005)              </v>
          </cell>
          <cell r="D3095" t="str">
            <v>TREPS</v>
          </cell>
          <cell r="E3095">
            <v>150.15</v>
          </cell>
          <cell r="F3095">
            <v>174.17399999999998</v>
          </cell>
        </row>
        <row r="3096">
          <cell r="A3096">
            <v>3092</v>
          </cell>
          <cell r="B3096" t="str">
            <v xml:space="preserve">7503006234125   </v>
          </cell>
          <cell r="C3096" t="str">
            <v xml:space="preserve">CD. TREPSI VOL. 2 (TRE006)              </v>
          </cell>
          <cell r="D3096" t="str">
            <v>TREPS</v>
          </cell>
          <cell r="E3096">
            <v>150.15</v>
          </cell>
          <cell r="F3096">
            <v>174.17399999999998</v>
          </cell>
        </row>
        <row r="3097">
          <cell r="A3097">
            <v>3093</v>
          </cell>
          <cell r="B3097" t="str">
            <v xml:space="preserve">7503006234132   </v>
          </cell>
          <cell r="C3097" t="str">
            <v xml:space="preserve">CD. TREPSI VOL. 3 (TRE007)              </v>
          </cell>
          <cell r="D3097" t="str">
            <v>TREPS</v>
          </cell>
          <cell r="E3097">
            <v>150.15</v>
          </cell>
          <cell r="F3097">
            <v>174.17399999999998</v>
          </cell>
        </row>
        <row r="3098">
          <cell r="A3098">
            <v>3094</v>
          </cell>
          <cell r="B3098" t="str">
            <v xml:space="preserve">7503006234149   </v>
          </cell>
          <cell r="C3098" t="str">
            <v xml:space="preserve">CD. TREPSI VOL. 4 (TRE008)              </v>
          </cell>
          <cell r="D3098" t="str">
            <v>TREPS</v>
          </cell>
          <cell r="E3098">
            <v>150.15</v>
          </cell>
          <cell r="F3098">
            <v>174.17399999999998</v>
          </cell>
        </row>
        <row r="3099">
          <cell r="A3099">
            <v>3095</v>
          </cell>
          <cell r="B3099" t="str">
            <v xml:space="preserve">7503006234156   </v>
          </cell>
          <cell r="C3099" t="str">
            <v xml:space="preserve">CD. TREPSI VOL. 5 (TRE009) LA GRANJA    </v>
          </cell>
          <cell r="D3099" t="str">
            <v>TREPS</v>
          </cell>
          <cell r="E3099">
            <v>150.15</v>
          </cell>
          <cell r="F3099">
            <v>174.17399999999998</v>
          </cell>
        </row>
        <row r="3100">
          <cell r="A3100">
            <v>3096</v>
          </cell>
          <cell r="B3100" t="str">
            <v xml:space="preserve">7503006234163   </v>
          </cell>
          <cell r="C3100" t="str">
            <v xml:space="preserve">CD. TREPSI VOL. 6 (TRE010) LOS COLORES  </v>
          </cell>
          <cell r="D3100" t="str">
            <v>TREPS</v>
          </cell>
          <cell r="E3100">
            <v>150.15</v>
          </cell>
          <cell r="F3100">
            <v>174.17399999999998</v>
          </cell>
        </row>
        <row r="3101">
          <cell r="A3101">
            <v>3097</v>
          </cell>
          <cell r="B3101" t="str">
            <v xml:space="preserve">7503006234170   </v>
          </cell>
          <cell r="C3101" t="str">
            <v xml:space="preserve">CD. TREPSI VOL. 7 (TRE011) LOS TRANSP.  </v>
          </cell>
          <cell r="D3101" t="str">
            <v>TREPS</v>
          </cell>
          <cell r="E3101">
            <v>150.15</v>
          </cell>
          <cell r="F3101">
            <v>174.17399999999998</v>
          </cell>
        </row>
        <row r="3102">
          <cell r="A3102">
            <v>3098</v>
          </cell>
          <cell r="B3102" t="str">
            <v xml:space="preserve">7503006234187   </v>
          </cell>
          <cell r="C3102" t="str">
            <v>CD. TREPSI VOL. 8 (TRE118) FIESTA CUMPL.</v>
          </cell>
          <cell r="D3102" t="str">
            <v>TREPS</v>
          </cell>
          <cell r="E3102">
            <v>150.15</v>
          </cell>
          <cell r="F3102">
            <v>174.17399999999998</v>
          </cell>
        </row>
        <row r="3103">
          <cell r="A3103">
            <v>3099</v>
          </cell>
          <cell r="B3103" t="str">
            <v xml:space="preserve">7503006234309   </v>
          </cell>
          <cell r="C3103" t="str">
            <v xml:space="preserve">DVD LA GRANJA DE TREPSI* (TRE017)       </v>
          </cell>
          <cell r="D3103" t="str">
            <v>TREPS</v>
          </cell>
          <cell r="E3103">
            <v>235.95000000000002</v>
          </cell>
          <cell r="F3103">
            <v>273.702</v>
          </cell>
        </row>
        <row r="3104">
          <cell r="A3104">
            <v>3100</v>
          </cell>
          <cell r="B3104" t="str">
            <v xml:space="preserve">7503006234316   </v>
          </cell>
          <cell r="C3104" t="str">
            <v xml:space="preserve">DVD TREPSI COLORES (TRE018)             </v>
          </cell>
          <cell r="D3104" t="str">
            <v>TREPS</v>
          </cell>
          <cell r="E3104">
            <v>235.95000000000002</v>
          </cell>
          <cell r="F3104">
            <v>273.702</v>
          </cell>
        </row>
        <row r="3105">
          <cell r="A3105">
            <v>3101</v>
          </cell>
          <cell r="B3105" t="str">
            <v xml:space="preserve">7503006234330   </v>
          </cell>
          <cell r="C3105" t="str">
            <v xml:space="preserve">DVD TREPSI LOS TRANSPORTES (TRE020)     </v>
          </cell>
          <cell r="D3105" t="str">
            <v>TREPS</v>
          </cell>
          <cell r="E3105">
            <v>235.95000000000002</v>
          </cell>
          <cell r="F3105">
            <v>273.702</v>
          </cell>
        </row>
        <row r="3106">
          <cell r="A3106">
            <v>3102</v>
          </cell>
          <cell r="B3106" t="str">
            <v xml:space="preserve">7503006234347   </v>
          </cell>
          <cell r="C3106" t="str">
            <v xml:space="preserve">DVD FIESTA DE CUMPLEAÑOS                </v>
          </cell>
          <cell r="D3106" t="str">
            <v>TREPS</v>
          </cell>
          <cell r="E3106">
            <v>235.95000000000002</v>
          </cell>
          <cell r="F3106">
            <v>273.702</v>
          </cell>
        </row>
        <row r="3107">
          <cell r="A3107">
            <v>3103</v>
          </cell>
          <cell r="B3107" t="str">
            <v xml:space="preserve">7503006234354   </v>
          </cell>
          <cell r="C3107" t="str">
            <v>DVD TREPSI Y SUS AM NUNY Y WICHO(TRE125)</v>
          </cell>
          <cell r="D3107" t="str">
            <v>TREPS</v>
          </cell>
          <cell r="E3107">
            <v>235.95000000000002</v>
          </cell>
          <cell r="F3107">
            <v>273.702</v>
          </cell>
        </row>
        <row r="3108">
          <cell r="A3108">
            <v>3104</v>
          </cell>
          <cell r="B3108" t="str">
            <v xml:space="preserve">7503006234446   </v>
          </cell>
          <cell r="C3108" t="str">
            <v xml:space="preserve">BABERO TREPSI (TRE122)                  </v>
          </cell>
          <cell r="D3108" t="str">
            <v>TREPS</v>
          </cell>
          <cell r="E3108">
            <v>188.1</v>
          </cell>
          <cell r="F3108">
            <v>218.19599999999997</v>
          </cell>
        </row>
        <row r="3109">
          <cell r="A3109">
            <v>3105</v>
          </cell>
          <cell r="B3109" t="str">
            <v xml:space="preserve">7503006234460   </v>
          </cell>
          <cell r="C3109" t="str">
            <v xml:space="preserve">PANTUNFLA CHICA (TRE121-1)              </v>
          </cell>
          <cell r="D3109" t="str">
            <v>TREPS</v>
          </cell>
          <cell r="E3109">
            <v>353.09999999999997</v>
          </cell>
          <cell r="F3109">
            <v>409.59599999999995</v>
          </cell>
        </row>
        <row r="3110">
          <cell r="A3110">
            <v>3106</v>
          </cell>
          <cell r="B3110" t="str">
            <v xml:space="preserve">7503006234477   </v>
          </cell>
          <cell r="C3110" t="str">
            <v xml:space="preserve">PANTUNFLA MEDIANA (TRE121-2)I           </v>
          </cell>
          <cell r="D3110" t="str">
            <v>TREPS</v>
          </cell>
          <cell r="E3110">
            <v>353.09999999999997</v>
          </cell>
          <cell r="F3110">
            <v>409.59599999999995</v>
          </cell>
        </row>
        <row r="3111">
          <cell r="A3111">
            <v>3107</v>
          </cell>
          <cell r="B3111" t="str">
            <v xml:space="preserve">7503006234484   </v>
          </cell>
          <cell r="C3111" t="str">
            <v xml:space="preserve">PANTUNFLA GRANDE (TRE121-3)             </v>
          </cell>
          <cell r="D3111" t="str">
            <v>TREPS</v>
          </cell>
          <cell r="E3111">
            <v>377.84999999999997</v>
          </cell>
          <cell r="F3111">
            <v>438.30599999999993</v>
          </cell>
        </row>
        <row r="3112">
          <cell r="A3112">
            <v>3108</v>
          </cell>
          <cell r="B3112" t="str">
            <v xml:space="preserve">7503006234491   </v>
          </cell>
          <cell r="C3112" t="str">
            <v xml:space="preserve">PANTUNFLA EXTRA GRANDE (TRE121-4)       </v>
          </cell>
          <cell r="D3112" t="str">
            <v>TREPS</v>
          </cell>
          <cell r="E3112">
            <v>377.84999999999997</v>
          </cell>
          <cell r="F3112">
            <v>438.30599999999993</v>
          </cell>
        </row>
        <row r="3113">
          <cell r="A3113">
            <v>3109</v>
          </cell>
          <cell r="B3113" t="str">
            <v xml:space="preserve">7503006234507   </v>
          </cell>
          <cell r="C3113" t="str">
            <v xml:space="preserve">MUÑECO TREPSSI (TRE023)                 </v>
          </cell>
          <cell r="D3113" t="str">
            <v>TREPS</v>
          </cell>
          <cell r="E3113">
            <v>259.04999999999995</v>
          </cell>
          <cell r="F3113">
            <v>300.49799999999993</v>
          </cell>
        </row>
        <row r="3114">
          <cell r="A3114">
            <v>3110</v>
          </cell>
          <cell r="B3114" t="str">
            <v xml:space="preserve">7503006234514   </v>
          </cell>
          <cell r="C3114" t="str">
            <v xml:space="preserve">LIBRO TREPSI DE TRANSPORTES (TRE033)    </v>
          </cell>
          <cell r="D3114" t="str">
            <v>TREPS</v>
          </cell>
          <cell r="E3114">
            <v>34.65</v>
          </cell>
          <cell r="F3114">
            <v>40.193999999999996</v>
          </cell>
        </row>
        <row r="3115">
          <cell r="A3115">
            <v>3111</v>
          </cell>
          <cell r="B3115" t="str">
            <v xml:space="preserve">7503006234552   </v>
          </cell>
          <cell r="C3115" t="str">
            <v xml:space="preserve">MUÑECO DE MUSIC TREPSI (TRE025)I        </v>
          </cell>
          <cell r="D3115" t="str">
            <v>TREPS</v>
          </cell>
          <cell r="E3115">
            <v>259.04999999999995</v>
          </cell>
          <cell r="F3115">
            <v>300.49799999999993</v>
          </cell>
        </row>
        <row r="3116">
          <cell r="A3116">
            <v>3112</v>
          </cell>
          <cell r="B3116" t="str">
            <v xml:space="preserve">7503006234569   </v>
          </cell>
          <cell r="C3116" t="str">
            <v xml:space="preserve">SONAJA DE TREPSI (TRE123)               </v>
          </cell>
          <cell r="D3116" t="str">
            <v>TREPS</v>
          </cell>
          <cell r="E3116">
            <v>199.64999999999998</v>
          </cell>
          <cell r="F3116">
            <v>231.59399999999997</v>
          </cell>
        </row>
        <row r="3117">
          <cell r="A3117">
            <v>3113</v>
          </cell>
          <cell r="B3117" t="str">
            <v xml:space="preserve">7503006234705   </v>
          </cell>
          <cell r="C3117" t="str">
            <v xml:space="preserve">CANASTA DE MASITA (TRE039)              </v>
          </cell>
          <cell r="D3117" t="str">
            <v>TREPS</v>
          </cell>
          <cell r="E3117">
            <v>165</v>
          </cell>
          <cell r="F3117">
            <v>191.39999999999998</v>
          </cell>
        </row>
        <row r="3118">
          <cell r="A3118">
            <v>3114</v>
          </cell>
          <cell r="B3118" t="str">
            <v xml:space="preserve">7503006234712   </v>
          </cell>
          <cell r="C3118" t="str">
            <v>CANASTA DE 7 FRUTAS DE PLASTICO (TRE044)</v>
          </cell>
          <cell r="D3118" t="str">
            <v>TREPS</v>
          </cell>
          <cell r="E3118">
            <v>318.45</v>
          </cell>
          <cell r="F3118">
            <v>369.40199999999999</v>
          </cell>
        </row>
        <row r="3119">
          <cell r="A3119">
            <v>3115</v>
          </cell>
          <cell r="B3119" t="str">
            <v xml:space="preserve">7503006234729   </v>
          </cell>
          <cell r="C3119" t="str">
            <v>CANASTA DE 7 VERDURAS DE PLAST. (TRE045)</v>
          </cell>
          <cell r="D3119" t="str">
            <v>TREPS</v>
          </cell>
          <cell r="E3119">
            <v>318.45</v>
          </cell>
          <cell r="F3119">
            <v>369.40199999999999</v>
          </cell>
        </row>
        <row r="3120">
          <cell r="A3120">
            <v>3116</v>
          </cell>
          <cell r="B3120" t="str">
            <v xml:space="preserve">7503006234736   </v>
          </cell>
          <cell r="C3120" t="str">
            <v xml:space="preserve">CANASTA DE PAN DULCE DE PLAST. (TRE041) </v>
          </cell>
          <cell r="D3120" t="str">
            <v>TREPS</v>
          </cell>
          <cell r="E3120">
            <v>295.34999999999997</v>
          </cell>
          <cell r="F3120">
            <v>342.60599999999994</v>
          </cell>
        </row>
        <row r="3121">
          <cell r="A3121">
            <v>3117</v>
          </cell>
          <cell r="B3121" t="str">
            <v xml:space="preserve">7503006234743   </v>
          </cell>
          <cell r="C3121" t="str">
            <v xml:space="preserve">CANASTA GALLETAS (TRE040)               </v>
          </cell>
          <cell r="D3121" t="str">
            <v>TREPS</v>
          </cell>
          <cell r="E3121">
            <v>212.85</v>
          </cell>
          <cell r="F3121">
            <v>246.90599999999998</v>
          </cell>
        </row>
        <row r="3122">
          <cell r="A3122">
            <v>3118</v>
          </cell>
          <cell r="B3122" t="str">
            <v xml:space="preserve">7503006234750   </v>
          </cell>
          <cell r="C3122" t="str">
            <v>HUACAL MUSICAL (5 INSTRUMENTOS) (TRE042)</v>
          </cell>
          <cell r="D3122" t="str">
            <v>TREPS</v>
          </cell>
          <cell r="E3122">
            <v>247.5</v>
          </cell>
          <cell r="F3122">
            <v>287.09999999999997</v>
          </cell>
        </row>
        <row r="3123">
          <cell r="A3123">
            <v>3119</v>
          </cell>
          <cell r="B3123" t="str">
            <v xml:space="preserve">7503006234927   </v>
          </cell>
          <cell r="C3123" t="str">
            <v xml:space="preserve">RODILLO DE ESTIMULACION (TRE120)        </v>
          </cell>
          <cell r="D3123" t="str">
            <v>TREPS</v>
          </cell>
          <cell r="E3123">
            <v>389.4</v>
          </cell>
          <cell r="F3123">
            <v>451.70399999999995</v>
          </cell>
        </row>
        <row r="3124">
          <cell r="A3124">
            <v>3120</v>
          </cell>
          <cell r="B3124" t="str">
            <v xml:space="preserve">VAR05           </v>
          </cell>
          <cell r="C3124" t="str">
            <v xml:space="preserve">PELOTAS 5 1/2                           </v>
          </cell>
          <cell r="D3124" t="str">
            <v>VAR01</v>
          </cell>
          <cell r="E3124">
            <v>8.25</v>
          </cell>
          <cell r="F3124">
            <v>9.5699999999999985</v>
          </cell>
        </row>
        <row r="3125">
          <cell r="A3125">
            <v>3121</v>
          </cell>
          <cell r="B3125" t="str">
            <v xml:space="preserve">VAR05A          </v>
          </cell>
          <cell r="C3125" t="str">
            <v xml:space="preserve">PELOTAS 12 1/2                          </v>
          </cell>
          <cell r="D3125" t="str">
            <v>VAR01</v>
          </cell>
          <cell r="E3125">
            <v>24.75</v>
          </cell>
          <cell r="F3125">
            <v>28.709999999999997</v>
          </cell>
        </row>
        <row r="3126">
          <cell r="A3126">
            <v>3122</v>
          </cell>
          <cell r="B3126" t="str">
            <v xml:space="preserve">VAR06.          </v>
          </cell>
          <cell r="C3126" t="str">
            <v xml:space="preserve">PELOTAS 22 1/2                          </v>
          </cell>
          <cell r="D3126" t="str">
            <v>VAR01</v>
          </cell>
          <cell r="E3126">
            <v>92.399999999999991</v>
          </cell>
          <cell r="F3126">
            <v>107.18399999999998</v>
          </cell>
        </row>
        <row r="3127">
          <cell r="A3127">
            <v>3123</v>
          </cell>
          <cell r="B3127" t="str">
            <v xml:space="preserve">VAR06B          </v>
          </cell>
          <cell r="C3127" t="str">
            <v xml:space="preserve">PELOTA 20                               </v>
          </cell>
          <cell r="D3127" t="str">
            <v>VAR01</v>
          </cell>
          <cell r="E3127">
            <v>92.399999999999991</v>
          </cell>
          <cell r="F3127">
            <v>107.18399999999998</v>
          </cell>
        </row>
        <row r="3128">
          <cell r="A3128">
            <v>3124</v>
          </cell>
          <cell r="B3128" t="str">
            <v xml:space="preserve">06608527        </v>
          </cell>
          <cell r="C3128" t="str">
            <v xml:space="preserve">RELOJ DE ARENA SIN CEPILLO 1Pz          </v>
          </cell>
          <cell r="D3128" t="str">
            <v>VARIO</v>
          </cell>
          <cell r="E3128">
            <v>34.65</v>
          </cell>
          <cell r="F3128">
            <v>40.193999999999996</v>
          </cell>
        </row>
        <row r="3129">
          <cell r="A3129">
            <v>3125</v>
          </cell>
          <cell r="B3129" t="str">
            <v xml:space="preserve">733753003201    </v>
          </cell>
          <cell r="C3129" t="str">
            <v xml:space="preserve">TROMPO DOODLETOP                        </v>
          </cell>
          <cell r="D3129" t="str">
            <v>VARIO</v>
          </cell>
          <cell r="E3129">
            <v>4.9499999999999993</v>
          </cell>
          <cell r="F3129">
            <v>5.7419999999999991</v>
          </cell>
        </row>
        <row r="3130">
          <cell r="A3130">
            <v>3126</v>
          </cell>
          <cell r="B3130" t="str">
            <v xml:space="preserve">734689162116    </v>
          </cell>
          <cell r="C3130" t="str">
            <v xml:space="preserve">PELUCHE ALMOHADA SALVAJES (4 MOD.)      </v>
          </cell>
          <cell r="D3130" t="str">
            <v>VARIO</v>
          </cell>
          <cell r="E3130">
            <v>123.75</v>
          </cell>
          <cell r="F3130">
            <v>143.54999999999998</v>
          </cell>
        </row>
        <row r="3131">
          <cell r="A3131">
            <v>3127</v>
          </cell>
          <cell r="B3131" t="str">
            <v xml:space="preserve">734689162130    </v>
          </cell>
          <cell r="C3131" t="str">
            <v xml:space="preserve">PELUCHE ALMOHADA PERROS (4 MOD.)        </v>
          </cell>
          <cell r="D3131" t="str">
            <v>VARIO</v>
          </cell>
          <cell r="E3131">
            <v>123.75</v>
          </cell>
          <cell r="F3131">
            <v>143.54999999999998</v>
          </cell>
        </row>
        <row r="3132">
          <cell r="A3132">
            <v>3128</v>
          </cell>
          <cell r="B3132" t="str">
            <v xml:space="preserve">744887103507    </v>
          </cell>
          <cell r="C3132" t="str">
            <v xml:space="preserve">LOTERIA CENTENARIO No. 5                </v>
          </cell>
          <cell r="D3132" t="str">
            <v>VARIO</v>
          </cell>
          <cell r="E3132">
            <v>41.25</v>
          </cell>
          <cell r="F3132">
            <v>47.849999999999994</v>
          </cell>
        </row>
        <row r="3133">
          <cell r="A3133">
            <v>3129</v>
          </cell>
          <cell r="B3133" t="str">
            <v xml:space="preserve">744887801007    </v>
          </cell>
          <cell r="C3133" t="str">
            <v xml:space="preserve">TARJETAS EDUCATIVAS 60Pz (E118)         </v>
          </cell>
          <cell r="D3133" t="str">
            <v>VARIO</v>
          </cell>
          <cell r="E3133">
            <v>82.5</v>
          </cell>
          <cell r="F3133">
            <v>95.699999999999989</v>
          </cell>
        </row>
        <row r="3134">
          <cell r="A3134">
            <v>3130</v>
          </cell>
          <cell r="B3134" t="str">
            <v xml:space="preserve">7500109901558   </v>
          </cell>
          <cell r="C3134" t="str">
            <v xml:space="preserve">AJEDREZ MAYA MODELO PROFESIONAL         </v>
          </cell>
          <cell r="D3134" t="str">
            <v>VARIO</v>
          </cell>
          <cell r="E3134">
            <v>282.14999999999998</v>
          </cell>
          <cell r="F3134">
            <v>327.29399999999998</v>
          </cell>
        </row>
        <row r="3135">
          <cell r="A3135">
            <v>3131</v>
          </cell>
          <cell r="B3135" t="str">
            <v xml:space="preserve">7501991804026   </v>
          </cell>
          <cell r="C3135" t="str">
            <v xml:space="preserve">LOTERIA DE SONIDOS CON CD               </v>
          </cell>
          <cell r="D3135" t="str">
            <v>VARIO</v>
          </cell>
          <cell r="E3135">
            <v>132</v>
          </cell>
          <cell r="F3135">
            <v>153.11999999999998</v>
          </cell>
        </row>
        <row r="3136">
          <cell r="A3136">
            <v>3132</v>
          </cell>
          <cell r="B3136" t="str">
            <v xml:space="preserve">7501991804118   </v>
          </cell>
          <cell r="C3136" t="str">
            <v xml:space="preserve">MODEL MASA 250gr                        </v>
          </cell>
          <cell r="D3136" t="str">
            <v>VARIO</v>
          </cell>
          <cell r="E3136">
            <v>42.899999999999991</v>
          </cell>
          <cell r="F3136">
            <v>49.763999999999989</v>
          </cell>
        </row>
        <row r="3137">
          <cell r="A3137">
            <v>3133</v>
          </cell>
          <cell r="B3137" t="str">
            <v xml:space="preserve">7501991804156   </v>
          </cell>
          <cell r="C3137" t="str">
            <v xml:space="preserve">EL GATO MATEMATICO                      </v>
          </cell>
          <cell r="D3137" t="str">
            <v>VARIO</v>
          </cell>
          <cell r="E3137">
            <v>61.04999999999999</v>
          </cell>
          <cell r="F3137">
            <v>70.817999999999984</v>
          </cell>
        </row>
        <row r="3138">
          <cell r="A3138">
            <v>3134</v>
          </cell>
          <cell r="B3138" t="str">
            <v xml:space="preserve">7501991804163   </v>
          </cell>
          <cell r="C3138" t="str">
            <v xml:space="preserve">BOTE FORMAS GEOMETRICAS                 </v>
          </cell>
          <cell r="D3138" t="str">
            <v>VARIO</v>
          </cell>
          <cell r="E3138">
            <v>82.5</v>
          </cell>
          <cell r="F3138">
            <v>95.699999999999989</v>
          </cell>
        </row>
        <row r="3139">
          <cell r="A3139">
            <v>3135</v>
          </cell>
          <cell r="B3139" t="str">
            <v xml:space="preserve">7501991804392   </v>
          </cell>
          <cell r="C3139" t="str">
            <v xml:space="preserve">ULA-ULA CHICO 45cm DIAM 1Pz             </v>
          </cell>
          <cell r="D3139" t="str">
            <v>VARIO</v>
          </cell>
          <cell r="E3139">
            <v>16.5</v>
          </cell>
          <cell r="F3139">
            <v>19.139999999999997</v>
          </cell>
        </row>
        <row r="3140">
          <cell r="A3140">
            <v>3136</v>
          </cell>
          <cell r="B3140" t="str">
            <v xml:space="preserve">7501991804408   </v>
          </cell>
          <cell r="C3140" t="str">
            <v xml:space="preserve">ULA-ULA MEDIANO 1Pz                     </v>
          </cell>
          <cell r="D3140" t="str">
            <v>VARIO</v>
          </cell>
          <cell r="E3140">
            <v>18.975000000000001</v>
          </cell>
          <cell r="F3140">
            <v>22.010999999999999</v>
          </cell>
        </row>
        <row r="3141">
          <cell r="A3141">
            <v>3137</v>
          </cell>
          <cell r="B3141" t="str">
            <v xml:space="preserve">7501991804415   </v>
          </cell>
          <cell r="C3141" t="str">
            <v xml:space="preserve">ULA-ULA GRANDE 1Pz                      </v>
          </cell>
          <cell r="D3141" t="str">
            <v>VARIO</v>
          </cell>
          <cell r="E3141">
            <v>24.75</v>
          </cell>
          <cell r="F3141">
            <v>28.709999999999997</v>
          </cell>
        </row>
        <row r="3142">
          <cell r="A3142">
            <v>3138</v>
          </cell>
          <cell r="B3142" t="str">
            <v xml:space="preserve">7501991804422   </v>
          </cell>
          <cell r="C3142" t="str">
            <v xml:space="preserve">LOTERIA EDUCATIVA 26Pz                  </v>
          </cell>
          <cell r="D3142" t="str">
            <v>VARIO</v>
          </cell>
          <cell r="E3142">
            <v>84.149999999999991</v>
          </cell>
          <cell r="F3142">
            <v>97.61399999999999</v>
          </cell>
        </row>
        <row r="3143">
          <cell r="A3143">
            <v>3139</v>
          </cell>
          <cell r="B3143" t="str">
            <v xml:space="preserve">7501991804842   </v>
          </cell>
          <cell r="C3143" t="str">
            <v xml:space="preserve">EJERCITADOR LINGÜAL-BOCABLO             </v>
          </cell>
          <cell r="D3143" t="str">
            <v>VARIO</v>
          </cell>
          <cell r="E3143">
            <v>412.5</v>
          </cell>
          <cell r="F3143">
            <v>478.5</v>
          </cell>
        </row>
        <row r="3144">
          <cell r="A3144">
            <v>3140</v>
          </cell>
          <cell r="B3144" t="str">
            <v xml:space="preserve">7501991804965   </v>
          </cell>
          <cell r="C3144" t="str">
            <v xml:space="preserve">JUEGOS MAGNETICOS DIFERENTES MOD.       </v>
          </cell>
          <cell r="D3144" t="str">
            <v>VARIO</v>
          </cell>
          <cell r="E3144">
            <v>33</v>
          </cell>
          <cell r="F3144">
            <v>38.279999999999994</v>
          </cell>
        </row>
        <row r="3145">
          <cell r="A3145">
            <v>3141</v>
          </cell>
          <cell r="B3145" t="str">
            <v xml:space="preserve">7501991805160   </v>
          </cell>
          <cell r="C3145" t="str">
            <v xml:space="preserve">PINTURA DIGITAL 500mL 1Pz               </v>
          </cell>
          <cell r="D3145" t="str">
            <v>VARIO</v>
          </cell>
          <cell r="E3145">
            <v>135.29999999999998</v>
          </cell>
          <cell r="F3145">
            <v>156.94799999999998</v>
          </cell>
        </row>
        <row r="3146">
          <cell r="A3146">
            <v>3142</v>
          </cell>
          <cell r="B3146" t="str">
            <v xml:space="preserve">7501991805221   </v>
          </cell>
          <cell r="C3146" t="str">
            <v xml:space="preserve">LOTERIA DE MULTIPLICAR EN CARTON*       </v>
          </cell>
          <cell r="D3146" t="str">
            <v>VARIO</v>
          </cell>
          <cell r="E3146">
            <v>57.749999999999986</v>
          </cell>
          <cell r="F3146">
            <v>66.989999999999981</v>
          </cell>
        </row>
        <row r="3147">
          <cell r="A3147">
            <v>3143</v>
          </cell>
          <cell r="B3147" t="str">
            <v xml:space="preserve">7501991805245   </v>
          </cell>
          <cell r="C3147" t="str">
            <v xml:space="preserve">MAGNETOGRAFO*                           </v>
          </cell>
          <cell r="D3147" t="str">
            <v>VARIO</v>
          </cell>
          <cell r="E3147">
            <v>623.69999999999993</v>
          </cell>
          <cell r="F3147">
            <v>723.49199999999985</v>
          </cell>
        </row>
        <row r="3148">
          <cell r="A3148">
            <v>3144</v>
          </cell>
          <cell r="B3148" t="str">
            <v xml:space="preserve">7501991805467   </v>
          </cell>
          <cell r="C3148" t="str">
            <v xml:space="preserve">PALIACATE 1 PIEZA                       </v>
          </cell>
          <cell r="D3148" t="str">
            <v>VARIO</v>
          </cell>
          <cell r="E3148">
            <v>11.549999999999999</v>
          </cell>
          <cell r="F3148">
            <v>13.397999999999998</v>
          </cell>
        </row>
        <row r="3149">
          <cell r="A3149">
            <v>3145</v>
          </cell>
          <cell r="B3149" t="str">
            <v xml:space="preserve">7502007459674   </v>
          </cell>
          <cell r="C3149" t="str">
            <v xml:space="preserve">RELOJ GRANDE BLOCKS   50 pzas           </v>
          </cell>
          <cell r="D3149" t="str">
            <v>VARIO</v>
          </cell>
          <cell r="E3149">
            <v>20.195999999999998</v>
          </cell>
          <cell r="F3149">
            <v>23.427359999999997</v>
          </cell>
        </row>
        <row r="3150">
          <cell r="A3150">
            <v>3146</v>
          </cell>
          <cell r="B3150" t="str">
            <v xml:space="preserve">7502007459681   </v>
          </cell>
          <cell r="C3150" t="str">
            <v xml:space="preserve">RELOJ CHICO BLOCKS   26 pzas            </v>
          </cell>
          <cell r="D3150" t="str">
            <v>VARIO</v>
          </cell>
          <cell r="E3150">
            <v>31.35</v>
          </cell>
          <cell r="F3150">
            <v>36.366</v>
          </cell>
        </row>
        <row r="3151">
          <cell r="A3151">
            <v>3147</v>
          </cell>
          <cell r="B3151" t="str">
            <v xml:space="preserve">7502239910240   </v>
          </cell>
          <cell r="C3151" t="str">
            <v xml:space="preserve">RODOBOLOS (PL07001)                     </v>
          </cell>
          <cell r="D3151" t="str">
            <v>VARIO</v>
          </cell>
          <cell r="E3151">
            <v>164.17499999999998</v>
          </cell>
          <cell r="F3151">
            <v>190.44299999999996</v>
          </cell>
        </row>
        <row r="3152">
          <cell r="A3152">
            <v>3148</v>
          </cell>
          <cell r="B3152" t="str">
            <v xml:space="preserve">8423142015008   </v>
          </cell>
          <cell r="C3152" t="str">
            <v xml:space="preserve">MONTAMAN VARIOS MODELOS                 </v>
          </cell>
          <cell r="D3152" t="str">
            <v>VARIO</v>
          </cell>
          <cell r="E3152">
            <v>4.9499999999999993</v>
          </cell>
          <cell r="F3152">
            <v>5.7419999999999991</v>
          </cell>
        </row>
        <row r="3153">
          <cell r="A3153">
            <v>3149</v>
          </cell>
          <cell r="B3153" t="str">
            <v xml:space="preserve">9788472979376   </v>
          </cell>
          <cell r="C3153" t="str">
            <v xml:space="preserve">LIBRO PUZZLE 4 MOD. DIF.                </v>
          </cell>
          <cell r="D3153" t="str">
            <v>VARIO</v>
          </cell>
          <cell r="E3153">
            <v>59.4</v>
          </cell>
          <cell r="F3153">
            <v>68.903999999999996</v>
          </cell>
        </row>
        <row r="3154">
          <cell r="A3154">
            <v>3150</v>
          </cell>
          <cell r="B3154" t="str">
            <v xml:space="preserve">H11801          </v>
          </cell>
          <cell r="C3154" t="str">
            <v xml:space="preserve">CARRRO C/ABECEDARIO                     </v>
          </cell>
          <cell r="D3154" t="str">
            <v>VARIO</v>
          </cell>
          <cell r="E3154">
            <v>255.74999999999997</v>
          </cell>
          <cell r="F3154">
            <v>296.66999999999996</v>
          </cell>
        </row>
        <row r="3155">
          <cell r="A3155">
            <v>3151</v>
          </cell>
          <cell r="B3155" t="str">
            <v xml:space="preserve">H11810          </v>
          </cell>
          <cell r="C3155" t="str">
            <v xml:space="preserve">DOMINO GRNADE NUMEROS Y PUNTOS          </v>
          </cell>
          <cell r="D3155" t="str">
            <v>VARIO</v>
          </cell>
          <cell r="E3155">
            <v>99</v>
          </cell>
          <cell r="F3155">
            <v>114.83999999999999</v>
          </cell>
        </row>
        <row r="3156">
          <cell r="A3156">
            <v>3152</v>
          </cell>
          <cell r="B3156" t="str">
            <v xml:space="preserve">H11812          </v>
          </cell>
          <cell r="C3156" t="str">
            <v xml:space="preserve">DOMINO GRANDE FRUTAS Y NUMEROS          </v>
          </cell>
          <cell r="D3156" t="str">
            <v>VARIO</v>
          </cell>
          <cell r="E3156">
            <v>99</v>
          </cell>
          <cell r="F3156">
            <v>114.83999999999999</v>
          </cell>
        </row>
        <row r="3157">
          <cell r="A3157">
            <v>3153</v>
          </cell>
          <cell r="B3157" t="str">
            <v xml:space="preserve">MUÑECA          </v>
          </cell>
          <cell r="C3157" t="str">
            <v xml:space="preserve">MUÑECA DE TRAPO                         </v>
          </cell>
          <cell r="D3157" t="str">
            <v>VARIO</v>
          </cell>
          <cell r="E3157">
            <v>33</v>
          </cell>
          <cell r="F3157">
            <v>38.279999999999994</v>
          </cell>
        </row>
        <row r="3158">
          <cell r="A3158">
            <v>3154</v>
          </cell>
          <cell r="B3158" t="str">
            <v xml:space="preserve">URMAN           </v>
          </cell>
          <cell r="C3158" t="str">
            <v xml:space="preserve">SOBRES URMAN                            </v>
          </cell>
          <cell r="D3158" t="str">
            <v>VARIO</v>
          </cell>
          <cell r="E3158">
            <v>8.25</v>
          </cell>
          <cell r="F3158">
            <v>9.5699999999999985</v>
          </cell>
        </row>
        <row r="3159">
          <cell r="A3159">
            <v>3155</v>
          </cell>
          <cell r="B3159" t="str">
            <v xml:space="preserve">7501991852508   </v>
          </cell>
          <cell r="C3159" t="str">
            <v xml:space="preserve">GUIÑOL LOS 3 COCHINITOS 4Pz (E017E)     </v>
          </cell>
          <cell r="D3159" t="str">
            <v xml:space="preserve">VIVA </v>
          </cell>
          <cell r="E3159">
            <v>103.95</v>
          </cell>
          <cell r="F3159">
            <v>120.58199999999999</v>
          </cell>
        </row>
        <row r="3160">
          <cell r="A3160">
            <v>3156</v>
          </cell>
          <cell r="B3160" t="str">
            <v xml:space="preserve">7501991852515   </v>
          </cell>
          <cell r="C3160" t="str">
            <v xml:space="preserve">GUIÑOL BELLA DURMIENTE 12Pz             </v>
          </cell>
          <cell r="D3160" t="str">
            <v xml:space="preserve">VIVA </v>
          </cell>
          <cell r="E3160">
            <v>280.49999999999994</v>
          </cell>
          <cell r="F3160">
            <v>325.37999999999994</v>
          </cell>
        </row>
        <row r="3161">
          <cell r="A3161">
            <v>3157</v>
          </cell>
          <cell r="B3161" t="str">
            <v xml:space="preserve">7501991852522   </v>
          </cell>
          <cell r="C3161" t="str">
            <v xml:space="preserve">GUIÑOL ZOOLOGICO 12Pz (E018Z)           </v>
          </cell>
          <cell r="D3161" t="str">
            <v xml:space="preserve">VIVA </v>
          </cell>
          <cell r="E3161">
            <v>310.2</v>
          </cell>
          <cell r="F3161">
            <v>359.83199999999994</v>
          </cell>
        </row>
        <row r="3162">
          <cell r="A3162">
            <v>3158</v>
          </cell>
          <cell r="B3162" t="str">
            <v xml:space="preserve">7501991852539   </v>
          </cell>
          <cell r="C3162" t="str">
            <v xml:space="preserve">GUIÑOL LA CAPERUCITA ROJA 4Pz (E019E)   </v>
          </cell>
          <cell r="D3162" t="str">
            <v xml:space="preserve">VIVA </v>
          </cell>
          <cell r="E3162">
            <v>103.95</v>
          </cell>
          <cell r="F3162">
            <v>120.58199999999999</v>
          </cell>
        </row>
        <row r="3163">
          <cell r="A3163">
            <v>3159</v>
          </cell>
          <cell r="B3163" t="str">
            <v xml:space="preserve">7501991852546   </v>
          </cell>
          <cell r="C3163" t="str">
            <v xml:space="preserve">GUIÑOL LA BELLA Y LA BESTIA 12Pz (E0    </v>
          </cell>
          <cell r="D3163" t="str">
            <v xml:space="preserve">VIVA </v>
          </cell>
          <cell r="E3163">
            <v>310.2</v>
          </cell>
          <cell r="F3163">
            <v>359.83199999999994</v>
          </cell>
        </row>
        <row r="3164">
          <cell r="A3164">
            <v>3160</v>
          </cell>
          <cell r="B3164" t="str">
            <v xml:space="preserve">7501991852553   </v>
          </cell>
          <cell r="C3164" t="str">
            <v xml:space="preserve">GUIÑOL PETER PAN 12Pz (E024E)           </v>
          </cell>
          <cell r="D3164" t="str">
            <v xml:space="preserve">VIVA </v>
          </cell>
          <cell r="E3164">
            <v>310.2</v>
          </cell>
          <cell r="F3164">
            <v>359.83199999999994</v>
          </cell>
        </row>
        <row r="3165">
          <cell r="A3165">
            <v>3161</v>
          </cell>
          <cell r="B3165" t="str">
            <v xml:space="preserve">7501991852560   </v>
          </cell>
          <cell r="C3165" t="str">
            <v xml:space="preserve">GUIÑOL BLANCA NIEVES 12Pz (E023B)       </v>
          </cell>
          <cell r="D3165" t="str">
            <v xml:space="preserve">VIVA </v>
          </cell>
          <cell r="E3165">
            <v>310.2</v>
          </cell>
          <cell r="F3165">
            <v>359.83199999999994</v>
          </cell>
        </row>
        <row r="3166">
          <cell r="A3166">
            <v>3162</v>
          </cell>
          <cell r="B3166" t="str">
            <v xml:space="preserve">7501991852577   </v>
          </cell>
          <cell r="C3166" t="str">
            <v xml:space="preserve">GUIÑOL CENICIENTA 12Pz (E020C)          </v>
          </cell>
          <cell r="D3166" t="str">
            <v xml:space="preserve">VIVA </v>
          </cell>
          <cell r="E3166">
            <v>310.2</v>
          </cell>
          <cell r="F3166">
            <v>359.83199999999994</v>
          </cell>
        </row>
        <row r="3167">
          <cell r="A3167">
            <v>3163</v>
          </cell>
          <cell r="B3167" t="str">
            <v xml:space="preserve">7501991852584   </v>
          </cell>
          <cell r="C3167" t="str">
            <v xml:space="preserve">GUIÑOL PINOCHO 12 PERSONAJES (E025P)    </v>
          </cell>
          <cell r="D3167" t="str">
            <v xml:space="preserve">VIVA </v>
          </cell>
          <cell r="E3167">
            <v>310.2</v>
          </cell>
          <cell r="F3167">
            <v>359.83199999999994</v>
          </cell>
        </row>
        <row r="3168">
          <cell r="A3168">
            <v>3164</v>
          </cell>
          <cell r="B3168" t="str">
            <v xml:space="preserve">7501991852591   </v>
          </cell>
          <cell r="C3168" t="str">
            <v xml:space="preserve">GUIÑOL RICITOS DE ORO 4Pz (E020E)       </v>
          </cell>
          <cell r="D3168" t="str">
            <v xml:space="preserve">VIVA </v>
          </cell>
          <cell r="E3168">
            <v>103.95</v>
          </cell>
          <cell r="F3168">
            <v>120.58199999999999</v>
          </cell>
        </row>
        <row r="3169">
          <cell r="A3169">
            <v>3165</v>
          </cell>
          <cell r="B3169" t="str">
            <v xml:space="preserve">7501991852607   </v>
          </cell>
          <cell r="C3169" t="str">
            <v>GUIÑOL ANIMALES DE LA GRANJA 12Pz(E018G)</v>
          </cell>
          <cell r="D3169" t="str">
            <v xml:space="preserve">VIVA </v>
          </cell>
          <cell r="E3169">
            <v>310.2</v>
          </cell>
          <cell r="F3169">
            <v>359.83199999999994</v>
          </cell>
        </row>
        <row r="3170">
          <cell r="A3170">
            <v>3166</v>
          </cell>
          <cell r="B3170" t="str">
            <v xml:space="preserve">7501991852614   </v>
          </cell>
          <cell r="C3170" t="str">
            <v xml:space="preserve">GUIÑOL ESTADOS DE ANIMO 12Pz (E018E)    </v>
          </cell>
          <cell r="D3170" t="str">
            <v xml:space="preserve">VIVA </v>
          </cell>
          <cell r="E3170">
            <v>310.2</v>
          </cell>
          <cell r="F3170">
            <v>359.83199999999994</v>
          </cell>
        </row>
        <row r="3171">
          <cell r="A3171">
            <v>3167</v>
          </cell>
          <cell r="B3171" t="str">
            <v xml:space="preserve">7501991852621   </v>
          </cell>
          <cell r="C3171" t="str">
            <v xml:space="preserve">GUIÑOL DISCAPACITADOS 6 PERSONAJES      </v>
          </cell>
          <cell r="D3171" t="str">
            <v xml:space="preserve">VIVA </v>
          </cell>
          <cell r="E3171">
            <v>155.1</v>
          </cell>
          <cell r="F3171">
            <v>179.91599999999997</v>
          </cell>
        </row>
        <row r="3172">
          <cell r="A3172">
            <v>3168</v>
          </cell>
          <cell r="B3172" t="str">
            <v xml:space="preserve">7501991852638   </v>
          </cell>
          <cell r="C3172" t="str">
            <v xml:space="preserve">GUIÑOL LA FAMILIA 8Pz (E022A)           </v>
          </cell>
          <cell r="D3172" t="str">
            <v xml:space="preserve">VIVA </v>
          </cell>
          <cell r="E3172">
            <v>206.25</v>
          </cell>
          <cell r="F3172">
            <v>239.25</v>
          </cell>
        </row>
        <row r="3173">
          <cell r="A3173">
            <v>3169</v>
          </cell>
          <cell r="B3173" t="str">
            <v xml:space="preserve">7501991852645   </v>
          </cell>
          <cell r="C3173" t="str">
            <v xml:space="preserve">GUIÑOL SERVIDORES PUBLICOS 12Pz (E021E) </v>
          </cell>
          <cell r="D3173" t="str">
            <v xml:space="preserve">VIVA </v>
          </cell>
          <cell r="E3173">
            <v>310.2</v>
          </cell>
          <cell r="F3173">
            <v>359.83199999999994</v>
          </cell>
        </row>
        <row r="3174">
          <cell r="A3174">
            <v>3170</v>
          </cell>
          <cell r="B3174" t="str">
            <v xml:space="preserve">7501991852652   </v>
          </cell>
          <cell r="C3174" t="str">
            <v xml:space="preserve">GUIÑOL ETAPAS BENITO JUAREZ (026B)      </v>
          </cell>
          <cell r="D3174" t="str">
            <v xml:space="preserve">VIVA </v>
          </cell>
          <cell r="E3174">
            <v>140.24999999999997</v>
          </cell>
          <cell r="F3174">
            <v>162.68999999999997</v>
          </cell>
        </row>
        <row r="3175">
          <cell r="A3175">
            <v>3171</v>
          </cell>
          <cell r="B3175" t="str">
            <v xml:space="preserve">7501991852669   </v>
          </cell>
          <cell r="C3175" t="str">
            <v xml:space="preserve">GUIÑOL WHINNIE POOH 12Pz (E027W)        </v>
          </cell>
          <cell r="D3175" t="str">
            <v xml:space="preserve">VIVA </v>
          </cell>
          <cell r="E3175">
            <v>308.54999999999995</v>
          </cell>
          <cell r="F3175">
            <v>357.91799999999995</v>
          </cell>
        </row>
        <row r="3176">
          <cell r="A3176">
            <v>3172</v>
          </cell>
          <cell r="B3176" t="str">
            <v xml:space="preserve">7501175906768   </v>
          </cell>
          <cell r="C3176" t="str">
            <v xml:space="preserve">REGADERA                                </v>
          </cell>
          <cell r="D3176" t="str">
            <v>WELME</v>
          </cell>
          <cell r="E3176">
            <v>24.75</v>
          </cell>
          <cell r="F3176">
            <v>28.709999999999997</v>
          </cell>
        </row>
        <row r="3177">
          <cell r="A3177">
            <v>3173</v>
          </cell>
          <cell r="B3177" t="str">
            <v xml:space="preserve">7501175906775   </v>
          </cell>
          <cell r="C3177" t="str">
            <v xml:space="preserve">REGADERA GRANDE                         </v>
          </cell>
          <cell r="D3177" t="str">
            <v>WELME</v>
          </cell>
          <cell r="E3177">
            <v>42.899999999999991</v>
          </cell>
          <cell r="F3177">
            <v>49.763999999999989</v>
          </cell>
        </row>
        <row r="3178">
          <cell r="A3178">
            <v>3174</v>
          </cell>
          <cell r="B3178" t="str">
            <v xml:space="preserve">7501175964249   </v>
          </cell>
          <cell r="C3178" t="str">
            <v xml:space="preserve">CARREOLA DE PLASTICO 11Pz MOD. 424      </v>
          </cell>
          <cell r="D3178" t="str">
            <v>WELME</v>
          </cell>
          <cell r="E3178">
            <v>288.75</v>
          </cell>
          <cell r="F3178">
            <v>334.95</v>
          </cell>
        </row>
        <row r="3179">
          <cell r="A3179">
            <v>3175</v>
          </cell>
          <cell r="B3179" t="str">
            <v xml:space="preserve">7501991829005   </v>
          </cell>
          <cell r="C3179" t="str">
            <v xml:space="preserve">TRICICLO CANASTA (W1219)                </v>
          </cell>
          <cell r="D3179" t="str">
            <v>WELME</v>
          </cell>
          <cell r="E3179">
            <v>491.69999999999987</v>
          </cell>
          <cell r="F3179">
            <v>570.37199999999984</v>
          </cell>
        </row>
        <row r="3180">
          <cell r="A3180">
            <v>3176</v>
          </cell>
          <cell r="B3180" t="str">
            <v xml:space="preserve">7501991829012   </v>
          </cell>
          <cell r="C3180" t="str">
            <v xml:space="preserve">CARRO DE CARRERAS GIGANTE VINIL (637-A) </v>
          </cell>
          <cell r="D3180" t="str">
            <v>WELME</v>
          </cell>
          <cell r="E3180">
            <v>94.05</v>
          </cell>
          <cell r="F3180">
            <v>109.09799999999998</v>
          </cell>
        </row>
        <row r="3181">
          <cell r="A3181">
            <v>3177</v>
          </cell>
          <cell r="B3181" t="str">
            <v xml:space="preserve">7501991829029   </v>
          </cell>
          <cell r="C3181" t="str">
            <v xml:space="preserve">BATERIA EN BOLSA                        </v>
          </cell>
          <cell r="D3181" t="str">
            <v>WELME</v>
          </cell>
          <cell r="E3181">
            <v>24.75</v>
          </cell>
          <cell r="F3181">
            <v>28.709999999999997</v>
          </cell>
        </row>
        <row r="3182">
          <cell r="A3182">
            <v>3178</v>
          </cell>
          <cell r="B3182" t="str">
            <v xml:space="preserve">7501991829043   </v>
          </cell>
          <cell r="C3182" t="str">
            <v xml:space="preserve">PALA                                    </v>
          </cell>
          <cell r="D3182" t="str">
            <v>WELME</v>
          </cell>
          <cell r="E3182">
            <v>11.549999999999999</v>
          </cell>
          <cell r="F3182">
            <v>13.397999999999998</v>
          </cell>
        </row>
        <row r="3183">
          <cell r="A3183">
            <v>3179</v>
          </cell>
          <cell r="B3183" t="str">
            <v xml:space="preserve">7501991829050   </v>
          </cell>
          <cell r="C3183" t="str">
            <v xml:space="preserve">CUBETA                                  </v>
          </cell>
          <cell r="D3183" t="str">
            <v>WELME</v>
          </cell>
          <cell r="E3183">
            <v>19.799999999999997</v>
          </cell>
          <cell r="F3183">
            <v>22.967999999999996</v>
          </cell>
        </row>
        <row r="3184">
          <cell r="A3184">
            <v>3180</v>
          </cell>
          <cell r="B3184" t="str">
            <v xml:space="preserve">7501991829067   </v>
          </cell>
          <cell r="C3184" t="str">
            <v xml:space="preserve">RASTRILLO                               </v>
          </cell>
          <cell r="D3184" t="str">
            <v>WELME</v>
          </cell>
          <cell r="E3184">
            <v>0</v>
          </cell>
          <cell r="F3184">
            <v>0</v>
          </cell>
        </row>
        <row r="3185">
          <cell r="A3185">
            <v>3181</v>
          </cell>
          <cell r="B3185" t="str">
            <v xml:space="preserve">7501991829074   </v>
          </cell>
          <cell r="C3185" t="str">
            <v xml:space="preserve">PEPITA                                  </v>
          </cell>
          <cell r="D3185" t="str">
            <v>WELME</v>
          </cell>
          <cell r="E3185">
            <v>282.14999999999998</v>
          </cell>
          <cell r="F3185">
            <v>327.29399999999998</v>
          </cell>
        </row>
        <row r="3186">
          <cell r="A3186">
            <v>3182</v>
          </cell>
          <cell r="B3186" t="str">
            <v xml:space="preserve">7501991829098   </v>
          </cell>
          <cell r="C3186" t="str">
            <v xml:space="preserve">BATERIA DE ALUMINO # 5/6 (W838)         </v>
          </cell>
          <cell r="D3186" t="str">
            <v>WELME</v>
          </cell>
          <cell r="E3186">
            <v>163.34999999999997</v>
          </cell>
          <cell r="F3186">
            <v>189.48599999999996</v>
          </cell>
        </row>
        <row r="3187">
          <cell r="A3187">
            <v>3183</v>
          </cell>
          <cell r="B3187" t="str">
            <v xml:space="preserve">7501991829111   </v>
          </cell>
          <cell r="C3187" t="str">
            <v xml:space="preserve">BEBE ATRIO ARTURITO (W109-M)            </v>
          </cell>
          <cell r="D3187" t="str">
            <v>WELME</v>
          </cell>
          <cell r="E3187">
            <v>163.34999999999997</v>
          </cell>
          <cell r="F3187">
            <v>189.48599999999996</v>
          </cell>
        </row>
        <row r="3188">
          <cell r="A3188">
            <v>3184</v>
          </cell>
          <cell r="B3188" t="str">
            <v xml:space="preserve">7501991829128   </v>
          </cell>
          <cell r="C3188" t="str">
            <v xml:space="preserve">PECOSOS (W116-M)                        </v>
          </cell>
          <cell r="D3188" t="str">
            <v>WELME</v>
          </cell>
          <cell r="E3188">
            <v>59.4</v>
          </cell>
          <cell r="F3188">
            <v>68.903999999999996</v>
          </cell>
        </row>
        <row r="3189">
          <cell r="A3189">
            <v>3185</v>
          </cell>
          <cell r="B3189" t="str">
            <v xml:space="preserve">7501991829395   </v>
          </cell>
          <cell r="C3189" t="str">
            <v xml:space="preserve">CAMION CON HERRAMIENTAS (W636)          </v>
          </cell>
          <cell r="D3189" t="str">
            <v>WELME</v>
          </cell>
          <cell r="E3189">
            <v>56.1</v>
          </cell>
          <cell r="F3189">
            <v>65.075999999999993</v>
          </cell>
        </row>
        <row r="3190">
          <cell r="A3190">
            <v>3186</v>
          </cell>
          <cell r="B3190" t="str">
            <v xml:space="preserve">7501991829401   </v>
          </cell>
          <cell r="C3190" t="str">
            <v xml:space="preserve">CARRO DE CARRERAS GIGANTE (W637)        </v>
          </cell>
          <cell r="D3190" t="str">
            <v>WELME</v>
          </cell>
          <cell r="E3190">
            <v>87.45</v>
          </cell>
          <cell r="F3190">
            <v>101.44199999999999</v>
          </cell>
        </row>
        <row r="3191">
          <cell r="A3191">
            <v>3187</v>
          </cell>
          <cell r="B3191" t="str">
            <v xml:space="preserve">7501991829432   </v>
          </cell>
          <cell r="C3191" t="str">
            <v xml:space="preserve">CAMION CON PAYASITOS (W642)             </v>
          </cell>
          <cell r="D3191" t="str">
            <v>WELME</v>
          </cell>
          <cell r="E3191">
            <v>52.8</v>
          </cell>
          <cell r="F3191">
            <v>61.24799999999999</v>
          </cell>
        </row>
        <row r="3192">
          <cell r="A3192">
            <v>3188</v>
          </cell>
          <cell r="B3192" t="str">
            <v xml:space="preserve">7501991829449   </v>
          </cell>
          <cell r="C3192" t="str">
            <v xml:space="preserve">CAMION REFRESQUERO (W646)               </v>
          </cell>
          <cell r="D3192" t="str">
            <v>WELME</v>
          </cell>
          <cell r="E3192">
            <v>69.3</v>
          </cell>
          <cell r="F3192">
            <v>80.387999999999991</v>
          </cell>
        </row>
        <row r="3193">
          <cell r="A3193">
            <v>3189</v>
          </cell>
          <cell r="B3193" t="str">
            <v xml:space="preserve">7501991829456   </v>
          </cell>
          <cell r="C3193" t="str">
            <v xml:space="preserve">CAMPERA EMERGENCIA (33x13) (W648)       </v>
          </cell>
          <cell r="D3193" t="str">
            <v>WELME</v>
          </cell>
          <cell r="E3193">
            <v>100.64999999999999</v>
          </cell>
          <cell r="F3193">
            <v>116.75399999999998</v>
          </cell>
        </row>
        <row r="3194">
          <cell r="A3194">
            <v>3190</v>
          </cell>
          <cell r="B3194" t="str">
            <v xml:space="preserve">7501991829463   </v>
          </cell>
          <cell r="C3194" t="str">
            <v xml:space="preserve">CAMION BASURA (W652 )                   </v>
          </cell>
          <cell r="D3194" t="str">
            <v>WELME</v>
          </cell>
          <cell r="E3194">
            <v>34.65</v>
          </cell>
          <cell r="F3194">
            <v>40.193999999999996</v>
          </cell>
        </row>
        <row r="3195">
          <cell r="A3195">
            <v>3191</v>
          </cell>
          <cell r="B3195" t="str">
            <v xml:space="preserve">7501991829500   </v>
          </cell>
          <cell r="C3195" t="str">
            <v xml:space="preserve">CASCO BOMBERO CON 2 HACHAS (W665)       </v>
          </cell>
          <cell r="D3195" t="str">
            <v>WELME</v>
          </cell>
          <cell r="E3195">
            <v>56.1</v>
          </cell>
          <cell r="F3195">
            <v>65.075999999999993</v>
          </cell>
        </row>
        <row r="3196">
          <cell r="A3196">
            <v>3192</v>
          </cell>
          <cell r="B3196" t="str">
            <v xml:space="preserve">7501991829562   </v>
          </cell>
          <cell r="C3196" t="str">
            <v xml:space="preserve">GOLF (W679)*                            </v>
          </cell>
          <cell r="D3196" t="str">
            <v>WELME</v>
          </cell>
          <cell r="E3196">
            <v>110.55000000000001</v>
          </cell>
          <cell r="F3196">
            <v>128.238</v>
          </cell>
        </row>
        <row r="3197">
          <cell r="A3197">
            <v>3193</v>
          </cell>
          <cell r="B3197" t="str">
            <v xml:space="preserve">7501991829593   </v>
          </cell>
          <cell r="C3197" t="str">
            <v xml:space="preserve">BATERIA COCINA CAJA(48x39x7.5)cm (W814) </v>
          </cell>
          <cell r="D3197" t="str">
            <v>WELME</v>
          </cell>
          <cell r="E3197">
            <v>132</v>
          </cell>
          <cell r="F3197">
            <v>153.11999999999998</v>
          </cell>
        </row>
        <row r="3198">
          <cell r="A3198">
            <v>3194</v>
          </cell>
          <cell r="B3198" t="str">
            <v xml:space="preserve">7501991829647   </v>
          </cell>
          <cell r="C3198" t="str">
            <v xml:space="preserve">PLANCHA DE PLASTICO (W833)              </v>
          </cell>
          <cell r="D3198" t="str">
            <v>WELME</v>
          </cell>
          <cell r="E3198">
            <v>16.5</v>
          </cell>
          <cell r="F3198">
            <v>19.139999999999997</v>
          </cell>
        </row>
        <row r="3199">
          <cell r="A3199">
            <v>3195</v>
          </cell>
          <cell r="B3199" t="str">
            <v xml:space="preserve">7501991829654   </v>
          </cell>
          <cell r="C3199" t="str">
            <v xml:space="preserve">BURRO CON PLANCHA (57x21x50)cm (W834)   </v>
          </cell>
          <cell r="D3199" t="str">
            <v>WELME</v>
          </cell>
          <cell r="E3199">
            <v>209.54999999999998</v>
          </cell>
          <cell r="F3199">
            <v>243.07799999999997</v>
          </cell>
        </row>
        <row r="3200">
          <cell r="A3200">
            <v>3196</v>
          </cell>
          <cell r="B3200" t="str">
            <v xml:space="preserve">7501991829715   </v>
          </cell>
          <cell r="C3200" t="str">
            <v xml:space="preserve">BOLICHE EN CAJA (W914)                  </v>
          </cell>
          <cell r="D3200" t="str">
            <v>WELME</v>
          </cell>
          <cell r="E3200">
            <v>123.75</v>
          </cell>
          <cell r="F3200">
            <v>143.54999999999998</v>
          </cell>
        </row>
        <row r="3201">
          <cell r="A3201">
            <v>3197</v>
          </cell>
          <cell r="B3201" t="str">
            <v xml:space="preserve">7501991829722   </v>
          </cell>
          <cell r="C3201" t="str">
            <v xml:space="preserve">SABUESITO (W918)                        </v>
          </cell>
          <cell r="D3201" t="str">
            <v>WELME</v>
          </cell>
          <cell r="E3201">
            <v>59.4</v>
          </cell>
          <cell r="F3201">
            <v>68.903999999999996</v>
          </cell>
        </row>
        <row r="3202">
          <cell r="A3202">
            <v>3198</v>
          </cell>
          <cell r="B3202" t="str">
            <v xml:space="preserve">7501991829739   </v>
          </cell>
          <cell r="C3202" t="str">
            <v xml:space="preserve">CARRETILLA (W924)                       </v>
          </cell>
          <cell r="D3202" t="str">
            <v>WELME</v>
          </cell>
          <cell r="E3202">
            <v>80.849999999999994</v>
          </cell>
          <cell r="F3202">
            <v>93.785999999999987</v>
          </cell>
        </row>
        <row r="3203">
          <cell r="A3203">
            <v>3199</v>
          </cell>
          <cell r="B3203" t="str">
            <v xml:space="preserve">7501991829746   </v>
          </cell>
          <cell r="C3203" t="str">
            <v>JUEGO DE PALA, AZADON Y RASTRILLO (W926)</v>
          </cell>
          <cell r="D3203" t="str">
            <v>WELME</v>
          </cell>
          <cell r="E3203">
            <v>52.8</v>
          </cell>
          <cell r="F3203">
            <v>61.24799999999999</v>
          </cell>
        </row>
        <row r="3204">
          <cell r="A3204">
            <v>3200</v>
          </cell>
          <cell r="B3204" t="str">
            <v xml:space="preserve">7501991829753   </v>
          </cell>
          <cell r="C3204" t="str">
            <v xml:space="preserve">MESA BANCO DE PLASTICO (W930)           </v>
          </cell>
          <cell r="D3204" t="str">
            <v>WELME</v>
          </cell>
          <cell r="E3204">
            <v>66</v>
          </cell>
          <cell r="F3204">
            <v>76.559999999999988</v>
          </cell>
        </row>
        <row r="3205">
          <cell r="A3205">
            <v>3201</v>
          </cell>
          <cell r="B3205" t="str">
            <v xml:space="preserve">7501991829760   </v>
          </cell>
          <cell r="C3205" t="str">
            <v xml:space="preserve">CASCO ESPACIAL  (W933)                  </v>
          </cell>
          <cell r="D3205" t="str">
            <v>WELME</v>
          </cell>
          <cell r="E3205">
            <v>79.199999999999989</v>
          </cell>
          <cell r="F3205">
            <v>91.871999999999986</v>
          </cell>
        </row>
        <row r="3206">
          <cell r="A3206">
            <v>3202</v>
          </cell>
          <cell r="B3206" t="str">
            <v xml:space="preserve">7501991829814   </v>
          </cell>
          <cell r="C3206" t="str">
            <v xml:space="preserve">ESPADA WELCO MAN (W950)                 </v>
          </cell>
          <cell r="D3206" t="str">
            <v>WELME</v>
          </cell>
          <cell r="E3206">
            <v>26.4</v>
          </cell>
          <cell r="F3206">
            <v>30.623999999999995</v>
          </cell>
        </row>
        <row r="3207">
          <cell r="A3207">
            <v>3203</v>
          </cell>
          <cell r="B3207" t="str">
            <v xml:space="preserve">7501991829852   </v>
          </cell>
          <cell r="C3207" t="str">
            <v xml:space="preserve">PAQUETE DE ESTRELLAS LUMIN. 20Pz (W960) </v>
          </cell>
          <cell r="D3207" t="str">
            <v>WELME</v>
          </cell>
          <cell r="E3207">
            <v>36.299999999999997</v>
          </cell>
          <cell r="F3207">
            <v>42.107999999999997</v>
          </cell>
        </row>
        <row r="3208">
          <cell r="A3208">
            <v>3204</v>
          </cell>
          <cell r="B3208" t="str">
            <v xml:space="preserve">7501991829883   </v>
          </cell>
          <cell r="C3208" t="str">
            <v xml:space="preserve">MECANO CHICO 60Pz (W906)                </v>
          </cell>
          <cell r="D3208" t="str">
            <v>WELME</v>
          </cell>
          <cell r="E3208">
            <v>100.64999999999999</v>
          </cell>
          <cell r="F3208">
            <v>116.75399999999998</v>
          </cell>
        </row>
        <row r="3209">
          <cell r="A3209">
            <v>3205</v>
          </cell>
          <cell r="B3209" t="str">
            <v xml:space="preserve">7501991829906   </v>
          </cell>
          <cell r="C3209" t="str">
            <v xml:space="preserve">CAMION BOMBEROS CON ESCALERA (W662)     </v>
          </cell>
          <cell r="D3209" t="str">
            <v>WELME</v>
          </cell>
          <cell r="E3209">
            <v>87.45</v>
          </cell>
          <cell r="F3209">
            <v>101.44199999999999</v>
          </cell>
        </row>
        <row r="3210">
          <cell r="A3210">
            <v>3206</v>
          </cell>
          <cell r="B3210" t="str">
            <v xml:space="preserve">7501991829913   </v>
          </cell>
          <cell r="C3210" t="str">
            <v xml:space="preserve">MUÑECA VIOLETA XV AÑOS (W128-M)         </v>
          </cell>
          <cell r="D3210" t="str">
            <v>WELME</v>
          </cell>
          <cell r="E3210">
            <v>475.2</v>
          </cell>
          <cell r="F3210">
            <v>551.23199999999997</v>
          </cell>
        </row>
        <row r="3211">
          <cell r="A3211">
            <v>3207</v>
          </cell>
          <cell r="B3211" t="str">
            <v xml:space="preserve">7501991829920   </v>
          </cell>
          <cell r="C3211" t="str">
            <v xml:space="preserve">CASCO MOTOCICLISTA (W667)               </v>
          </cell>
          <cell r="D3211" t="str">
            <v>WELME</v>
          </cell>
          <cell r="E3211">
            <v>69.3</v>
          </cell>
          <cell r="F3211">
            <v>80.387999999999991</v>
          </cell>
        </row>
        <row r="3212">
          <cell r="A3212">
            <v>3208</v>
          </cell>
          <cell r="B3212" t="str">
            <v xml:space="preserve">7501991829937   </v>
          </cell>
          <cell r="C3212" t="str">
            <v xml:space="preserve">CUBETA CON PALA (WELMEX)                </v>
          </cell>
          <cell r="D3212" t="str">
            <v>WELME</v>
          </cell>
          <cell r="E3212">
            <v>37.950000000000003</v>
          </cell>
          <cell r="F3212">
            <v>44.021999999999998</v>
          </cell>
        </row>
        <row r="3213">
          <cell r="A3213">
            <v>3209</v>
          </cell>
          <cell r="B3213" t="str">
            <v xml:space="preserve">W934            </v>
          </cell>
          <cell r="C3213" t="str">
            <v xml:space="preserve">ESCUDO ESPACIAL CON ESPADA 2Pz (W934)   </v>
          </cell>
          <cell r="D3213" t="str">
            <v>WELME</v>
          </cell>
          <cell r="E3213">
            <v>87.45</v>
          </cell>
          <cell r="F3213">
            <v>101.44199999999999</v>
          </cell>
        </row>
        <row r="3214">
          <cell r="A3214">
            <v>3210</v>
          </cell>
          <cell r="B3214" t="str">
            <v xml:space="preserve">803979002408    </v>
          </cell>
          <cell r="C3214" t="str">
            <v xml:space="preserve">RONDOMINO (00240)                       </v>
          </cell>
          <cell r="D3214" t="str">
            <v>YOISA</v>
          </cell>
          <cell r="E3214">
            <v>214.49999999999997</v>
          </cell>
          <cell r="F3214">
            <v>248.81999999999996</v>
          </cell>
        </row>
        <row r="3215">
          <cell r="A3215">
            <v>3211</v>
          </cell>
          <cell r="B3215" t="str">
            <v xml:space="preserve">803979002804    </v>
          </cell>
          <cell r="C3215" t="str">
            <v xml:space="preserve">FUNDOMINO (00280)                       </v>
          </cell>
          <cell r="D3215" t="str">
            <v>YOISA</v>
          </cell>
          <cell r="E3215">
            <v>254.1</v>
          </cell>
          <cell r="F3215">
            <v>294.75599999999997</v>
          </cell>
        </row>
        <row r="3216">
          <cell r="A3216">
            <v>3212</v>
          </cell>
          <cell r="B3216" t="str">
            <v xml:space="preserve">8710126001011   </v>
          </cell>
          <cell r="C3216" t="str">
            <v xml:space="preserve">RC PROFESIONES Y OFICIOS (101)          </v>
          </cell>
          <cell r="D3216" t="str">
            <v>YOISA</v>
          </cell>
          <cell r="E3216">
            <v>59.4</v>
          </cell>
          <cell r="F3216">
            <v>68.903999999999996</v>
          </cell>
        </row>
        <row r="3217">
          <cell r="A3217">
            <v>3213</v>
          </cell>
          <cell r="B3217" t="str">
            <v xml:space="preserve">8710126001028   </v>
          </cell>
          <cell r="C3217" t="str">
            <v xml:space="preserve">RC FRUTAS Y VERDURAS (102)              </v>
          </cell>
          <cell r="D3217" t="str">
            <v>YOISA</v>
          </cell>
          <cell r="E3217">
            <v>59.4</v>
          </cell>
          <cell r="F3217">
            <v>68.903999999999996</v>
          </cell>
        </row>
        <row r="3218">
          <cell r="A3218">
            <v>3214</v>
          </cell>
          <cell r="B3218" t="str">
            <v xml:space="preserve">8710126001035   </v>
          </cell>
          <cell r="C3218" t="str">
            <v xml:space="preserve">RC LA FAUNA DE MEXICO (103)             </v>
          </cell>
          <cell r="D3218" t="str">
            <v>YOISA</v>
          </cell>
          <cell r="E3218">
            <v>59.4</v>
          </cell>
          <cell r="F3218">
            <v>68.903999999999996</v>
          </cell>
        </row>
        <row r="3219">
          <cell r="A3219">
            <v>3215</v>
          </cell>
          <cell r="B3219" t="str">
            <v xml:space="preserve">8710126002015   </v>
          </cell>
          <cell r="C3219" t="str">
            <v xml:space="preserve">RC BUENOS HABITOS (201)                 </v>
          </cell>
          <cell r="D3219" t="str">
            <v>YOISA</v>
          </cell>
          <cell r="E3219">
            <v>59.4</v>
          </cell>
          <cell r="F3219">
            <v>68.903999999999996</v>
          </cell>
        </row>
        <row r="3220">
          <cell r="A3220">
            <v>3216</v>
          </cell>
          <cell r="B3220" t="str">
            <v xml:space="preserve">7503006110108   </v>
          </cell>
          <cell r="C3220" t="str">
            <v xml:space="preserve">REVOLTURAS (EX010)                      </v>
          </cell>
          <cell r="D3220" t="str">
            <v>ZINCO</v>
          </cell>
          <cell r="E3220">
            <v>244.19999999999996</v>
          </cell>
          <cell r="F3220">
            <v>283.27199999999993</v>
          </cell>
        </row>
        <row r="3221">
          <cell r="A3221">
            <v>3217</v>
          </cell>
          <cell r="B3221" t="str">
            <v xml:space="preserve">7503006110153   </v>
          </cell>
          <cell r="C3221" t="str">
            <v xml:space="preserve">POLIMEROS (EX015)                       </v>
          </cell>
          <cell r="D3221" t="str">
            <v>ZINCO</v>
          </cell>
          <cell r="E3221">
            <v>163.34999999999997</v>
          </cell>
          <cell r="F3221">
            <v>189.48599999999996</v>
          </cell>
        </row>
        <row r="3222">
          <cell r="A3222">
            <v>3218</v>
          </cell>
          <cell r="B3222" t="str">
            <v xml:space="preserve">7503006110160   </v>
          </cell>
          <cell r="C3222" t="str">
            <v xml:space="preserve">DINOSAURIOS (EX016)                     </v>
          </cell>
          <cell r="D3222" t="str">
            <v>ZINCO</v>
          </cell>
          <cell r="E3222">
            <v>163.34999999999997</v>
          </cell>
          <cell r="F3222">
            <v>189.48599999999996</v>
          </cell>
        </row>
        <row r="3223">
          <cell r="A3223">
            <v>3219</v>
          </cell>
          <cell r="B3223" t="str">
            <v xml:space="preserve">7503006110191   </v>
          </cell>
          <cell r="C3223" t="str">
            <v xml:space="preserve">ROCA SEDIMENTARIA (EX019)               </v>
          </cell>
          <cell r="D3223" t="str">
            <v>ZINCO</v>
          </cell>
          <cell r="E3223">
            <v>34.65</v>
          </cell>
          <cell r="F3223">
            <v>40.193999999999996</v>
          </cell>
        </row>
        <row r="3224">
          <cell r="A3224">
            <v>3220</v>
          </cell>
          <cell r="B3224" t="str">
            <v xml:space="preserve">7503006110207   </v>
          </cell>
          <cell r="C3224" t="str">
            <v xml:space="preserve">PINTA MASAS (EX020)                     </v>
          </cell>
          <cell r="D3224" t="str">
            <v>ZINCO</v>
          </cell>
          <cell r="E3224">
            <v>244.19999999999996</v>
          </cell>
          <cell r="F3224">
            <v>283.27199999999993</v>
          </cell>
        </row>
        <row r="3225">
          <cell r="A3225">
            <v>3221</v>
          </cell>
          <cell r="B3225" t="str">
            <v xml:space="preserve">7503006110214   </v>
          </cell>
          <cell r="C3225" t="str">
            <v xml:space="preserve">ARCILLAS MULTICOLOR (EX021)             </v>
          </cell>
          <cell r="D3225" t="str">
            <v>ZINCO</v>
          </cell>
          <cell r="E3225">
            <v>234.3</v>
          </cell>
          <cell r="F3225">
            <v>271.78800000000001</v>
          </cell>
        </row>
        <row r="3226">
          <cell r="A3226">
            <v>3222</v>
          </cell>
          <cell r="B3226" t="str">
            <v xml:space="preserve">7503006110238   </v>
          </cell>
          <cell r="C3226" t="str">
            <v xml:space="preserve">PAPELINA (EX023)                        </v>
          </cell>
          <cell r="D3226" t="str">
            <v>ZINCO</v>
          </cell>
          <cell r="E3226">
            <v>110.55000000000001</v>
          </cell>
          <cell r="F3226">
            <v>128.238</v>
          </cell>
        </row>
        <row r="3227">
          <cell r="A3227">
            <v>3223</v>
          </cell>
          <cell r="B3227" t="str">
            <v xml:space="preserve">7503006110252   </v>
          </cell>
          <cell r="C3227" t="str">
            <v xml:space="preserve">ARCILLAS TRICOLOR (EX025)               </v>
          </cell>
          <cell r="D3227" t="str">
            <v>ZINCO</v>
          </cell>
          <cell r="E3227">
            <v>110.55000000000001</v>
          </cell>
          <cell r="F3227">
            <v>128.238</v>
          </cell>
        </row>
        <row r="3228">
          <cell r="A3228">
            <v>3224</v>
          </cell>
          <cell r="B3228" t="str">
            <v xml:space="preserve">7503006110269   </v>
          </cell>
          <cell r="C3228" t="str">
            <v xml:space="preserve">POLY SUPERNOVA (EX026)                  </v>
          </cell>
          <cell r="D3228" t="str">
            <v>ZINCO</v>
          </cell>
          <cell r="E3228">
            <v>24.75</v>
          </cell>
          <cell r="F3228">
            <v>28.709999999999997</v>
          </cell>
        </row>
        <row r="3229">
          <cell r="A3229">
            <v>3225</v>
          </cell>
          <cell r="B3229" t="str">
            <v xml:space="preserve">7503006110276   </v>
          </cell>
          <cell r="C3229" t="str">
            <v xml:space="preserve">MOLY REBOTES (EX027)                    </v>
          </cell>
          <cell r="D3229" t="str">
            <v>ZINCO</v>
          </cell>
          <cell r="E3229">
            <v>24.75</v>
          </cell>
          <cell r="F3229">
            <v>28.709999999999997</v>
          </cell>
        </row>
        <row r="3230">
          <cell r="A3230">
            <v>3226</v>
          </cell>
          <cell r="B3230" t="str">
            <v xml:space="preserve">7503006110283   </v>
          </cell>
          <cell r="C3230" t="str">
            <v xml:space="preserve">MASILINA (EX028)                        </v>
          </cell>
          <cell r="D3230" t="str">
            <v>ZINCO</v>
          </cell>
          <cell r="E3230">
            <v>24.75</v>
          </cell>
          <cell r="F3230">
            <v>28.709999999999997</v>
          </cell>
        </row>
        <row r="3231">
          <cell r="A3231">
            <v>3227</v>
          </cell>
          <cell r="B3231" t="str">
            <v xml:space="preserve">7503006110306   </v>
          </cell>
          <cell r="C3231" t="str">
            <v xml:space="preserve">LIBRO DE POCIONES MAGICAS (EX030)       </v>
          </cell>
          <cell r="D3231" t="str">
            <v>ZINCO</v>
          </cell>
          <cell r="E3231">
            <v>244.19999999999996</v>
          </cell>
          <cell r="F3231">
            <v>283.27199999999993</v>
          </cell>
        </row>
        <row r="3232">
          <cell r="A3232">
            <v>3228</v>
          </cell>
          <cell r="B3232" t="str">
            <v xml:space="preserve">7503006110337   </v>
          </cell>
          <cell r="C3232" t="str">
            <v xml:space="preserve">ARCILLA ZOO (EX033)                     </v>
          </cell>
          <cell r="D3232" t="str">
            <v>ZINCO</v>
          </cell>
          <cell r="E3232">
            <v>24.75</v>
          </cell>
          <cell r="F3232">
            <v>28.709999999999997</v>
          </cell>
        </row>
        <row r="3233">
          <cell r="A3233">
            <v>3229</v>
          </cell>
          <cell r="B3233" t="str">
            <v xml:space="preserve">7503006110344   </v>
          </cell>
          <cell r="C3233" t="str">
            <v xml:space="preserve">POLIMEROS DUO (EX034)                   </v>
          </cell>
          <cell r="D3233" t="str">
            <v>ZINCO</v>
          </cell>
          <cell r="E3233">
            <v>110.55000000000001</v>
          </cell>
          <cell r="F3233">
            <v>128.238</v>
          </cell>
        </row>
        <row r="3234">
          <cell r="A3234">
            <v>3230</v>
          </cell>
          <cell r="B3234" t="str">
            <v xml:space="preserve">7503006110351   </v>
          </cell>
          <cell r="C3234" t="str">
            <v xml:space="preserve">MOLY REBOTES 3XM (EX035)                </v>
          </cell>
          <cell r="D3234" t="str">
            <v>ZINCO</v>
          </cell>
          <cell r="E3234">
            <v>61.04999999999999</v>
          </cell>
          <cell r="F3234">
            <v>70.817999999999984</v>
          </cell>
        </row>
        <row r="3235">
          <cell r="A3235">
            <v>3231</v>
          </cell>
          <cell r="B3235" t="str">
            <v xml:space="preserve">7503006110368   </v>
          </cell>
          <cell r="C3235" t="str">
            <v xml:space="preserve">POLY SUPERNOVA 3XM (EX036)              </v>
          </cell>
          <cell r="D3235" t="str">
            <v>ZINCO</v>
          </cell>
          <cell r="E3235">
            <v>61.04999999999999</v>
          </cell>
          <cell r="F3235">
            <v>70.817999999999984</v>
          </cell>
        </row>
        <row r="3236">
          <cell r="A3236">
            <v>3232</v>
          </cell>
          <cell r="B3236" t="str">
            <v xml:space="preserve">7503006110375   </v>
          </cell>
          <cell r="C3236" t="str">
            <v xml:space="preserve">ASTEROIDE REBOTON (EX037)               </v>
          </cell>
          <cell r="D3236" t="str">
            <v>ZINCO</v>
          </cell>
          <cell r="E3236">
            <v>24.75</v>
          </cell>
          <cell r="F3236">
            <v>28.709999999999997</v>
          </cell>
        </row>
        <row r="3237">
          <cell r="A3237">
            <v>3233</v>
          </cell>
          <cell r="B3237" t="str">
            <v xml:space="preserve">7503006110382   </v>
          </cell>
          <cell r="C3237" t="str">
            <v xml:space="preserve">KINDER H20 (EX038)                      </v>
          </cell>
          <cell r="D3237" t="str">
            <v>ZINCO</v>
          </cell>
          <cell r="E3237">
            <v>202.94999999999996</v>
          </cell>
          <cell r="F3237">
            <v>235.42199999999994</v>
          </cell>
        </row>
        <row r="3238">
          <cell r="A3238">
            <v>3234</v>
          </cell>
          <cell r="B3238" t="str">
            <v xml:space="preserve">7503006110399   </v>
          </cell>
          <cell r="C3238" t="str">
            <v xml:space="preserve">BICHOS (EX039)                          </v>
          </cell>
          <cell r="D3238" t="str">
            <v>ZINCO</v>
          </cell>
          <cell r="E3238">
            <v>211.2</v>
          </cell>
          <cell r="F3238">
            <v>244.99199999999996</v>
          </cell>
        </row>
        <row r="3239">
          <cell r="A3239">
            <v>3235</v>
          </cell>
          <cell r="B3239" t="str">
            <v xml:space="preserve">7503006110405   </v>
          </cell>
          <cell r="C3239" t="str">
            <v xml:space="preserve">AVALANCHA DE NIEVE (XE040)              </v>
          </cell>
          <cell r="D3239" t="str">
            <v>ZINCO</v>
          </cell>
          <cell r="E3239">
            <v>24.75</v>
          </cell>
          <cell r="F3239">
            <v>28.709999999999997</v>
          </cell>
        </row>
        <row r="3240">
          <cell r="A3240">
            <v>3236</v>
          </cell>
          <cell r="B3240" t="str">
            <v xml:space="preserve">7503006110412   </v>
          </cell>
          <cell r="C3240" t="str">
            <v xml:space="preserve">CIRCO DE CANICAS (EX041)                </v>
          </cell>
          <cell r="D3240" t="str">
            <v>ZINCO</v>
          </cell>
          <cell r="E3240">
            <v>24.75</v>
          </cell>
          <cell r="F3240">
            <v>28.709999999999997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CIOS"/>
      <sheetName val="DATOS"/>
      <sheetName val="BUSCAR ESC"/>
      <sheetName val="COTIZ"/>
      <sheetName val="NORMA"/>
      <sheetName val="FIDEL"/>
      <sheetName val="ADRIAN"/>
      <sheetName val="JUAN"/>
      <sheetName val="RAUL"/>
      <sheetName val="ORD COMP PEC IX"/>
      <sheetName val="control_ventas"/>
      <sheetName val="orden DE COMPA"/>
      <sheetName val="MUEBLES"/>
      <sheetName val="COTIZADOR"/>
      <sheetName val="BUSCAR_ESC"/>
      <sheetName val="ORD_COMP_PEC_IX"/>
      <sheetName val="orden_DE_COMPA"/>
    </sheetNames>
    <sheetDataSet>
      <sheetData sheetId="0" refreshError="1">
        <row r="1">
          <cell r="D1" t="str">
            <v>ALARMAS</v>
          </cell>
        </row>
        <row r="2">
          <cell r="D2" t="str">
            <v>SISTEMA DE ALARMA SEGURIDAD TOTAL INCLUYE: 1 TARJETA MADRE PARA 8 SENSORES, 1 BATERIA DE RESPALDO, 1 TRANSFORMADOR DE CORRIENTE, 1 SIRENA DE 12ODECIBELES CARCASA PROTECTORA DE SIRENA CON TAMPERS ANTIIMPACTOS, TECLADO DE CONTROL 1 SENSOR DE MOVIMIENTO 1 SE</v>
          </cell>
        </row>
        <row r="3">
          <cell r="D3" t="str">
            <v>SENSOR DE MOVIMIENTO INCLUYE INSTALCION</v>
          </cell>
        </row>
        <row r="4">
          <cell r="D4" t="str">
            <v>SENSOR MAGNETICO INCLUYE INSTALACION</v>
          </cell>
        </row>
        <row r="7">
          <cell r="D7" t="str">
            <v>ARCHIVEROS</v>
          </cell>
        </row>
        <row r="9">
          <cell r="D9" t="str">
            <v>ARCHIVERO METALICO DE 4 GAVETAS COLOR ARENA</v>
          </cell>
        </row>
        <row r="10">
          <cell r="D10" t="str">
            <v>ARCHIVERO METALICO DE 4 GAVETAS COLOR GRIS</v>
          </cell>
        </row>
        <row r="11">
          <cell r="D11" t="str">
            <v>ARCHIVERO METALICO DE 3 GAVETAS COLOR ARENA</v>
          </cell>
        </row>
        <row r="12">
          <cell r="D12" t="str">
            <v>ARCHIVERO METALICO DE 3 GAVETAS COLOR GRIS</v>
          </cell>
        </row>
        <row r="13">
          <cell r="D13" t="str">
            <v>ARCHIVERO METALICO DE 2 GAVETAS COLOR ARENA</v>
          </cell>
        </row>
        <row r="14">
          <cell r="D14" t="str">
            <v>ARCHIVERO METALICO DE 2 GAVETAS COLOR GRIS</v>
          </cell>
        </row>
        <row r="16">
          <cell r="D16" t="str">
            <v>ARCHIVERO MELAMINA DE 16MM DE 4 GAVETAS COLOR GRAFITO</v>
          </cell>
        </row>
        <row r="17">
          <cell r="D17" t="str">
            <v>ARCHIVERO MELAMINA DE 16MM DE 3 GAVETAS COLOR GRAFITO</v>
          </cell>
        </row>
        <row r="18">
          <cell r="D18" t="str">
            <v>ARCHIVERO MELAMINA DE 16MM DE 2 GAVETAS COLOR GRAFITO</v>
          </cell>
        </row>
        <row r="21">
          <cell r="D21" t="str">
            <v>CAMARAS</v>
          </cell>
        </row>
        <row r="22">
          <cell r="D22" t="str">
            <v>CAMARA DIGITAL BENQ C1060 10MPX/LCD2.7 /ZOOMDIG4X VIDEO</v>
          </cell>
        </row>
        <row r="23">
          <cell r="D23" t="str">
            <v>CAMARA DIGITAL BENQ C1030 10MPX LCD 2.7 ZOOM 3X/5X</v>
          </cell>
        </row>
        <row r="26">
          <cell r="D26" t="str">
            <v>CENTRO DE ENTRETENIMIENTO</v>
          </cell>
        </row>
        <row r="27">
          <cell r="D27" t="str">
            <v>CENTRO DE ENTRETENIMIENTO DISEÑOS 1 A 5</v>
          </cell>
        </row>
        <row r="28">
          <cell r="D28" t="str">
            <v>CENTRO DE ENTRETENIMIENTO DISEÑOS 6 A 8</v>
          </cell>
        </row>
        <row r="31">
          <cell r="D31" t="str">
            <v>COMPUTADORAS DE ESCRITORIO Y PORTATILES</v>
          </cell>
        </row>
        <row r="32">
          <cell r="D32" t="str">
            <v xml:space="preserve">COMPUTADORA MCA. ACER MOD. EL1321-01M ATH 1660 2G 160GB DVDSM DOS MONITOR LCD 18.5 PULG </v>
          </cell>
        </row>
        <row r="34">
          <cell r="D34" t="str">
            <v>COMPUATADORA MCA. HACER MOD EL1321-03M ATH X2 2G 320GB DVDSM DOS  MONITOR LCD 15 PULG.</v>
          </cell>
        </row>
        <row r="36">
          <cell r="D36" t="str">
            <v>COMPUATADORA MCA. HACER MOD EL1321-03M ATH X2 2G 320GB DVDSM DOS  MONITOR LCD 17 PULG.</v>
          </cell>
        </row>
        <row r="38">
          <cell r="D38" t="str">
            <v>COMPUATADORA MCA. HACER MOD EL1321-03M ATH X2 2G 320GB DVDSM DOS  MONITOR LCD 22 PULG.</v>
          </cell>
        </row>
        <row r="40">
          <cell r="D40" t="str">
            <v>COMPUTADORA MARCA ACER MOD . VM265-SC4500D CEL450 2G 160G DVDSM DOS MONITOR LCD 15 PULG.</v>
          </cell>
        </row>
        <row r="44">
          <cell r="D44" t="str">
            <v>COMPUTADORA MARCA ACER MOD . VM265-SC4500D CEL450 2G 160G DVDSM DOS MONITOR LCD 17 PULG.</v>
          </cell>
        </row>
        <row r="48">
          <cell r="D48" t="str">
            <v>COMPUTADORA MARCA ACER MOD . VM265-SC4500D CEL450 2G 160G DVDSM DOS MONITOR LCD 22 PULG.</v>
          </cell>
        </row>
        <row r="51">
          <cell r="D51" t="str">
            <v>LAP TOP MCA. ACER MOD. AS4732Z-4612 T4300 14 3G 250 DVDSM CAM WIN7 PREMIUM 64BIT++</v>
          </cell>
        </row>
        <row r="52">
          <cell r="D52" t="str">
            <v>LAP TOP MARCA ACER. MOD. AS4810TZ-4157 14 SU2700 2G 250G DVSM VHP BG CRDR CAM TIMELINE++</v>
          </cell>
        </row>
        <row r="53">
          <cell r="D53" t="str">
            <v>LAP TOP MARCA ACER  MOD. AS5517-5676 C 15.6 TF20 2G 160G DVDSM W7STR +++</v>
          </cell>
        </row>
        <row r="55">
          <cell r="D55" t="str">
            <v>AS5532-1563 C15.6 L310 3G 320 DVSM W7HP BG CRDR CAM+++</v>
          </cell>
        </row>
        <row r="56">
          <cell r="D56" t="str">
            <v>ACER ASPIRE ONE D250-1676 10.1 N270 2G 160G XPH CAM NEGR++</v>
          </cell>
        </row>
        <row r="57">
          <cell r="D57" t="str">
            <v>EX5630-4180 C15.4 T4300 4G 250G W7HOME PREMIUM+</v>
          </cell>
        </row>
        <row r="58">
          <cell r="D58" t="str">
            <v>EME627-5765 15.6 ATH TF20 1G 160G DVSM VSTR BG CRDR CAM++</v>
          </cell>
        </row>
        <row r="59">
          <cell r="D59" t="str">
            <v>LAPTOP PRESARIO CQ41-221LA SEMP 1GB 250GB DVDLS 14.1 WIN7STARTER+++</v>
          </cell>
        </row>
        <row r="60">
          <cell r="D60" t="str">
            <v>LAPTOP HP CPQ515/SEMP 2.0GHZ/14.1/3GB WIN7STARTER/250GB/WEBCAM/WL+++</v>
          </cell>
        </row>
        <row r="61">
          <cell r="D61" t="str">
            <v>LAPTOP HP CPQ610 C2D 2.0 15.6 W7START/ 2GB/320GB/DVDSM++</v>
          </cell>
        </row>
        <row r="62">
          <cell r="D62" t="str">
            <v>LAPTOP PAVILLION DV4-1414LA ATH 3GB/250GB/DVDSM/14.1 /WIN7BASIC</v>
          </cell>
        </row>
        <row r="63">
          <cell r="D63" t="str">
            <v>LAP TOP VAIO CW13 PENT4400 2.10GHZ 4GB 320 DVD 14 HDMI W7HPREM ROSA, NEGRO, BLANCO</v>
          </cell>
        </row>
        <row r="66">
          <cell r="D66" t="str">
            <v>CONSUMIBLES DE IMPRESORA MAS COMUNES</v>
          </cell>
        </row>
        <row r="68">
          <cell r="D68" t="str">
            <v>CARTUCHO DE TINTA NEGRO DESKJET 3930,3940 PSC 1410 HP 21  (C9351AL)</v>
          </cell>
        </row>
        <row r="69">
          <cell r="D69" t="str">
            <v>CARTUCHO DE TINTA TRICOLOR DESKJET 3930,3940 PSC 1410 HP 22 (C9352AL)</v>
          </cell>
        </row>
        <row r="70">
          <cell r="D70" t="str">
            <v>CARTUCHO DE TINTA NEGRO DESKJET 3320 3420 3490  HP 27 (C8727AL)</v>
          </cell>
        </row>
        <row r="71">
          <cell r="D71" t="str">
            <v>CARTUCHO DE TINTA TRICOLOR DESKJET 3320 3420 3490 HP 28 (C8728AL)</v>
          </cell>
        </row>
        <row r="72">
          <cell r="D72" t="str">
            <v>CARTUCHO DE TINTA NEGRO DESKJET 550 PSC 1210 1350 HP 56 (C6656AL)</v>
          </cell>
        </row>
        <row r="73">
          <cell r="D73" t="str">
            <v>CARTUCHO DE TINTA TRICOLOR DESKJET 550 PSC 1210 1350 HP 57 (C6657AL)</v>
          </cell>
        </row>
        <row r="74">
          <cell r="D74" t="str">
            <v>TONER NEGRO PARA LASERJET 1012 1018 1020 1022 PARA 2000PAG  (Q2612A)</v>
          </cell>
        </row>
        <row r="75">
          <cell r="D75" t="str">
            <v>TONER NEGRO PARA LASERJET 1200 1000 PARA 2500PAG (Q7115A)</v>
          </cell>
        </row>
        <row r="78">
          <cell r="D78" t="str">
            <v>COPIADORAS</v>
          </cell>
        </row>
        <row r="79">
          <cell r="D79" t="str">
            <v>COPIADORA E IMPRESORA SHARP LASER AL-2030 DIGITAL 20 CPM TAMAÑOS DESDE MEDIA CARTA A OFICIO  ZOOM DE 24% A 400% DE UNO A UNO, ALIMENTADOR AUTOMATICO HASTA PARA 50 HOJAS IMPRIME O COPIA DOBLE CARA EN UN PASO CHAROLA PARA 250HOJAS</v>
          </cell>
        </row>
        <row r="80">
          <cell r="D80" t="str">
            <v>COPIADORA KYOSERA 1500LA 15 PAGS POR MINUTO, CHAROLA PARA 250H, CARTA Y OFICIO AMPLIACION 200% Y REDUCCION AL 50%  ACETATO, RENDIMIENTO DE TONER 7,000 A 10,000 PAG</v>
          </cell>
        </row>
        <row r="81">
          <cell r="D81" t="str">
            <v>COPIADORA RICOH 1500, 15 COPIAS POR MINUTO, CHAROLA PARA 250H, BYPASS PARA OFICIO, CARTA DOBLE CARTA, AMPLIACION 250% Y REDUCCION AL 33%, ACETATO, RENDIMIENTO DE TONER 9000 HOJAS PROMEDIO</v>
          </cell>
        </row>
        <row r="84">
          <cell r="D84" t="str">
            <v>CREDENZAS</v>
          </cell>
        </row>
        <row r="85">
          <cell r="D85" t="str">
            <v>CREDENZA EJECUTIVA DE 1.80MTS X 1.55 X 0.30 CON LIBRERO</v>
          </cell>
        </row>
        <row r="88">
          <cell r="D88" t="str">
            <v>DESBROZADORA Y PODADORA</v>
          </cell>
        </row>
        <row r="89">
          <cell r="D89" t="str">
            <v>DESBROZADORA DE 25CC MANGO TIPO D CARGA LIGERA DIAMETRO DE CORTE DE 17" HILO DOBLE</v>
          </cell>
        </row>
        <row r="90">
          <cell r="D90" t="str">
            <v>DESBROZADORA DE 30CC MANGO TIPO J CARGA PESADA DIAMETRO DE CORTE DE 18" HILO Y NAVAJA</v>
          </cell>
        </row>
        <row r="91">
          <cell r="D91" t="str">
            <v>PODADORA 20" AJUSTE DE ALTURA EN LLANTAS A 5 POSICIONES ACEPTA BOLSA RECOLECTORA AL LADO DERECHO (NO INCLUIDA) CICLO DE TRABAJO  50 MIN DE DESCANSO POR TANQUE DE GASOLINA</v>
          </cell>
        </row>
        <row r="94">
          <cell r="D94" t="str">
            <v>EQUIPOS DE SONIDO</v>
          </cell>
        </row>
        <row r="95">
          <cell r="D95" t="str">
            <v>BAFLE AMPLIFICADO DE 2200WATTS 15 PULGADAS CON IN-AUDIO OUT MICROFONO 19-1960 PEDESTAL PARA BAFLE DE TRIPIE, CABLE RCA DE AUDIO</v>
          </cell>
        </row>
        <row r="96">
          <cell r="D96" t="str">
            <v>CONSOLA DE 8 CANALES, 2 BAFLES DE 15" 2 EXTENSIONES DE 7MTS. MIC INALAMBRICO, MIC ALAMBRICO</v>
          </cell>
        </row>
        <row r="97">
          <cell r="D97" t="str">
            <v>CONSOLA DE 8 CANALES, 2 BAFLES DE BOCINA DOBLE DE 15", 2 EXTENSIONES DE 7MTS, JUEGO DE MICS INALAMBRICOS, REGULADOR DE VOLTAJE</v>
          </cell>
        </row>
        <row r="98">
          <cell r="D98" t="str">
            <v>CONSOLA DE 8 CANALES, 2 BAFLES PLASTIFICADOS DE 15", 2 PEDESTALES PARA BAFLE, 2 EXTENSIONES DE 7MTS, JUEGO DE MICS INALAMBRICOS, PEDESTAL PARA 1 MIC, REGULADOR DE VOLTAJE</v>
          </cell>
        </row>
        <row r="101">
          <cell r="D101" t="str">
            <v xml:space="preserve">ESCALERAS </v>
          </cell>
        </row>
        <row r="102">
          <cell r="D102" t="str">
            <v>ESCALERA DE EXTENSION 3.96MTS.</v>
          </cell>
        </row>
        <row r="103">
          <cell r="D103" t="str">
            <v>ESCALERA DE TIJERA DE 2.13MTS</v>
          </cell>
        </row>
        <row r="106">
          <cell r="D106" t="str">
            <v>ESCRITORIOS</v>
          </cell>
        </row>
        <row r="107">
          <cell r="D107" t="str">
            <v>ESCRITORIO MELAMINA DE 16MM DE 1.20 X 0.60 MTS CON DOS CAJONES LAPICERA Y OFICIO COLOR GRAFITO</v>
          </cell>
        </row>
        <row r="108">
          <cell r="D108" t="str">
            <v>ESCRITORIO MELAMINA DE 16MM DE 1.40 X 0.75 MTS CON DOS CAJONES LAPICERA Y OFICIO COLOR GRAFITO</v>
          </cell>
        </row>
        <row r="109">
          <cell r="D109" t="str">
            <v>ESCRITORIO MELAMINA DE 16MM DE 1.60 X 0.75 MTS CON DOS CAJONES LAPICERA Y OFICIO COLOR GRAFITO</v>
          </cell>
        </row>
        <row r="110">
          <cell r="D110" t="str">
            <v>ESCRITORIO SUB-EJECUTIVO MELAMINA DE 16MM DE 1.60 X 0.75 MTS CON DOBLE CAJONERA LAPICERA Y OFICIO COLOR GRAFITO</v>
          </cell>
        </row>
        <row r="111">
          <cell r="D111" t="str">
            <v>ESCRITORIO EJECUTIVO MELAMINA DE 16MM DE 1.80 X 0.80 MTS CON DOBLE CAJONERA LAPICERA Y OFICIO COLOR GRAFITO</v>
          </cell>
        </row>
        <row r="114">
          <cell r="D114" t="str">
            <v>ESTANTES</v>
          </cell>
        </row>
        <row r="115">
          <cell r="D115" t="str">
            <v>ESTANTE DE 2.20MTS CON 5 CHAROLAS DE 0.85 X 0.30 METALICO INCLUYE TORNILLOS</v>
          </cell>
        </row>
        <row r="116">
          <cell r="D116" t="str">
            <v>ESTANTE DE 1.10MTS CON 3 CHAROLAS DE 0.85 X 0.30 METALICO INCLUYE TORNILLOS</v>
          </cell>
        </row>
        <row r="119">
          <cell r="D119" t="str">
            <v>GABINETE UNIVERSA</v>
          </cell>
        </row>
        <row r="120">
          <cell r="D120" t="str">
            <v>GABINETE UNIVERSAL DE 1.50MTS DE ALTO 2 ENTREPAÑOS COLOR ARENA</v>
          </cell>
        </row>
        <row r="121">
          <cell r="D121" t="str">
            <v>GABINETE UNIVERSAL DE 1.80MTS DE ALTO 3 ENTREPAÑOS COLOR ARENA</v>
          </cell>
        </row>
        <row r="124">
          <cell r="D124" t="str">
            <v>GRABADORAS</v>
          </cell>
        </row>
        <row r="125">
          <cell r="D125" t="str">
            <v xml:space="preserve">Radiograbadora SONY FM/AM con CD, Reproductor MP3 </v>
          </cell>
        </row>
        <row r="126">
          <cell r="D126" t="str">
            <v>Radio Sony FM/AM con CD y Reproductor MP3 USB</v>
          </cell>
        </row>
        <row r="127">
          <cell r="D127" t="str">
            <v>Radio Sony FM/AM con CD y Reproductor MP3 USB g880</v>
          </cell>
        </row>
        <row r="130">
          <cell r="D130" t="str">
            <v>IMPRESORAS</v>
          </cell>
        </row>
        <row r="131">
          <cell r="D131" t="str">
            <v>COPIADORA OFFICEJET 6000WL á31/32 PPM 4800 X 1200DPI DUPLEX, RED, WIRELES</v>
          </cell>
        </row>
        <row r="132">
          <cell r="D132" t="str">
            <v xml:space="preserve">IMPRESORA HP D1660 IMPRES.INYECC 20/16PPM </v>
          </cell>
        </row>
        <row r="133">
          <cell r="D133" t="str">
            <v xml:space="preserve">COPIADORA VML-1910 LASER 19PPM 1200X600 DPI USB 8MB </v>
          </cell>
        </row>
        <row r="134">
          <cell r="D134" t="str">
            <v xml:space="preserve">COPIADORA HP LASERJET P1006 1200X1200 DPI 8MB 17 PPM USB 5000 CICLO MENSUAL </v>
          </cell>
        </row>
        <row r="135">
          <cell r="D135" t="str">
            <v>MULTIFUNCIONAL  HP LASER JET M1120 COP 600 X600 DPI DIGITAL1200 X 1200</v>
          </cell>
        </row>
        <row r="136">
          <cell r="D136" t="str">
            <v xml:space="preserve">MULTIFUNCIONAL HPLASERJET M1522N MFPIMPRESORA24 COPIADORA20PPM SCANNER1200X1200DPI </v>
          </cell>
        </row>
        <row r="139">
          <cell r="D139" t="str">
            <v>LIBREROS</v>
          </cell>
        </row>
        <row r="140">
          <cell r="D140" t="str">
            <v xml:space="preserve">LIBRERO INDIVIDUAL DE 1.80MTS X 0.80 X 0.30 CON 4 ENTREPAÑOS COLOR GRAFITO </v>
          </cell>
        </row>
        <row r="141">
          <cell r="D141" t="str">
            <v>LIBRERO MULTIUSOS 1.20 X 90 X 30</v>
          </cell>
        </row>
        <row r="142">
          <cell r="D142" t="str">
            <v>LIBRERO INDIVIDUAL DE 1.10MTS</v>
          </cell>
        </row>
        <row r="145">
          <cell r="D145" t="str">
            <v>LOCKER</v>
          </cell>
        </row>
        <row r="146">
          <cell r="D146" t="str">
            <v>LOCKER DEPORTIVO 2 PUERTAS COLOR GRIS</v>
          </cell>
        </row>
        <row r="147">
          <cell r="D147" t="str">
            <v>LOCKER DEPORTIVO 3 PUERTAS COLOR GRIS</v>
          </cell>
        </row>
        <row r="148">
          <cell r="D148" t="str">
            <v>LOCKER DEPORTIVO 4 PUERTAS COLOR GRIS</v>
          </cell>
        </row>
        <row r="149">
          <cell r="D149" t="str">
            <v>LOCKER DEPORTIVO 5 PUERTAS COLOR GRIS</v>
          </cell>
        </row>
        <row r="152">
          <cell r="D152" t="str">
            <v>MARCADORES , BORRADORES</v>
          </cell>
        </row>
        <row r="153">
          <cell r="D153" t="str">
            <v>MARCADOR DE TINTA FUGAZ MAGISTRAL PUNTA DE CINCEL COLOR NEGRO, VERDE, ROJO, AZUL</v>
          </cell>
        </row>
        <row r="154">
          <cell r="D154" t="str">
            <v>BORRADOR PARA PIZARRON BLANCO Y VERDE BASE MADERA DE 12MM Y FIELTRO DE 6MM</v>
          </cell>
        </row>
        <row r="155">
          <cell r="D155" t="str">
            <v>LIMPIAPIZARRON DE 120ML ELIMINA MANCHAS, Y RESIDUOS DE CUALQUIER TINTA DE MARCADOR</v>
          </cell>
        </row>
        <row r="158">
          <cell r="D158" t="str">
            <v>MESAS</v>
          </cell>
        </row>
        <row r="159">
          <cell r="D159" t="str">
            <v>MESA DE TRABAJO DE 1.20 X 0.60 COLOR GRAFITO</v>
          </cell>
        </row>
        <row r="160">
          <cell r="D160" t="str">
            <v>MESA DE TRABAJO DE 1.50 X 0.75 COLOR GRAFITO</v>
          </cell>
        </row>
        <row r="161">
          <cell r="D161" t="str">
            <v>MESA DE TRABAJO DE 1.80 X 0.80 COLOR GRAFITO</v>
          </cell>
        </row>
        <row r="164">
          <cell r="D164" t="str">
            <v>MICROFONOS</v>
          </cell>
        </row>
        <row r="165">
          <cell r="D165" t="str">
            <v>MICROFONO ALAMBRICO INALAMBRICO 19-1960</v>
          </cell>
        </row>
        <row r="166">
          <cell r="D166" t="str">
            <v>MICROFONO ALAMBRICO INALAMBRICO MS-50</v>
          </cell>
        </row>
        <row r="167">
          <cell r="D167" t="str">
            <v>MICROFONO INALAMBRICO MS-100</v>
          </cell>
        </row>
        <row r="168">
          <cell r="D168" t="str">
            <v>JUEGO DE DOS MICROFONOS INALAMBRICOS 12-3002G</v>
          </cell>
        </row>
        <row r="171">
          <cell r="D171" t="str">
            <v>NICHOS</v>
          </cell>
        </row>
        <row r="172">
          <cell r="D172" t="str">
            <v>NICHO PARA BANDERA DE 1.50MTS CON VIDRIOS</v>
          </cell>
        </row>
        <row r="173">
          <cell r="D173" t="str">
            <v>NICHO PARA BANDERA DE 1.80MTS CON VIDRIOS</v>
          </cell>
        </row>
        <row r="174">
          <cell r="D174" t="str">
            <v>NICHO PARA BANDERA DE 2.20MTS CON VIDRIOS</v>
          </cell>
        </row>
        <row r="175">
          <cell r="D175" t="str">
            <v>NICHO PARA BANDERA DE 2.40MTS CON VIDRIOS</v>
          </cell>
        </row>
        <row r="177">
          <cell r="D177" t="str">
            <v>PANTALLAS</v>
          </cell>
        </row>
        <row r="178">
          <cell r="D178" t="str">
            <v>PANTALLA DE PROYECCION DE TRIPIE DE 1.64 X 1.64 MCA. APOLLO</v>
          </cell>
        </row>
        <row r="179">
          <cell r="D179" t="str">
            <v>PANTALLA DE PROYECCION DE PARED DE 1.64 X 1.64  APOLLO</v>
          </cell>
        </row>
        <row r="182">
          <cell r="D182" t="str">
            <v>PAPELERIA</v>
          </cell>
        </row>
        <row r="183">
          <cell r="D183" t="str">
            <v>CAJA DE HOJAS TAMAÑO CARTA CON 5000H</v>
          </cell>
        </row>
        <row r="184">
          <cell r="D184" t="str">
            <v>PAQUETE DE 500H TAMANO CARTA</v>
          </cell>
        </row>
        <row r="185">
          <cell r="D185" t="str">
            <v>CAJA DE HOJAS TAMAÑO OFICIO CON 5000H</v>
          </cell>
        </row>
        <row r="186">
          <cell r="D186" t="str">
            <v>PAQUETE DE 500H TAMANO OFICIO</v>
          </cell>
        </row>
        <row r="187">
          <cell r="D187" t="str">
            <v>PAPEL BOND BLANCO PAQUETE CON 100 PZAS.</v>
          </cell>
        </row>
        <row r="188">
          <cell r="D188" t="str">
            <v>PAPEL BOND CUADRICULADO PAQUETE CON 100 PZAS.</v>
          </cell>
        </row>
        <row r="189">
          <cell r="D189" t="str">
            <v>CARTULINA BLANCA PAQUETE CON 25 PZAS</v>
          </cell>
        </row>
        <row r="190">
          <cell r="D190" t="str">
            <v>CARTULINA DE COLORES PAQUETE CON 25 PZAS</v>
          </cell>
        </row>
        <row r="191">
          <cell r="D191" t="str">
            <v>MANTENIMIENTO A EQUIPO DE COMPUTO INCLUYE LIMPIEZA FISICA Y LOGICA O REINSTALACION DE S.O.</v>
          </cell>
        </row>
        <row r="192">
          <cell r="D192" t="str">
            <v>VENTILADOR DE PEDESTAL CICLONE</v>
          </cell>
        </row>
        <row r="193">
          <cell r="D193" t="str">
            <v>VENTILADOR DE PISO CICLONE</v>
          </cell>
        </row>
        <row r="194">
          <cell r="D194" t="str">
            <v>VENTILADOR DE TECHO TIPO HOTELERO CON 5 VELOCIDADES</v>
          </cell>
        </row>
        <row r="195">
          <cell r="D195" t="str">
            <v>DESPACHADOR DE AGUA MYHOME DE MESA FRIA Y CALIENTE</v>
          </cell>
        </row>
        <row r="196">
          <cell r="D196" t="str">
            <v>DESPACHADOR DE AGUA MYHOME DE PISO CON ALACENA INFERIOR  FRIA Y CALIENTE</v>
          </cell>
        </row>
        <row r="197">
          <cell r="D197" t="str">
            <v>DESPACHADOR DE AGUA G&amp;E DE PISO CON ALACENA INFERIOR FRIA Y CALIENTE</v>
          </cell>
        </row>
        <row r="200">
          <cell r="D200" t="str">
            <v>PINTARRONES &amp; MARCADORES</v>
          </cell>
        </row>
        <row r="202">
          <cell r="D202" t="str">
            <v>PINTARRON ESCOBOARD MARCO DE ALUMINIO DE 1.20 X .90</v>
          </cell>
        </row>
        <row r="203">
          <cell r="D203" t="str">
            <v>PINTARRON ESCOBOARD MARCO DE ALUMINIO DE 1.80 X 1.20</v>
          </cell>
        </row>
        <row r="204">
          <cell r="D204" t="str">
            <v>PINTARRON ESCOBOARD MARCO DE ALUMINIO DE 2.40 X 1.20</v>
          </cell>
        </row>
        <row r="207">
          <cell r="D207" t="str">
            <v>PROYECTORES</v>
          </cell>
        </row>
        <row r="208">
          <cell r="D208" t="str">
            <v>PROYECTOR 3M M-PRO MOD 110,120</v>
          </cell>
        </row>
        <row r="209">
          <cell r="D209" t="str">
            <v>PROY SONY ES7 3LCD 2000LUM SVGA 800 X 600 OFF&amp;GO 1WY MALETIN</v>
          </cell>
        </row>
        <row r="210">
          <cell r="D210" t="str">
            <v>PROYECTOR MCA.  BENQ  MOD. MP515 SVGA 2500 ANSI CONT 2600:1</v>
          </cell>
        </row>
        <row r="211">
          <cell r="D211" t="str">
            <v>PROYECTOR MCA. LG  MOD. DX325B XGA 2500LUM CONTRASTE 2200:1</v>
          </cell>
        </row>
        <row r="212">
          <cell r="D212" t="str">
            <v>PROYECTOR IN2102, 2500 LUM/DLP SVGA/BRILLICOLOR</v>
          </cell>
        </row>
        <row r="215">
          <cell r="D215" t="str">
            <v>ROTAFOLIO</v>
          </cell>
        </row>
        <row r="216">
          <cell r="D216" t="str">
            <v>ROTAFOLIO ESCO CUADRUPLE EMBUTIBLE UNA CARA 1.75 X 60 X 90</v>
          </cell>
        </row>
        <row r="219">
          <cell r="D219" t="str">
            <v>SILLAS</v>
          </cell>
        </row>
        <row r="220">
          <cell r="D220" t="str">
            <v>SILLA PLEGABLE METALICA TIPO FIESTAS</v>
          </cell>
        </row>
        <row r="221">
          <cell r="D221" t="str">
            <v>SILLA PLEGABLE METALICA CON ASIENTO Y RESPALDO DE PLASTICO</v>
          </cell>
        </row>
        <row r="222">
          <cell r="D222" t="str">
            <v>SILLA ACOJINADA TIPO VISITANTE FORRO EN TELA COLOR NEGRO</v>
          </cell>
        </row>
        <row r="223">
          <cell r="D223" t="str">
            <v>SILLA ACOJINADA TIPO VISITANTE FORRO EN TELA COLOR NEGRO LINEA HERGONOMICA</v>
          </cell>
        </row>
        <row r="226">
          <cell r="D226" t="str">
            <v>SOPORTES</v>
          </cell>
        </row>
        <row r="227">
          <cell r="D227" t="str">
            <v>SOPORTE PARA TELEVISION CONVENCIONAL DE 21 A 29</v>
          </cell>
        </row>
        <row r="228">
          <cell r="D228" t="str">
            <v>SOPORTE FIJO CON INCLINACION PARA PARED PANTALLA DESDE 23 A 46</v>
          </cell>
        </row>
        <row r="232">
          <cell r="D232" t="str">
            <v>TELEVISORES</v>
          </cell>
        </row>
        <row r="233">
          <cell r="D233" t="str">
            <v xml:space="preserve">TELEVISOR MARCA LG FLATRON MOD. 21FJ4A/FJ5A </v>
          </cell>
        </row>
        <row r="234">
          <cell r="D234" t="str">
            <v>TELEVISOR MARCA LG ULTRA SLIM MOD. 29FUL1RL/RS/29FU9RL</v>
          </cell>
        </row>
        <row r="235">
          <cell r="D235" t="str">
            <v xml:space="preserve">TELEVISOR MARCA LG  LCD MOD. 32LG30/32LU25 MARCA </v>
          </cell>
        </row>
        <row r="236">
          <cell r="D236" t="str">
            <v xml:space="preserve">TELEVISOR MARCA LG  LCD MOD. 37LH20/37LU25 MARCA </v>
          </cell>
        </row>
      </sheetData>
      <sheetData sheetId="1" refreshError="1">
        <row r="2">
          <cell r="A2" t="str">
            <v>ABASOLO</v>
          </cell>
          <cell r="B2" t="str">
            <v>11DPR2308F</v>
          </cell>
          <cell r="C2" t="str">
            <v>X</v>
          </cell>
          <cell r="E2" t="str">
            <v>REVOLUCION</v>
          </cell>
          <cell r="F2">
            <v>81</v>
          </cell>
          <cell r="G2">
            <v>7</v>
          </cell>
          <cell r="H2" t="str">
            <v>Abasolo</v>
          </cell>
          <cell r="I2">
            <v>85000</v>
          </cell>
          <cell r="J2" t="str">
            <v>Completa</v>
          </cell>
          <cell r="K2" t="str">
            <v>ECHEGARAY NUM. 601 SUR</v>
          </cell>
          <cell r="L2">
            <v>0</v>
          </cell>
          <cell r="M2" t="str">
            <v>ABASOLO</v>
          </cell>
          <cell r="T2">
            <v>1</v>
          </cell>
        </row>
        <row r="3">
          <cell r="A3" t="str">
            <v>ABASOLO</v>
          </cell>
          <cell r="B3" t="str">
            <v>11EPR0887P</v>
          </cell>
          <cell r="D3" t="str">
            <v>X</v>
          </cell>
          <cell r="E3" t="str">
            <v>MACRINA URIBE</v>
          </cell>
          <cell r="F3">
            <v>554</v>
          </cell>
          <cell r="G3">
            <v>3</v>
          </cell>
          <cell r="H3" t="str">
            <v>Abasolo</v>
          </cell>
          <cell r="I3">
            <v>85000</v>
          </cell>
          <cell r="J3" t="str">
            <v>Completa</v>
          </cell>
          <cell r="K3" t="str">
            <v>16 DE SEPTIEMBRE NUM. 200</v>
          </cell>
          <cell r="L3" t="str">
            <v>ZONA CENTRO</v>
          </cell>
          <cell r="M3" t="str">
            <v>ABASOLO</v>
          </cell>
          <cell r="T3">
            <v>2</v>
          </cell>
        </row>
        <row r="4">
          <cell r="A4" t="str">
            <v>GRANJA LA ESPERANZA</v>
          </cell>
          <cell r="B4" t="str">
            <v>11DPR1576U</v>
          </cell>
          <cell r="D4" t="str">
            <v>X</v>
          </cell>
          <cell r="E4" t="str">
            <v>EMILIANO ZAPATA</v>
          </cell>
          <cell r="F4">
            <v>6</v>
          </cell>
          <cell r="G4">
            <v>7</v>
          </cell>
          <cell r="H4" t="str">
            <v>Abasolo</v>
          </cell>
          <cell r="I4">
            <v>85000</v>
          </cell>
          <cell r="J4" t="str">
            <v>Completa</v>
          </cell>
          <cell r="K4" t="str">
            <v>GRANJA LA ESPERANZA</v>
          </cell>
          <cell r="L4">
            <v>0</v>
          </cell>
          <cell r="M4" t="str">
            <v>GRANJA LA ESPERANZA</v>
          </cell>
          <cell r="T4">
            <v>3</v>
          </cell>
        </row>
        <row r="5">
          <cell r="A5" t="str">
            <v>ABASOLO</v>
          </cell>
          <cell r="B5" t="str">
            <v>11DPR1832U</v>
          </cell>
          <cell r="C5" t="str">
            <v>X</v>
          </cell>
          <cell r="E5" t="str">
            <v>VEINTE DE NOVIEMBRE</v>
          </cell>
          <cell r="F5">
            <v>81</v>
          </cell>
          <cell r="G5">
            <v>7</v>
          </cell>
          <cell r="H5" t="str">
            <v>Abasolo</v>
          </cell>
          <cell r="I5">
            <v>85000</v>
          </cell>
          <cell r="J5" t="str">
            <v>Completa</v>
          </cell>
          <cell r="K5" t="str">
            <v>ECHEGARAY NUM. 601 SUR</v>
          </cell>
          <cell r="L5">
            <v>0</v>
          </cell>
          <cell r="M5" t="str">
            <v>ABASOLO</v>
          </cell>
          <cell r="T5">
            <v>4</v>
          </cell>
        </row>
        <row r="6">
          <cell r="A6" t="str">
            <v>BOQUILLAS</v>
          </cell>
          <cell r="B6" t="str">
            <v>11DPR1995E</v>
          </cell>
          <cell r="C6" t="str">
            <v>X</v>
          </cell>
          <cell r="E6" t="str">
            <v>EMILIANO ZAPATA</v>
          </cell>
          <cell r="F6">
            <v>81</v>
          </cell>
          <cell r="G6">
            <v>7</v>
          </cell>
          <cell r="H6" t="str">
            <v>Abasolo</v>
          </cell>
          <cell r="I6">
            <v>85000</v>
          </cell>
          <cell r="J6" t="str">
            <v>Completa</v>
          </cell>
          <cell r="K6" t="str">
            <v>BOQUILLAS</v>
          </cell>
          <cell r="L6">
            <v>0</v>
          </cell>
          <cell r="M6" t="str">
            <v>BOQUILLAS</v>
          </cell>
          <cell r="T6">
            <v>5</v>
          </cell>
        </row>
        <row r="7">
          <cell r="A7" t="str">
            <v>ABASOLO</v>
          </cell>
          <cell r="B7" t="str">
            <v>11EPR0003Z</v>
          </cell>
          <cell r="D7" t="str">
            <v>X</v>
          </cell>
          <cell r="E7" t="str">
            <v>MIGUEL HIDALGO</v>
          </cell>
          <cell r="F7">
            <v>554</v>
          </cell>
          <cell r="G7">
            <v>3</v>
          </cell>
          <cell r="H7" t="str">
            <v>Abasolo</v>
          </cell>
          <cell r="I7">
            <v>85000</v>
          </cell>
          <cell r="J7" t="str">
            <v>Completa</v>
          </cell>
          <cell r="K7" t="str">
            <v>CARRETERA INTERNACIONAL KILOMETRO 29</v>
          </cell>
          <cell r="L7">
            <v>0</v>
          </cell>
          <cell r="M7" t="str">
            <v>ABASOLO</v>
          </cell>
          <cell r="T7">
            <v>6</v>
          </cell>
        </row>
        <row r="8">
          <cell r="A8" t="str">
            <v>ZAPOTE DE PERALTA</v>
          </cell>
          <cell r="B8" t="str">
            <v>11DPR1646Z</v>
          </cell>
          <cell r="C8" t="str">
            <v>X</v>
          </cell>
          <cell r="E8" t="str">
            <v>IGNACIO ALDAMA</v>
          </cell>
          <cell r="F8">
            <v>81</v>
          </cell>
          <cell r="G8">
            <v>7</v>
          </cell>
          <cell r="H8" t="str">
            <v>Abasolo</v>
          </cell>
          <cell r="I8">
            <v>70000</v>
          </cell>
          <cell r="J8" t="str">
            <v>Completa</v>
          </cell>
          <cell r="K8" t="str">
            <v>ZAPOTE DE PERALTA</v>
          </cell>
          <cell r="L8">
            <v>0</v>
          </cell>
          <cell r="M8" t="str">
            <v>ZAPOTE DE PERALTA</v>
          </cell>
          <cell r="T8">
            <v>7</v>
          </cell>
        </row>
        <row r="9">
          <cell r="A9" t="str">
            <v>ABASOLO</v>
          </cell>
          <cell r="B9" t="str">
            <v>11EJN0417H</v>
          </cell>
          <cell r="C9" t="str">
            <v>X</v>
          </cell>
          <cell r="E9" t="str">
            <v>JEAN PIAGET</v>
          </cell>
          <cell r="F9">
            <v>521</v>
          </cell>
          <cell r="G9">
            <v>4</v>
          </cell>
          <cell r="H9" t="str">
            <v>Abasolo</v>
          </cell>
          <cell r="I9">
            <v>30000</v>
          </cell>
          <cell r="J9" t="str">
            <v>Multigrado</v>
          </cell>
          <cell r="K9" t="str">
            <v>CLAVENIDAEL</v>
          </cell>
          <cell r="L9" t="str">
            <v>LAS MARGARITAS</v>
          </cell>
          <cell r="M9" t="str">
            <v>ABASOLO</v>
          </cell>
          <cell r="T9">
            <v>8</v>
          </cell>
        </row>
        <row r="10">
          <cell r="A10" t="str">
            <v>LABOR DE PERALTA</v>
          </cell>
          <cell r="B10" t="str">
            <v>11DJN0368Q</v>
          </cell>
          <cell r="C10" t="str">
            <v>X</v>
          </cell>
          <cell r="D10" t="str">
            <v>X</v>
          </cell>
          <cell r="E10" t="str">
            <v>IGNACIO MANUEL ALTAMIRANO</v>
          </cell>
          <cell r="F10">
            <v>28</v>
          </cell>
          <cell r="G10">
            <v>19</v>
          </cell>
          <cell r="H10" t="str">
            <v>Abasolo</v>
          </cell>
          <cell r="I10">
            <v>30000</v>
          </cell>
          <cell r="J10" t="str">
            <v>Multigrado</v>
          </cell>
          <cell r="K10" t="str">
            <v>LABOR DE PERALTA</v>
          </cell>
          <cell r="L10">
            <v>0</v>
          </cell>
          <cell r="M10" t="str">
            <v>LABOR DE PERALTA</v>
          </cell>
          <cell r="T10">
            <v>9</v>
          </cell>
        </row>
        <row r="11">
          <cell r="A11" t="str">
            <v>ABASOLO</v>
          </cell>
          <cell r="B11" t="str">
            <v>11DPR1025S</v>
          </cell>
          <cell r="C11" t="str">
            <v>X</v>
          </cell>
          <cell r="E11" t="str">
            <v>CUAUHTEMOC</v>
          </cell>
          <cell r="F11">
            <v>81</v>
          </cell>
          <cell r="G11">
            <v>7</v>
          </cell>
          <cell r="H11" t="str">
            <v>Abasolo</v>
          </cell>
          <cell r="I11">
            <v>85000</v>
          </cell>
          <cell r="J11" t="str">
            <v>Completa</v>
          </cell>
          <cell r="K11" t="str">
            <v>VICENTE GUERRERO</v>
          </cell>
          <cell r="L11">
            <v>0</v>
          </cell>
          <cell r="M11" t="str">
            <v>ABASOLO</v>
          </cell>
          <cell r="T11">
            <v>10</v>
          </cell>
        </row>
        <row r="12">
          <cell r="A12" t="str">
            <v>ALTO DE SAN JOSE DE GONZALEZ</v>
          </cell>
          <cell r="B12" t="str">
            <v>11DPR1782C</v>
          </cell>
          <cell r="D12" t="str">
            <v>X</v>
          </cell>
          <cell r="E12" t="str">
            <v>IGNACIO ZARAGOZA</v>
          </cell>
          <cell r="F12">
            <v>6</v>
          </cell>
          <cell r="G12">
            <v>7</v>
          </cell>
          <cell r="H12" t="str">
            <v>Abasolo</v>
          </cell>
          <cell r="I12">
            <v>30000</v>
          </cell>
          <cell r="J12" t="str">
            <v>Multigrado</v>
          </cell>
          <cell r="K12" t="str">
            <v>ALTO DE SAN JOSE DE GONZALEZ</v>
          </cell>
          <cell r="L12">
            <v>0</v>
          </cell>
          <cell r="M12" t="str">
            <v>ALTO DE SAN JOSE DE GONZALEZ</v>
          </cell>
          <cell r="T12">
            <v>11</v>
          </cell>
        </row>
        <row r="13">
          <cell r="A13" t="str">
            <v>EL FRESNO</v>
          </cell>
          <cell r="B13" t="str">
            <v>11DPR0573Q</v>
          </cell>
          <cell r="D13" t="str">
            <v>X</v>
          </cell>
          <cell r="E13" t="str">
            <v>HEROES DE CHAPULTEPEC</v>
          </cell>
          <cell r="F13">
            <v>6</v>
          </cell>
          <cell r="G13">
            <v>7</v>
          </cell>
          <cell r="H13" t="str">
            <v>Abasolo</v>
          </cell>
          <cell r="I13">
            <v>30000</v>
          </cell>
          <cell r="J13" t="str">
            <v>Multigrado</v>
          </cell>
          <cell r="K13" t="str">
            <v>EL FRESNO</v>
          </cell>
          <cell r="L13">
            <v>0</v>
          </cell>
          <cell r="M13" t="str">
            <v>EL FRESNO</v>
          </cell>
          <cell r="T13">
            <v>12</v>
          </cell>
        </row>
        <row r="14">
          <cell r="A14" t="str">
            <v>PIEDRAS NEGRAS</v>
          </cell>
          <cell r="B14" t="str">
            <v>11DJN0571B</v>
          </cell>
          <cell r="C14" t="str">
            <v>X</v>
          </cell>
          <cell r="E14" t="str">
            <v>VALENTIN GOMEZ FARIAS</v>
          </cell>
          <cell r="F14">
            <v>28</v>
          </cell>
          <cell r="G14">
            <v>19</v>
          </cell>
          <cell r="H14" t="str">
            <v>Abasolo</v>
          </cell>
          <cell r="I14">
            <v>20000</v>
          </cell>
          <cell r="J14" t="str">
            <v>Multigrado</v>
          </cell>
          <cell r="K14" t="str">
            <v>PIEDRAS NEGRAS</v>
          </cell>
          <cell r="L14">
            <v>0</v>
          </cell>
          <cell r="M14" t="str">
            <v>PIEDRAS NEGRAS</v>
          </cell>
          <cell r="T14">
            <v>13</v>
          </cell>
        </row>
        <row r="15">
          <cell r="A15" t="str">
            <v>LAS MASAS (LA LUZ MASAS)</v>
          </cell>
          <cell r="B15" t="str">
            <v>11DJN0369P</v>
          </cell>
          <cell r="C15" t="str">
            <v>X</v>
          </cell>
          <cell r="E15" t="str">
            <v>MELCHOR OCAMPO</v>
          </cell>
          <cell r="F15">
            <v>28</v>
          </cell>
          <cell r="G15">
            <v>19</v>
          </cell>
          <cell r="H15" t="str">
            <v>Abasolo</v>
          </cell>
          <cell r="I15">
            <v>85000</v>
          </cell>
          <cell r="J15" t="str">
            <v>Completa</v>
          </cell>
          <cell r="K15" t="str">
            <v>LAS MASAS</v>
          </cell>
          <cell r="L15">
            <v>0</v>
          </cell>
          <cell r="M15" t="str">
            <v>LAS MASAS (LA LUZ MASAS)</v>
          </cell>
          <cell r="T15">
            <v>14</v>
          </cell>
        </row>
        <row r="16">
          <cell r="A16" t="str">
            <v>TAMAZULA</v>
          </cell>
          <cell r="B16" t="str">
            <v>11DJN2930L</v>
          </cell>
          <cell r="E16" t="str">
            <v>PIPILA</v>
          </cell>
          <cell r="F16">
            <v>58</v>
          </cell>
          <cell r="G16">
            <v>19</v>
          </cell>
          <cell r="H16" t="str">
            <v>Abasolo</v>
          </cell>
          <cell r="I16">
            <v>30000</v>
          </cell>
          <cell r="J16" t="str">
            <v>Multigrado</v>
          </cell>
          <cell r="K16" t="str">
            <v>TAMAZULA</v>
          </cell>
          <cell r="L16">
            <v>0</v>
          </cell>
          <cell r="M16" t="str">
            <v>TAMAZULA</v>
          </cell>
          <cell r="T16">
            <v>15</v>
          </cell>
        </row>
        <row r="17">
          <cell r="A17" t="str">
            <v>BERUMBO</v>
          </cell>
          <cell r="B17" t="str">
            <v>11EJN0316J</v>
          </cell>
          <cell r="C17" t="str">
            <v>X</v>
          </cell>
          <cell r="E17" t="str">
            <v>MARIANO SILVA Y ACEVES</v>
          </cell>
          <cell r="F17">
            <v>521</v>
          </cell>
          <cell r="G17">
            <v>4</v>
          </cell>
          <cell r="H17" t="str">
            <v>Abasolo</v>
          </cell>
          <cell r="I17">
            <v>30000</v>
          </cell>
          <cell r="J17" t="str">
            <v>Multigrado</v>
          </cell>
          <cell r="K17" t="str">
            <v>BERUMBO</v>
          </cell>
          <cell r="L17">
            <v>0</v>
          </cell>
          <cell r="M17" t="str">
            <v>BERUMBO</v>
          </cell>
          <cell r="T17">
            <v>16</v>
          </cell>
        </row>
        <row r="18">
          <cell r="A18" t="str">
            <v>SAN FRANCISCO DE LA SOLEDAD</v>
          </cell>
          <cell r="B18" t="str">
            <v>11EJN0378W</v>
          </cell>
          <cell r="C18" t="str">
            <v>X</v>
          </cell>
          <cell r="E18" t="str">
            <v>"PABLO MONTESINOS"</v>
          </cell>
          <cell r="F18">
            <v>521</v>
          </cell>
          <cell r="G18">
            <v>4</v>
          </cell>
          <cell r="H18" t="str">
            <v>Abasolo</v>
          </cell>
          <cell r="I18">
            <v>25000</v>
          </cell>
          <cell r="J18" t="str">
            <v>Multigrado</v>
          </cell>
          <cell r="K18" t="str">
            <v>SAN FRANCISCO DE LA SOLEDAD</v>
          </cell>
          <cell r="L18">
            <v>0</v>
          </cell>
          <cell r="M18" t="str">
            <v>SAN FRANCISCO DE LA SOLEDAD</v>
          </cell>
          <cell r="T18">
            <v>17</v>
          </cell>
        </row>
        <row r="19">
          <cell r="A19" t="str">
            <v>SAN NICOLAS DE LOS ROSALES (LA CABRA)</v>
          </cell>
          <cell r="B19" t="str">
            <v>11EJN0379V</v>
          </cell>
          <cell r="C19" t="str">
            <v>X</v>
          </cell>
          <cell r="E19" t="str">
            <v>JOSEFA ORTIZ DE DOMINGUEZ</v>
          </cell>
          <cell r="F19">
            <v>521</v>
          </cell>
          <cell r="G19">
            <v>4</v>
          </cell>
          <cell r="H19" t="str">
            <v>Abasolo</v>
          </cell>
          <cell r="I19">
            <v>25000</v>
          </cell>
          <cell r="J19" t="str">
            <v>Multigrado</v>
          </cell>
          <cell r="K19" t="str">
            <v>SAN NICOLAS DE AYALA</v>
          </cell>
          <cell r="L19">
            <v>0</v>
          </cell>
          <cell r="M19" t="str">
            <v>SAN NICOLAS DE LOS ROSALES (LA CABRA)</v>
          </cell>
          <cell r="T19">
            <v>18</v>
          </cell>
        </row>
        <row r="20">
          <cell r="A20" t="str">
            <v>MARFIL</v>
          </cell>
          <cell r="B20" t="str">
            <v>11EJN0008D</v>
          </cell>
          <cell r="C20" t="str">
            <v>X</v>
          </cell>
          <cell r="E20" t="str">
            <v>JUAN ESCUTIA</v>
          </cell>
          <cell r="F20">
            <v>521</v>
          </cell>
          <cell r="G20">
            <v>4</v>
          </cell>
          <cell r="H20" t="str">
            <v>Abasolo</v>
          </cell>
          <cell r="I20">
            <v>25000</v>
          </cell>
          <cell r="J20" t="str">
            <v>Multigrado</v>
          </cell>
          <cell r="K20" t="str">
            <v>EL REFUGIO MARFIL</v>
          </cell>
          <cell r="L20">
            <v>0</v>
          </cell>
          <cell r="M20" t="str">
            <v>MARFIL</v>
          </cell>
          <cell r="T20">
            <v>19</v>
          </cell>
        </row>
        <row r="21">
          <cell r="A21" t="str">
            <v>LA TINAJA DE NEGRETE (LA TINAJA)</v>
          </cell>
          <cell r="B21" t="str">
            <v>11DJN0701E</v>
          </cell>
          <cell r="C21" t="str">
            <v>X</v>
          </cell>
          <cell r="E21" t="str">
            <v>IGNACIO ZARAGOZA</v>
          </cell>
          <cell r="F21">
            <v>28</v>
          </cell>
          <cell r="G21">
            <v>19</v>
          </cell>
          <cell r="H21" t="str">
            <v>Abasolo</v>
          </cell>
          <cell r="I21">
            <v>30000</v>
          </cell>
          <cell r="J21" t="str">
            <v>Multigrado</v>
          </cell>
          <cell r="K21" t="str">
            <v>TINAJA DE NEGRETE</v>
          </cell>
          <cell r="L21">
            <v>0</v>
          </cell>
          <cell r="M21" t="str">
            <v>LA TINAJA DE NEGRETE (LA TINAJA)</v>
          </cell>
          <cell r="T21">
            <v>20</v>
          </cell>
        </row>
        <row r="22">
          <cell r="A22" t="str">
            <v>COLONIA HERMOSILLO</v>
          </cell>
          <cell r="B22" t="str">
            <v>11EPR0874L</v>
          </cell>
          <cell r="C22" t="str">
            <v>X</v>
          </cell>
          <cell r="E22" t="str">
            <v>FRANCISCO VILLA</v>
          </cell>
          <cell r="F22">
            <v>554</v>
          </cell>
          <cell r="G22">
            <v>3</v>
          </cell>
          <cell r="H22" t="str">
            <v>Abasolo</v>
          </cell>
          <cell r="I22">
            <v>30000</v>
          </cell>
          <cell r="J22" t="str">
            <v>Multigrado</v>
          </cell>
          <cell r="K22" t="str">
            <v>HERMOSILLO S/N</v>
          </cell>
          <cell r="L22">
            <v>0</v>
          </cell>
          <cell r="M22" t="str">
            <v>COLONIA HERMOSILLO</v>
          </cell>
          <cell r="T22">
            <v>21</v>
          </cell>
        </row>
        <row r="23">
          <cell r="A23" t="str">
            <v>LAS CRUCES</v>
          </cell>
          <cell r="B23" t="str">
            <v>11ETV1046C</v>
          </cell>
          <cell r="C23" t="str">
            <v>X</v>
          </cell>
          <cell r="E23" t="str">
            <v>MIGUEL DE CERVANTES SAAVEDRA</v>
          </cell>
          <cell r="F23">
            <v>501</v>
          </cell>
          <cell r="G23">
            <v>3</v>
          </cell>
          <cell r="H23" t="str">
            <v>Abasolo</v>
          </cell>
          <cell r="I23">
            <v>70000</v>
          </cell>
          <cell r="J23" t="str">
            <v>Completa</v>
          </cell>
          <cell r="K23" t="str">
            <v>LAS CRUCES</v>
          </cell>
          <cell r="L23">
            <v>0</v>
          </cell>
          <cell r="M23" t="str">
            <v>LAS CRUCES</v>
          </cell>
          <cell r="T23">
            <v>22</v>
          </cell>
        </row>
        <row r="24">
          <cell r="A24" t="str">
            <v>ABASOLO</v>
          </cell>
          <cell r="B24" t="str">
            <v>11EJN0294O</v>
          </cell>
          <cell r="C24" t="str">
            <v>X</v>
          </cell>
          <cell r="E24" t="str">
            <v>GABRIELA MISTRAL</v>
          </cell>
          <cell r="F24">
            <v>521</v>
          </cell>
          <cell r="G24">
            <v>4</v>
          </cell>
          <cell r="H24" t="str">
            <v>Abasolo</v>
          </cell>
          <cell r="I24">
            <v>85000</v>
          </cell>
          <cell r="J24" t="str">
            <v>Completa</v>
          </cell>
          <cell r="K24" t="str">
            <v>FANCISCO VILLA NUM. 100</v>
          </cell>
          <cell r="L24">
            <v>0</v>
          </cell>
          <cell r="M24" t="str">
            <v>ABASOLO</v>
          </cell>
          <cell r="T24">
            <v>23</v>
          </cell>
        </row>
        <row r="25">
          <cell r="A25" t="str">
            <v>TROJES DE MARAÑON</v>
          </cell>
          <cell r="B25" t="str">
            <v>11DJN2668A</v>
          </cell>
          <cell r="C25" t="str">
            <v>X</v>
          </cell>
          <cell r="E25" t="str">
            <v>PLUTARCO ELIAS CALLES</v>
          </cell>
          <cell r="F25">
            <v>58</v>
          </cell>
          <cell r="G25">
            <v>19</v>
          </cell>
          <cell r="H25" t="str">
            <v>Abasolo</v>
          </cell>
          <cell r="I25">
            <v>30000</v>
          </cell>
          <cell r="J25" t="str">
            <v>Multigrado</v>
          </cell>
          <cell r="K25" t="str">
            <v>TROJES DE MARAÑON</v>
          </cell>
          <cell r="L25">
            <v>0</v>
          </cell>
          <cell r="M25" t="str">
            <v>TROJES DE MARAÑON</v>
          </cell>
          <cell r="T25">
            <v>24</v>
          </cell>
        </row>
        <row r="26">
          <cell r="A26" t="str">
            <v>EL VARAL</v>
          </cell>
          <cell r="B26" t="str">
            <v>11ETV0049T</v>
          </cell>
          <cell r="C26" t="str">
            <v>X</v>
          </cell>
          <cell r="E26" t="str">
            <v>TELESECUNDARIA NUM. 56</v>
          </cell>
          <cell r="F26">
            <v>501</v>
          </cell>
          <cell r="G26">
            <v>3</v>
          </cell>
          <cell r="H26" t="str">
            <v>Abasolo</v>
          </cell>
          <cell r="I26">
            <v>85000</v>
          </cell>
          <cell r="J26" t="str">
            <v>Completa</v>
          </cell>
          <cell r="K26" t="str">
            <v>EL VARAL</v>
          </cell>
          <cell r="L26">
            <v>0</v>
          </cell>
          <cell r="M26" t="str">
            <v>EL VARAL</v>
          </cell>
          <cell r="T26">
            <v>25</v>
          </cell>
        </row>
        <row r="27">
          <cell r="A27" t="str">
            <v>RANCHO NUEVO DE LA CRUZ</v>
          </cell>
          <cell r="B27" t="str">
            <v>11DJN0376Z</v>
          </cell>
          <cell r="C27" t="str">
            <v>X</v>
          </cell>
          <cell r="E27" t="str">
            <v>SOR JUANA INES DE LA CRUZ</v>
          </cell>
          <cell r="F27">
            <v>28</v>
          </cell>
          <cell r="G27">
            <v>19</v>
          </cell>
          <cell r="H27" t="str">
            <v>Abasolo</v>
          </cell>
          <cell r="I27">
            <v>85000</v>
          </cell>
          <cell r="J27" t="str">
            <v>Completa</v>
          </cell>
          <cell r="K27" t="str">
            <v>RANCHO NUEVO DE LA CRUZ S/N</v>
          </cell>
          <cell r="L27">
            <v>0</v>
          </cell>
          <cell r="M27" t="str">
            <v>RANCHO NUEVO DE LA CRUZ</v>
          </cell>
          <cell r="T27">
            <v>26</v>
          </cell>
        </row>
        <row r="28">
          <cell r="A28" t="str">
            <v>ABASOLO</v>
          </cell>
          <cell r="B28" t="str">
            <v>11ETV0773M</v>
          </cell>
          <cell r="C28" t="str">
            <v>X</v>
          </cell>
          <cell r="E28" t="str">
            <v>TELESECUNDARIA NUM. 773</v>
          </cell>
          <cell r="F28">
            <v>501</v>
          </cell>
          <cell r="G28">
            <v>3</v>
          </cell>
          <cell r="H28" t="str">
            <v>Abasolo</v>
          </cell>
          <cell r="I28">
            <v>85000</v>
          </cell>
          <cell r="J28" t="str">
            <v>Completa</v>
          </cell>
          <cell r="K28" t="str">
            <v>JUAREZ</v>
          </cell>
          <cell r="L28">
            <v>0</v>
          </cell>
          <cell r="M28" t="str">
            <v>ABASOLO</v>
          </cell>
          <cell r="T28">
            <v>27</v>
          </cell>
        </row>
        <row r="29">
          <cell r="A29" t="str">
            <v>CERRITOS DE ACEVES</v>
          </cell>
          <cell r="B29" t="str">
            <v>11DJN0567P</v>
          </cell>
          <cell r="C29" t="str">
            <v>X</v>
          </cell>
          <cell r="E29" t="str">
            <v>AMADO NERVO</v>
          </cell>
          <cell r="F29">
            <v>58</v>
          </cell>
          <cell r="G29">
            <v>19</v>
          </cell>
          <cell r="H29" t="str">
            <v>Abasolo</v>
          </cell>
          <cell r="I29">
            <v>30000</v>
          </cell>
          <cell r="J29" t="str">
            <v>Multigrado</v>
          </cell>
          <cell r="K29" t="str">
            <v>CERRITO DE ACEVES</v>
          </cell>
          <cell r="L29">
            <v>0</v>
          </cell>
          <cell r="M29" t="str">
            <v>CERRITOS DE ACEVES</v>
          </cell>
          <cell r="T29">
            <v>28</v>
          </cell>
        </row>
        <row r="30">
          <cell r="A30" t="str">
            <v>RINCON DE MARTINEZ</v>
          </cell>
          <cell r="B30" t="str">
            <v>11DJN0572A</v>
          </cell>
          <cell r="C30" t="str">
            <v>X</v>
          </cell>
          <cell r="E30" t="str">
            <v>AGUSTIN YAÑEZ</v>
          </cell>
          <cell r="F30">
            <v>58</v>
          </cell>
          <cell r="G30">
            <v>19</v>
          </cell>
          <cell r="H30" t="str">
            <v>Abasolo</v>
          </cell>
          <cell r="I30">
            <v>30000</v>
          </cell>
          <cell r="J30" t="str">
            <v>Multigrado</v>
          </cell>
          <cell r="K30" t="str">
            <v>RINCON DE MARTINEZ</v>
          </cell>
          <cell r="L30">
            <v>0</v>
          </cell>
          <cell r="M30" t="str">
            <v>RINCON DE MARTINEZ</v>
          </cell>
          <cell r="T30">
            <v>29</v>
          </cell>
        </row>
        <row r="31">
          <cell r="A31" t="str">
            <v>ESTACION JOAQUIN</v>
          </cell>
          <cell r="B31" t="str">
            <v>11DJN0375Z</v>
          </cell>
          <cell r="C31" t="str">
            <v>X</v>
          </cell>
          <cell r="E31" t="str">
            <v>CARMEN RAMOS DEL RIO</v>
          </cell>
          <cell r="F31">
            <v>28</v>
          </cell>
          <cell r="G31">
            <v>19</v>
          </cell>
          <cell r="H31" t="str">
            <v>Abasolo</v>
          </cell>
          <cell r="I31">
            <v>85000</v>
          </cell>
          <cell r="J31" t="str">
            <v>Completa</v>
          </cell>
          <cell r="K31" t="str">
            <v>PRIVADA FERROCARRILERA NUM. 5</v>
          </cell>
          <cell r="L31">
            <v>0</v>
          </cell>
          <cell r="M31" t="str">
            <v>ESTACION JOAQUIN</v>
          </cell>
          <cell r="T31">
            <v>30</v>
          </cell>
        </row>
        <row r="32">
          <cell r="A32" t="str">
            <v>SAN JOSE DE GONZALEZ (LOS GONZALEZ)</v>
          </cell>
          <cell r="B32" t="str">
            <v>11DJN2910Y</v>
          </cell>
          <cell r="C32" t="str">
            <v>X</v>
          </cell>
          <cell r="E32" t="str">
            <v>PONCIANO AGUILAR</v>
          </cell>
          <cell r="F32">
            <v>28</v>
          </cell>
          <cell r="G32">
            <v>19</v>
          </cell>
          <cell r="H32" t="str">
            <v>Abasolo</v>
          </cell>
          <cell r="I32">
            <v>30000</v>
          </cell>
          <cell r="J32" t="str">
            <v>Multigrado</v>
          </cell>
          <cell r="K32" t="str">
            <v>SAN JOSE DE GONZALEZ</v>
          </cell>
          <cell r="L32">
            <v>0</v>
          </cell>
          <cell r="M32" t="str">
            <v>SAN JOSE DE GONZALEZ (LOS GONZALEZ)</v>
          </cell>
          <cell r="T32">
            <v>31</v>
          </cell>
        </row>
        <row r="33">
          <cell r="A33" t="str">
            <v>SAN CAYETANO</v>
          </cell>
          <cell r="B33" t="str">
            <v>11EPR0846P</v>
          </cell>
          <cell r="D33" t="str">
            <v>X</v>
          </cell>
          <cell r="E33" t="str">
            <v>MEXICO</v>
          </cell>
          <cell r="F33">
            <v>554</v>
          </cell>
          <cell r="G33">
            <v>3</v>
          </cell>
          <cell r="H33" t="str">
            <v>Abasolo</v>
          </cell>
          <cell r="I33">
            <v>30000</v>
          </cell>
          <cell r="J33" t="str">
            <v>Multigrado</v>
          </cell>
          <cell r="K33" t="str">
            <v>SAN CAYETANO</v>
          </cell>
          <cell r="L33">
            <v>0</v>
          </cell>
          <cell r="M33" t="str">
            <v>SAN CAYETANO</v>
          </cell>
          <cell r="T33">
            <v>32</v>
          </cell>
        </row>
        <row r="34">
          <cell r="A34" t="str">
            <v>ZAPOTE DE PERALTA</v>
          </cell>
          <cell r="B34" t="str">
            <v>11DJN0373B</v>
          </cell>
          <cell r="C34" t="str">
            <v>X</v>
          </cell>
          <cell r="E34" t="str">
            <v>MARIANO ESCOBEDO</v>
          </cell>
          <cell r="F34">
            <v>28</v>
          </cell>
          <cell r="G34">
            <v>19</v>
          </cell>
          <cell r="H34" t="str">
            <v>Abasolo</v>
          </cell>
          <cell r="I34">
            <v>30000</v>
          </cell>
          <cell r="J34" t="str">
            <v>Multigrado</v>
          </cell>
          <cell r="K34" t="str">
            <v>RIO LERMA S/N</v>
          </cell>
          <cell r="L34">
            <v>0</v>
          </cell>
          <cell r="M34" t="str">
            <v>ZAPOTE DE PERALTA</v>
          </cell>
          <cell r="T34">
            <v>33</v>
          </cell>
        </row>
        <row r="35">
          <cell r="A35" t="str">
            <v>APASEO EL ALTO</v>
          </cell>
          <cell r="B35" t="str">
            <v>11DJN0168S</v>
          </cell>
          <cell r="C35" t="str">
            <v>X</v>
          </cell>
          <cell r="E35" t="str">
            <v>MA ENRIQUETA</v>
          </cell>
          <cell r="F35">
            <v>80</v>
          </cell>
          <cell r="G35">
            <v>21</v>
          </cell>
          <cell r="H35" t="str">
            <v>Apaseo el Alto</v>
          </cell>
          <cell r="I35">
            <v>85000</v>
          </cell>
          <cell r="J35" t="str">
            <v>Completa</v>
          </cell>
          <cell r="K35" t="str">
            <v>INDEPENDENCIA NUM. 245</v>
          </cell>
          <cell r="L35">
            <v>0</v>
          </cell>
          <cell r="M35" t="str">
            <v>APASEO EL ALTO</v>
          </cell>
          <cell r="T35" t="e">
            <v>#REF!</v>
          </cell>
        </row>
        <row r="36">
          <cell r="A36" t="str">
            <v>APASEO EL ALTO</v>
          </cell>
          <cell r="B36" t="str">
            <v>11DJN2926Z</v>
          </cell>
          <cell r="C36" t="str">
            <v>X</v>
          </cell>
          <cell r="E36" t="str">
            <v>GLORIA IMELDA SALINAS MOSQUEIRA</v>
          </cell>
          <cell r="F36">
            <v>80</v>
          </cell>
          <cell r="G36">
            <v>21</v>
          </cell>
          <cell r="H36" t="str">
            <v>Apaseo el Alto</v>
          </cell>
          <cell r="I36">
            <v>85000</v>
          </cell>
          <cell r="J36" t="str">
            <v>Completa</v>
          </cell>
          <cell r="K36" t="str">
            <v>ISAAC NEWTON NUM. 103</v>
          </cell>
          <cell r="L36" t="str">
            <v>SANTA ELENA</v>
          </cell>
          <cell r="M36" t="str">
            <v>APASEO EL ALTO</v>
          </cell>
          <cell r="T36" t="e">
            <v>#REF!</v>
          </cell>
        </row>
        <row r="37">
          <cell r="A37" t="str">
            <v>APASEO EL ALTO</v>
          </cell>
          <cell r="B37" t="str">
            <v>11DJN4235A</v>
          </cell>
          <cell r="C37" t="str">
            <v>X</v>
          </cell>
          <cell r="E37" t="str">
            <v>JARDIN DE NIÑOS</v>
          </cell>
          <cell r="F37">
            <v>80</v>
          </cell>
          <cell r="G37">
            <v>21</v>
          </cell>
          <cell r="H37" t="str">
            <v>Apaseo el Alto</v>
          </cell>
          <cell r="I37">
            <v>85000</v>
          </cell>
          <cell r="J37" t="str">
            <v>Completa</v>
          </cell>
          <cell r="K37" t="str">
            <v>INDEPENDENCIA NUM. 245</v>
          </cell>
          <cell r="L37">
            <v>0</v>
          </cell>
          <cell r="M37" t="str">
            <v>APASEO EL ALTO</v>
          </cell>
          <cell r="T37" t="e">
            <v>#REF!</v>
          </cell>
        </row>
        <row r="38">
          <cell r="A38" t="str">
            <v>EL POCITO (EL POCITO DE LA VIRGEN)</v>
          </cell>
          <cell r="B38" t="str">
            <v>11DPR1805X</v>
          </cell>
          <cell r="C38" t="str">
            <v>X</v>
          </cell>
          <cell r="E38" t="str">
            <v>MIGUEL HIDALGO</v>
          </cell>
          <cell r="F38">
            <v>20</v>
          </cell>
          <cell r="G38">
            <v>20</v>
          </cell>
          <cell r="H38" t="str">
            <v>Apaseo el Alto</v>
          </cell>
          <cell r="I38">
            <v>85000</v>
          </cell>
          <cell r="J38" t="str">
            <v>Completa</v>
          </cell>
          <cell r="K38" t="str">
            <v>EL POCITO</v>
          </cell>
          <cell r="L38">
            <v>0</v>
          </cell>
          <cell r="M38" t="str">
            <v>EL POCITO (EL POCITO DE LA VIRGEN)</v>
          </cell>
          <cell r="T38" t="e">
            <v>#REF!</v>
          </cell>
        </row>
        <row r="39">
          <cell r="A39" t="str">
            <v>EL POCITO (EL POCITO DE LA VIRGEN)</v>
          </cell>
          <cell r="B39" t="str">
            <v>11DJN2513Z</v>
          </cell>
          <cell r="C39" t="str">
            <v>X</v>
          </cell>
          <cell r="E39" t="str">
            <v>DIEGO RIVERA</v>
          </cell>
          <cell r="F39">
            <v>80</v>
          </cell>
          <cell r="G39">
            <v>21</v>
          </cell>
          <cell r="H39" t="str">
            <v>Apaseo el Alto</v>
          </cell>
          <cell r="I39">
            <v>30000</v>
          </cell>
          <cell r="J39" t="str">
            <v>Multigrado</v>
          </cell>
          <cell r="K39" t="str">
            <v>MIGUEL HIDALGO S/N</v>
          </cell>
          <cell r="L39">
            <v>0</v>
          </cell>
          <cell r="M39" t="str">
            <v>EL POCITO (EL POCITO DE LA VIRGEN)</v>
          </cell>
          <cell r="T39" t="e">
            <v>#REF!</v>
          </cell>
        </row>
        <row r="40">
          <cell r="A40" t="str">
            <v>LA LUISIADA</v>
          </cell>
          <cell r="B40" t="str">
            <v>11DJN0981E</v>
          </cell>
          <cell r="C40" t="str">
            <v>X</v>
          </cell>
          <cell r="E40" t="str">
            <v>IGNACIO ALDAMA</v>
          </cell>
          <cell r="F40">
            <v>80</v>
          </cell>
          <cell r="G40">
            <v>21</v>
          </cell>
          <cell r="H40" t="str">
            <v>Apaseo el Alto</v>
          </cell>
          <cell r="I40">
            <v>30000</v>
          </cell>
          <cell r="J40" t="str">
            <v>Multigrado</v>
          </cell>
          <cell r="K40" t="str">
            <v>AVENIDA LAS HIGUERAS S/N</v>
          </cell>
          <cell r="L40">
            <v>0</v>
          </cell>
          <cell r="M40" t="str">
            <v>LA LUISIADA</v>
          </cell>
          <cell r="T40" t="e">
            <v>#REF!</v>
          </cell>
        </row>
        <row r="41">
          <cell r="A41" t="str">
            <v>SANTA CRUZ DE GAMBOA</v>
          </cell>
          <cell r="B41" t="str">
            <v>11DJN0987Z</v>
          </cell>
          <cell r="D41" t="str">
            <v>X</v>
          </cell>
          <cell r="E41" t="str">
            <v>MANUEL ACUÑA</v>
          </cell>
          <cell r="F41">
            <v>80</v>
          </cell>
          <cell r="G41">
            <v>21</v>
          </cell>
          <cell r="H41" t="str">
            <v>Apaseo el Alto</v>
          </cell>
          <cell r="I41">
            <v>28000</v>
          </cell>
          <cell r="J41" t="str">
            <v>Multigrado</v>
          </cell>
          <cell r="K41" t="str">
            <v>16 DE SEPTIEMBRE S/N</v>
          </cell>
          <cell r="L41">
            <v>0</v>
          </cell>
          <cell r="M41" t="str">
            <v>SANTA CRUZ DE GAMBOA</v>
          </cell>
          <cell r="T41" t="e">
            <v>#REF!</v>
          </cell>
        </row>
        <row r="42">
          <cell r="A42" t="str">
            <v>BARAJAS</v>
          </cell>
          <cell r="B42" t="str">
            <v>11DPR2117P</v>
          </cell>
          <cell r="D42" t="str">
            <v>X</v>
          </cell>
          <cell r="E42" t="str">
            <v>JOSE MARIA MORELOS</v>
          </cell>
          <cell r="F42">
            <v>20</v>
          </cell>
          <cell r="G42">
            <v>20</v>
          </cell>
          <cell r="H42" t="str">
            <v>Apaseo el Alto</v>
          </cell>
          <cell r="I42">
            <v>85000</v>
          </cell>
          <cell r="J42" t="str">
            <v>Completa</v>
          </cell>
          <cell r="K42" t="str">
            <v>AVENIDA LA RAZA S/N</v>
          </cell>
          <cell r="L42">
            <v>0</v>
          </cell>
          <cell r="M42" t="str">
            <v>BARAJAS</v>
          </cell>
          <cell r="T42" t="e">
            <v>#REF!</v>
          </cell>
        </row>
        <row r="43">
          <cell r="A43" t="str">
            <v>APASEO EL ALTO</v>
          </cell>
          <cell r="B43" t="str">
            <v>11EPR0030W</v>
          </cell>
          <cell r="C43" t="str">
            <v>X</v>
          </cell>
          <cell r="E43" t="str">
            <v>MIGUEL HIDALGO</v>
          </cell>
          <cell r="F43">
            <v>557</v>
          </cell>
          <cell r="G43">
            <v>4</v>
          </cell>
          <cell r="H43" t="str">
            <v>Apaseo el Alto</v>
          </cell>
          <cell r="I43">
            <v>70000</v>
          </cell>
          <cell r="J43" t="str">
            <v>Completa</v>
          </cell>
          <cell r="K43" t="str">
            <v>AVENIDA 5 DE MAYO NUM. 502</v>
          </cell>
          <cell r="L43">
            <v>0</v>
          </cell>
          <cell r="M43" t="str">
            <v>APASEO EL ALTO</v>
          </cell>
          <cell r="T43" t="e">
            <v>#REF!</v>
          </cell>
        </row>
        <row r="44">
          <cell r="A44" t="str">
            <v>OJO DE AGUA DE LA TRINIDAD</v>
          </cell>
          <cell r="B44" t="str">
            <v>11DJN2512Z</v>
          </cell>
          <cell r="C44" t="str">
            <v>X</v>
          </cell>
          <cell r="E44" t="str">
            <v>JOSE VASCONCELOS</v>
          </cell>
          <cell r="F44">
            <v>80</v>
          </cell>
          <cell r="G44">
            <v>21</v>
          </cell>
          <cell r="H44" t="str">
            <v>Apaseo el Alto</v>
          </cell>
          <cell r="I44">
            <v>85000</v>
          </cell>
          <cell r="J44" t="str">
            <v>Completa</v>
          </cell>
          <cell r="K44" t="str">
            <v>5 DE MAYO NUM. 6</v>
          </cell>
          <cell r="L44">
            <v>0</v>
          </cell>
          <cell r="M44" t="str">
            <v>OJO DE AGUA DE LA TRINIDAD</v>
          </cell>
          <cell r="T44" t="e">
            <v>#REF!</v>
          </cell>
        </row>
        <row r="45">
          <cell r="A45" t="str">
            <v>SAN BARTOLOME DE AGUA CALIENTE (SAN BARTOLO)</v>
          </cell>
          <cell r="B45" t="str">
            <v>11DPR0658X</v>
          </cell>
          <cell r="C45" t="str">
            <v>X</v>
          </cell>
          <cell r="E45" t="str">
            <v>BENITO JUAREZ</v>
          </cell>
          <cell r="F45">
            <v>85</v>
          </cell>
          <cell r="G45">
            <v>20</v>
          </cell>
          <cell r="H45" t="str">
            <v>Apaseo el Alto</v>
          </cell>
          <cell r="I45">
            <v>85000</v>
          </cell>
          <cell r="J45" t="str">
            <v>Completa</v>
          </cell>
          <cell r="K45" t="str">
            <v>SAN BARTOLO AGUA CALIENTE</v>
          </cell>
          <cell r="L45">
            <v>0</v>
          </cell>
          <cell r="M45" t="str">
            <v>SAN BARTOLOME DE AGUA CALIENTE (SAN BARTOLO)</v>
          </cell>
          <cell r="T45" t="e">
            <v>#REF!</v>
          </cell>
        </row>
        <row r="46">
          <cell r="A46" t="str">
            <v>APASEO EL ALTO</v>
          </cell>
          <cell r="B46" t="str">
            <v>11DJN0284I</v>
          </cell>
          <cell r="C46" t="str">
            <v>X</v>
          </cell>
          <cell r="E46" t="str">
            <v>FRANCISCO GONZALEZ BOCANEGRA</v>
          </cell>
          <cell r="F46">
            <v>33</v>
          </cell>
          <cell r="G46">
            <v>21</v>
          </cell>
          <cell r="H46" t="str">
            <v>Apaseo el Alto</v>
          </cell>
          <cell r="I46">
            <v>82000</v>
          </cell>
          <cell r="J46" t="str">
            <v>Completa</v>
          </cell>
          <cell r="K46" t="str">
            <v>INGENIERO JESUS JAREDA NUM. 802</v>
          </cell>
          <cell r="L46" t="str">
            <v>AVILA</v>
          </cell>
          <cell r="M46" t="str">
            <v>APASEO EL ALTO</v>
          </cell>
          <cell r="T46" t="e">
            <v>#REF!</v>
          </cell>
        </row>
        <row r="47">
          <cell r="A47" t="str">
            <v>LA CUEVITA</v>
          </cell>
          <cell r="B47" t="str">
            <v>11DJN0980F</v>
          </cell>
          <cell r="C47" t="str">
            <v>X</v>
          </cell>
          <cell r="E47" t="str">
            <v>AGUSTIN MELGAR</v>
          </cell>
          <cell r="F47">
            <v>80</v>
          </cell>
          <cell r="G47">
            <v>21</v>
          </cell>
          <cell r="H47" t="str">
            <v>Apaseo el Alto</v>
          </cell>
          <cell r="I47">
            <v>85000</v>
          </cell>
          <cell r="J47" t="str">
            <v>Completa</v>
          </cell>
          <cell r="K47" t="str">
            <v>LOS ANGELES S/N</v>
          </cell>
          <cell r="L47">
            <v>0</v>
          </cell>
          <cell r="M47" t="str">
            <v>LA CUEVITA</v>
          </cell>
          <cell r="T47" t="e">
            <v>#REF!</v>
          </cell>
        </row>
        <row r="48">
          <cell r="A48" t="str">
            <v>SAN ISIDRO DE GAMBOA</v>
          </cell>
          <cell r="B48" t="str">
            <v>11DJN2519T</v>
          </cell>
          <cell r="D48" t="str">
            <v>X</v>
          </cell>
          <cell r="E48" t="str">
            <v>ROSARIO CASTELLANOS</v>
          </cell>
          <cell r="F48">
            <v>80</v>
          </cell>
          <cell r="G48">
            <v>21</v>
          </cell>
          <cell r="H48" t="str">
            <v>Apaseo el Alto</v>
          </cell>
          <cell r="I48">
            <v>30000</v>
          </cell>
          <cell r="J48" t="str">
            <v>Multigrado</v>
          </cell>
          <cell r="K48" t="str">
            <v>AVENIDA CARRANZA S/N</v>
          </cell>
          <cell r="L48">
            <v>0</v>
          </cell>
          <cell r="M48" t="str">
            <v>SAN ISIDRO DE GAMBOA</v>
          </cell>
          <cell r="T48" t="e">
            <v>#REF!</v>
          </cell>
        </row>
        <row r="49">
          <cell r="A49" t="str">
            <v>JIMENEZ</v>
          </cell>
          <cell r="B49" t="str">
            <v>11DPR1779P</v>
          </cell>
          <cell r="C49" t="str">
            <v>X</v>
          </cell>
          <cell r="E49" t="str">
            <v>EMILIANO ZAPATA</v>
          </cell>
          <cell r="F49">
            <v>163</v>
          </cell>
          <cell r="G49">
            <v>20</v>
          </cell>
          <cell r="H49" t="str">
            <v>Apaseo el Alto</v>
          </cell>
          <cell r="I49">
            <v>30000</v>
          </cell>
          <cell r="J49" t="str">
            <v>Multigrado</v>
          </cell>
          <cell r="K49" t="str">
            <v>JIMENEZ</v>
          </cell>
          <cell r="L49">
            <v>0</v>
          </cell>
          <cell r="M49" t="str">
            <v>JIMENEZ</v>
          </cell>
          <cell r="T49" t="e">
            <v>#REF!</v>
          </cell>
        </row>
        <row r="50">
          <cell r="A50" t="str">
            <v>SAN JUAN DEL LLANITO</v>
          </cell>
          <cell r="B50" t="str">
            <v>11DJN0479V</v>
          </cell>
          <cell r="C50" t="str">
            <v>X</v>
          </cell>
          <cell r="E50" t="str">
            <v>ESTEFANIA CASTAÑEDA</v>
          </cell>
          <cell r="F50">
            <v>33</v>
          </cell>
          <cell r="G50">
            <v>21</v>
          </cell>
          <cell r="H50" t="str">
            <v>Apaseo el Alto</v>
          </cell>
          <cell r="I50">
            <v>85000</v>
          </cell>
          <cell r="J50" t="str">
            <v>Completa</v>
          </cell>
          <cell r="K50" t="str">
            <v>LAZARO CARDENAS S/N</v>
          </cell>
          <cell r="L50" t="str">
            <v>SAN JUAN DEL LLANITO</v>
          </cell>
          <cell r="M50" t="str">
            <v>SAN JUAN DEL LLANITO</v>
          </cell>
          <cell r="T50" t="e">
            <v>#REF!</v>
          </cell>
        </row>
        <row r="51">
          <cell r="A51" t="str">
            <v>EL ESPEJO (EX-HACIENDA DE ESPEJO)</v>
          </cell>
          <cell r="B51" t="str">
            <v>11DJN2407P</v>
          </cell>
          <cell r="C51" t="str">
            <v>X</v>
          </cell>
          <cell r="E51" t="str">
            <v>FERNANDO MONTES DE OCA</v>
          </cell>
          <cell r="F51">
            <v>33</v>
          </cell>
          <cell r="G51">
            <v>21</v>
          </cell>
          <cell r="H51" t="str">
            <v>Apaseo el Alto</v>
          </cell>
          <cell r="I51">
            <v>30000</v>
          </cell>
          <cell r="J51" t="str">
            <v>Multigrado</v>
          </cell>
          <cell r="K51" t="str">
            <v>LICEA NUM. 4</v>
          </cell>
          <cell r="L51">
            <v>0</v>
          </cell>
          <cell r="M51" t="str">
            <v>EL ESPEJO (EX-HACIENDA DE ESPEJO)</v>
          </cell>
          <cell r="T51" t="e">
            <v>#REF!</v>
          </cell>
        </row>
        <row r="52">
          <cell r="A52" t="str">
            <v>CONGREGACION DE LA CRUZ (LA CUEVA)</v>
          </cell>
          <cell r="B52" t="str">
            <v>11DPR0659W</v>
          </cell>
          <cell r="D52" t="str">
            <v>X</v>
          </cell>
          <cell r="E52" t="str">
            <v>JOSE MARIA MORELOS</v>
          </cell>
          <cell r="F52">
            <v>20</v>
          </cell>
          <cell r="G52">
            <v>20</v>
          </cell>
          <cell r="H52" t="str">
            <v>Apaseo el Alto</v>
          </cell>
          <cell r="I52">
            <v>30000</v>
          </cell>
          <cell r="J52" t="str">
            <v>Multigrado</v>
          </cell>
          <cell r="K52" t="str">
            <v>LA CRUZ</v>
          </cell>
          <cell r="L52" t="str">
            <v>LA CRUZ</v>
          </cell>
          <cell r="M52" t="str">
            <v>CONGREGACION DE LA CRUZ (LA CUEVA)</v>
          </cell>
          <cell r="T52" t="e">
            <v>#REF!</v>
          </cell>
        </row>
        <row r="53">
          <cell r="A53" t="str">
            <v>EL ESPEJO (EX-HACIENDA DE ESPEJO)</v>
          </cell>
          <cell r="B53" t="str">
            <v>11DPR2010X</v>
          </cell>
          <cell r="D53" t="str">
            <v>X</v>
          </cell>
          <cell r="E53" t="str">
            <v>JOSE MA MORELOS</v>
          </cell>
          <cell r="F53">
            <v>163</v>
          </cell>
          <cell r="G53">
            <v>20</v>
          </cell>
          <cell r="H53" t="str">
            <v>Apaseo el Alto</v>
          </cell>
          <cell r="I53">
            <v>85000</v>
          </cell>
          <cell r="J53" t="str">
            <v>Completa</v>
          </cell>
          <cell r="K53" t="str">
            <v>MARIA LICEA HACIENDA DE ESPEJO</v>
          </cell>
          <cell r="L53">
            <v>0</v>
          </cell>
          <cell r="M53" t="str">
            <v>EL ESPEJO (EX-HACIENDA DE ESPEJO)</v>
          </cell>
          <cell r="T53" t="e">
            <v>#REF!</v>
          </cell>
        </row>
        <row r="54">
          <cell r="A54" t="str">
            <v>APASEO EL ALTO</v>
          </cell>
          <cell r="B54" t="str">
            <v>11DPR2375D</v>
          </cell>
          <cell r="C54" t="str">
            <v>X</v>
          </cell>
          <cell r="E54" t="str">
            <v>18 DE MARZO</v>
          </cell>
          <cell r="F54">
            <v>85</v>
          </cell>
          <cell r="G54">
            <v>20</v>
          </cell>
          <cell r="H54" t="str">
            <v>Apaseo el Alto</v>
          </cell>
          <cell r="I54">
            <v>85000</v>
          </cell>
          <cell r="J54" t="str">
            <v>Completa</v>
          </cell>
          <cell r="K54" t="str">
            <v>HILARIO MEDINA S/N</v>
          </cell>
          <cell r="L54" t="str">
            <v>SANTA ELENA</v>
          </cell>
          <cell r="M54" t="str">
            <v>APASEO EL ALTO</v>
          </cell>
          <cell r="T54" t="e">
            <v>#REF!</v>
          </cell>
        </row>
        <row r="55">
          <cell r="A55" t="str">
            <v>SAN BARTOLOME DE AGUA CALIENTE (SAN BARTOLO)</v>
          </cell>
          <cell r="B55" t="str">
            <v>11DJN2521H</v>
          </cell>
          <cell r="C55" t="str">
            <v>X</v>
          </cell>
          <cell r="E55" t="str">
            <v>AGUSTIN YAÑEZ</v>
          </cell>
          <cell r="F55">
            <v>33</v>
          </cell>
          <cell r="G55">
            <v>21</v>
          </cell>
          <cell r="H55" t="str">
            <v>Apaseo el Alto</v>
          </cell>
          <cell r="I55">
            <v>85000</v>
          </cell>
          <cell r="J55" t="str">
            <v>Completa</v>
          </cell>
          <cell r="K55" t="str">
            <v>5 DE MAYO NUM. 41</v>
          </cell>
          <cell r="L55">
            <v>0</v>
          </cell>
          <cell r="M55" t="str">
            <v>SAN BARTOLOME DE AGUA CALIENTE (SAN BARTOLO)</v>
          </cell>
          <cell r="T55" t="e">
            <v>#REF!</v>
          </cell>
        </row>
        <row r="56">
          <cell r="A56" t="str">
            <v>LA PRESITA</v>
          </cell>
          <cell r="B56" t="str">
            <v>11DPR1829G</v>
          </cell>
          <cell r="C56" t="str">
            <v>X</v>
          </cell>
          <cell r="E56" t="str">
            <v>LAZARO CARDENAS</v>
          </cell>
          <cell r="F56">
            <v>85</v>
          </cell>
          <cell r="G56">
            <v>20</v>
          </cell>
          <cell r="H56" t="str">
            <v>Apaseo el Alto</v>
          </cell>
          <cell r="I56">
            <v>30000</v>
          </cell>
          <cell r="J56" t="str">
            <v>Multigrado</v>
          </cell>
          <cell r="K56" t="str">
            <v>LA PRESITA</v>
          </cell>
          <cell r="L56">
            <v>0</v>
          </cell>
          <cell r="M56" t="str">
            <v>LA PRESITA</v>
          </cell>
          <cell r="T56" t="e">
            <v>#REF!</v>
          </cell>
        </row>
        <row r="57">
          <cell r="A57" t="str">
            <v>CERRO PRIETO</v>
          </cell>
          <cell r="B57" t="str">
            <v>11DPR2016R</v>
          </cell>
          <cell r="D57" t="str">
            <v>X</v>
          </cell>
          <cell r="E57" t="str">
            <v>MIGUEL HIDALGO</v>
          </cell>
          <cell r="F57">
            <v>20</v>
          </cell>
          <cell r="G57">
            <v>20</v>
          </cell>
          <cell r="H57" t="str">
            <v>Apaseo el Alto</v>
          </cell>
          <cell r="I57">
            <v>30000</v>
          </cell>
          <cell r="J57" t="str">
            <v>Multigrado</v>
          </cell>
          <cell r="K57" t="str">
            <v>CERRO PRIETO</v>
          </cell>
          <cell r="L57">
            <v>0</v>
          </cell>
          <cell r="M57" t="str">
            <v>CERRO PRIETO</v>
          </cell>
          <cell r="T57" t="e">
            <v>#REF!</v>
          </cell>
        </row>
        <row r="58">
          <cell r="A58" t="str">
            <v>EL SABINO</v>
          </cell>
          <cell r="B58" t="str">
            <v>11DPR1683C</v>
          </cell>
          <cell r="D58" t="str">
            <v>X</v>
          </cell>
          <cell r="E58" t="str">
            <v>IGNACIO ALLENDE</v>
          </cell>
          <cell r="F58">
            <v>85</v>
          </cell>
          <cell r="G58">
            <v>20</v>
          </cell>
          <cell r="H58" t="str">
            <v>Apaseo el Alto</v>
          </cell>
          <cell r="I58">
            <v>30000</v>
          </cell>
          <cell r="J58" t="str">
            <v>Multigrado</v>
          </cell>
          <cell r="K58" t="str">
            <v>GUANAJUATO NUM. 9</v>
          </cell>
          <cell r="L58">
            <v>0</v>
          </cell>
          <cell r="M58" t="str">
            <v>EL SABINO</v>
          </cell>
          <cell r="T58" t="e">
            <v>#REF!</v>
          </cell>
        </row>
        <row r="59">
          <cell r="A59" t="str">
            <v>OJO DE AGUA DE ESPEJO (ESTANCIA DE ESPEJO)</v>
          </cell>
          <cell r="B59" t="str">
            <v>11DPR1830W</v>
          </cell>
          <cell r="C59" t="str">
            <v>X</v>
          </cell>
          <cell r="E59" t="str">
            <v>VASCO DE QUIROGA</v>
          </cell>
          <cell r="F59">
            <v>85</v>
          </cell>
          <cell r="G59">
            <v>20</v>
          </cell>
          <cell r="H59" t="str">
            <v>Apaseo el Alto</v>
          </cell>
          <cell r="I59">
            <v>85000</v>
          </cell>
          <cell r="J59" t="str">
            <v>Completa</v>
          </cell>
          <cell r="K59" t="str">
            <v>OJO DE AGUA DE ESPEJO</v>
          </cell>
          <cell r="L59">
            <v>0</v>
          </cell>
          <cell r="M59" t="str">
            <v>OJO DE AGUA DE ESPEJO (ESTANCIA DE ESPEJO)</v>
          </cell>
          <cell r="T59" t="e">
            <v>#REF!</v>
          </cell>
        </row>
        <row r="60">
          <cell r="A60" t="str">
            <v>MARROQUIN</v>
          </cell>
          <cell r="B60" t="str">
            <v>11DJN2405R</v>
          </cell>
          <cell r="C60" t="str">
            <v>X</v>
          </cell>
          <cell r="E60" t="str">
            <v>ANGEL DEL CAMPO</v>
          </cell>
          <cell r="F60">
            <v>33</v>
          </cell>
          <cell r="G60">
            <v>21</v>
          </cell>
          <cell r="H60" t="str">
            <v>Apaseo el Alto</v>
          </cell>
          <cell r="I60">
            <v>30000</v>
          </cell>
          <cell r="J60" t="str">
            <v>Multigrado</v>
          </cell>
          <cell r="K60" t="str">
            <v>MIGUEL HIDALGO NORTE NUM. 1</v>
          </cell>
          <cell r="L60">
            <v>0</v>
          </cell>
          <cell r="M60" t="str">
            <v>MARROQUIN</v>
          </cell>
          <cell r="T60" t="e">
            <v>#REF!</v>
          </cell>
        </row>
        <row r="61">
          <cell r="A61" t="str">
            <v>SAN JUAN DEL LLANITO</v>
          </cell>
          <cell r="B61" t="str">
            <v>11DPR2949Z</v>
          </cell>
          <cell r="D61" t="str">
            <v>X</v>
          </cell>
          <cell r="E61" t="str">
            <v>RAFAEL RAMIREZ</v>
          </cell>
          <cell r="F61">
            <v>85</v>
          </cell>
          <cell r="G61">
            <v>20</v>
          </cell>
          <cell r="H61" t="str">
            <v>Apaseo el Alto</v>
          </cell>
          <cell r="I61">
            <v>85000</v>
          </cell>
          <cell r="J61" t="str">
            <v>Completa</v>
          </cell>
          <cell r="K61" t="str">
            <v>SAN JUAN DEL LLANITO</v>
          </cell>
          <cell r="L61">
            <v>0</v>
          </cell>
          <cell r="M61" t="str">
            <v>SAN JUAN DEL LLANITO</v>
          </cell>
          <cell r="T61" t="e">
            <v>#REF!</v>
          </cell>
        </row>
        <row r="62">
          <cell r="A62" t="str">
            <v>APASEO EL ALTO</v>
          </cell>
          <cell r="B62" t="str">
            <v>11ETV0467E</v>
          </cell>
          <cell r="C62" t="str">
            <v>X</v>
          </cell>
          <cell r="E62" t="str">
            <v>TELESECUNDARIA NUM. 307</v>
          </cell>
          <cell r="F62">
            <v>504</v>
          </cell>
          <cell r="G62">
            <v>4</v>
          </cell>
          <cell r="H62" t="str">
            <v>Apaseo el Alto</v>
          </cell>
          <cell r="I62">
            <v>85000</v>
          </cell>
          <cell r="J62" t="str">
            <v>Completa</v>
          </cell>
          <cell r="K62" t="str">
            <v>16 DE SEPTIEMBRE NUM. 1120</v>
          </cell>
          <cell r="L62">
            <v>0</v>
          </cell>
          <cell r="M62" t="str">
            <v>APASEO EL ALTO</v>
          </cell>
          <cell r="T62" t="e">
            <v>#REF!</v>
          </cell>
        </row>
        <row r="63">
          <cell r="A63" t="str">
            <v>SAN ISIDRO DE GAMBOA</v>
          </cell>
          <cell r="B63" t="str">
            <v>11ETV1061V</v>
          </cell>
          <cell r="C63" t="str">
            <v>X</v>
          </cell>
          <cell r="E63" t="str">
            <v>TELESECUNDARIA NUM. 1061</v>
          </cell>
          <cell r="F63">
            <v>504</v>
          </cell>
          <cell r="G63">
            <v>4</v>
          </cell>
          <cell r="H63" t="str">
            <v>Apaseo el Alto</v>
          </cell>
          <cell r="I63">
            <v>85000</v>
          </cell>
          <cell r="J63" t="str">
            <v>Completa</v>
          </cell>
          <cell r="K63" t="str">
            <v>SAN ISIDRO DE GAMBOA</v>
          </cell>
          <cell r="L63">
            <v>0</v>
          </cell>
          <cell r="M63" t="str">
            <v>SAN ISIDRO DE GAMBOA</v>
          </cell>
          <cell r="T63" t="e">
            <v>#REF!</v>
          </cell>
        </row>
        <row r="64">
          <cell r="A64" t="str">
            <v>SAN ANTONIO CALICHAR</v>
          </cell>
          <cell r="B64" t="str">
            <v>11DJN0984B</v>
          </cell>
          <cell r="C64" t="str">
            <v>X</v>
          </cell>
          <cell r="E64" t="str">
            <v>GABRIELA MISTRAL</v>
          </cell>
          <cell r="F64">
            <v>33</v>
          </cell>
          <cell r="G64">
            <v>21</v>
          </cell>
          <cell r="H64" t="str">
            <v>Apaseo el Alto</v>
          </cell>
          <cell r="I64">
            <v>85000</v>
          </cell>
          <cell r="J64" t="str">
            <v>Completa</v>
          </cell>
          <cell r="K64" t="str">
            <v>SAN ANTONIO CALICHAR</v>
          </cell>
          <cell r="L64">
            <v>0</v>
          </cell>
          <cell r="M64" t="str">
            <v>SAN ANTONIO CALICHAR</v>
          </cell>
          <cell r="T64" t="e">
            <v>#REF!</v>
          </cell>
        </row>
        <row r="65">
          <cell r="A65" t="str">
            <v>SAN ANTONIO CALICHAR</v>
          </cell>
          <cell r="B65" t="str">
            <v>11DPR3757R</v>
          </cell>
          <cell r="D65" t="str">
            <v>X</v>
          </cell>
          <cell r="E65" t="str">
            <v>NIÑOS HEROES DE CHAPULTEPEC</v>
          </cell>
          <cell r="F65">
            <v>85</v>
          </cell>
          <cell r="G65">
            <v>20</v>
          </cell>
          <cell r="H65" t="str">
            <v>Apaseo el Alto</v>
          </cell>
          <cell r="I65">
            <v>30000</v>
          </cell>
          <cell r="J65" t="str">
            <v>Multigrado</v>
          </cell>
          <cell r="K65" t="str">
            <v>SAN ANTONIO CALICHAR</v>
          </cell>
          <cell r="L65">
            <v>0</v>
          </cell>
          <cell r="M65" t="str">
            <v>SAN ANTONIO CALICHAR</v>
          </cell>
          <cell r="T65" t="e">
            <v>#REF!</v>
          </cell>
        </row>
        <row r="66">
          <cell r="A66" t="str">
            <v>SAN BARTOLOME DE AGUA CALIENTE (SAN BARTOLO)</v>
          </cell>
          <cell r="B66" t="str">
            <v>11ETV0060P</v>
          </cell>
          <cell r="C66" t="str">
            <v>X</v>
          </cell>
          <cell r="E66" t="str">
            <v>TELESECUNDARIA NUM. 67</v>
          </cell>
          <cell r="F66">
            <v>504</v>
          </cell>
          <cell r="G66">
            <v>4</v>
          </cell>
          <cell r="H66" t="str">
            <v>Apaseo el Alto</v>
          </cell>
          <cell r="I66">
            <v>85000</v>
          </cell>
          <cell r="J66" t="str">
            <v>Completa</v>
          </cell>
          <cell r="K66" t="str">
            <v>SAN BARTOLO AGUA CALIENTE</v>
          </cell>
          <cell r="L66">
            <v>0</v>
          </cell>
          <cell r="M66" t="str">
            <v>SAN BARTOLOME DE AGUA CALIENTE (SAN BARTOLO)</v>
          </cell>
          <cell r="T66" t="e">
            <v>#REF!</v>
          </cell>
        </row>
        <row r="67">
          <cell r="A67" t="str">
            <v>EL DURAZNO</v>
          </cell>
          <cell r="B67" t="str">
            <v>11ETV0848M</v>
          </cell>
          <cell r="C67" t="str">
            <v>X</v>
          </cell>
          <cell r="E67" t="str">
            <v>TELESECUNDARIA NUM. 848</v>
          </cell>
          <cell r="F67">
            <v>504</v>
          </cell>
          <cell r="G67">
            <v>4</v>
          </cell>
          <cell r="H67" t="str">
            <v>Apaseo el Alto</v>
          </cell>
          <cell r="I67">
            <v>85000</v>
          </cell>
          <cell r="J67" t="str">
            <v>Completa</v>
          </cell>
          <cell r="K67" t="str">
            <v>EL DURAZNO</v>
          </cell>
          <cell r="L67">
            <v>0</v>
          </cell>
          <cell r="M67" t="str">
            <v>EL DURAZNO</v>
          </cell>
          <cell r="T67" t="e">
            <v>#REF!</v>
          </cell>
        </row>
        <row r="68">
          <cell r="A68" t="str">
            <v>MARROQUIN</v>
          </cell>
          <cell r="B68" t="str">
            <v>11ETV0888N</v>
          </cell>
          <cell r="C68" t="str">
            <v>X</v>
          </cell>
          <cell r="E68" t="str">
            <v>TELESECUNDARIA NUM. 888</v>
          </cell>
          <cell r="F68">
            <v>504</v>
          </cell>
          <cell r="G68">
            <v>4</v>
          </cell>
          <cell r="H68" t="str">
            <v>Apaseo el Alto</v>
          </cell>
          <cell r="I68">
            <v>85000</v>
          </cell>
          <cell r="J68" t="str">
            <v>Completa</v>
          </cell>
          <cell r="K68" t="str">
            <v>MARROQUIN</v>
          </cell>
          <cell r="L68">
            <v>0</v>
          </cell>
          <cell r="M68" t="str">
            <v>MARROQUIN</v>
          </cell>
          <cell r="T68" t="e">
            <v>#REF!</v>
          </cell>
        </row>
        <row r="69">
          <cell r="A69" t="str">
            <v>EL TALAYOTE</v>
          </cell>
          <cell r="B69" t="str">
            <v>11ETV1051O</v>
          </cell>
          <cell r="D69" t="str">
            <v>X</v>
          </cell>
          <cell r="E69" t="str">
            <v>TELESECUNDARIA NUM. 1051</v>
          </cell>
          <cell r="F69">
            <v>504</v>
          </cell>
          <cell r="G69">
            <v>4</v>
          </cell>
          <cell r="H69" t="str">
            <v>Apaseo el Alto</v>
          </cell>
          <cell r="I69">
            <v>85000</v>
          </cell>
          <cell r="J69" t="str">
            <v>Completa</v>
          </cell>
          <cell r="K69" t="str">
            <v>EL TALAYOTE</v>
          </cell>
          <cell r="L69">
            <v>0</v>
          </cell>
          <cell r="M69" t="str">
            <v>EL TALAYOTE</v>
          </cell>
          <cell r="T69" t="e">
            <v>#REF!</v>
          </cell>
        </row>
        <row r="70">
          <cell r="A70" t="str">
            <v>SANTA CRUZ DE GAMBOA</v>
          </cell>
          <cell r="B70" t="str">
            <v>11ETV0204V</v>
          </cell>
          <cell r="C70" t="str">
            <v>X</v>
          </cell>
          <cell r="E70" t="str">
            <v>TELESECUNDARIA NUM. 212</v>
          </cell>
          <cell r="F70">
            <v>504</v>
          </cell>
          <cell r="G70">
            <v>4</v>
          </cell>
          <cell r="H70" t="str">
            <v>Apaseo el Alto</v>
          </cell>
          <cell r="I70">
            <v>85000</v>
          </cell>
          <cell r="J70" t="str">
            <v>Completa</v>
          </cell>
          <cell r="K70" t="str">
            <v>SANTA CRUZ DE GAMBOA</v>
          </cell>
          <cell r="L70">
            <v>0</v>
          </cell>
          <cell r="M70" t="str">
            <v>SANTA CRUZ DE GAMBOA</v>
          </cell>
          <cell r="T70" t="e">
            <v>#REF!</v>
          </cell>
        </row>
        <row r="71">
          <cell r="A71" t="str">
            <v>EL SOLDADO</v>
          </cell>
          <cell r="B71" t="str">
            <v>11ETV1052N</v>
          </cell>
          <cell r="C71" t="str">
            <v>X</v>
          </cell>
          <cell r="E71" t="str">
            <v>TELESECUNDARIA NUM. 1052</v>
          </cell>
          <cell r="F71">
            <v>504</v>
          </cell>
          <cell r="G71">
            <v>4</v>
          </cell>
          <cell r="H71" t="str">
            <v>Apaseo el Alto</v>
          </cell>
          <cell r="I71">
            <v>30000</v>
          </cell>
          <cell r="J71" t="str">
            <v>Multigrado</v>
          </cell>
          <cell r="K71" t="str">
            <v>EL SOLDADO</v>
          </cell>
          <cell r="L71">
            <v>0</v>
          </cell>
          <cell r="M71" t="str">
            <v>EL SOLDADO</v>
          </cell>
          <cell r="T71" t="e">
            <v>#REF!</v>
          </cell>
        </row>
        <row r="72">
          <cell r="A72" t="str">
            <v>CALERAS DE AMEXHE</v>
          </cell>
          <cell r="B72" t="str">
            <v>11DPR0855Y</v>
          </cell>
          <cell r="C72" t="str">
            <v>X</v>
          </cell>
          <cell r="E72" t="str">
            <v>BENITO JUAREZ</v>
          </cell>
          <cell r="F72">
            <v>127</v>
          </cell>
          <cell r="G72">
            <v>20</v>
          </cell>
          <cell r="H72" t="str">
            <v>Apaseo el Grande</v>
          </cell>
          <cell r="I72">
            <v>85000</v>
          </cell>
          <cell r="J72" t="str">
            <v>Completa</v>
          </cell>
          <cell r="K72" t="str">
            <v>CALERAS DE AMECHE</v>
          </cell>
          <cell r="L72">
            <v>0</v>
          </cell>
          <cell r="M72" t="str">
            <v>CALERAS DE AMEXHE</v>
          </cell>
          <cell r="T72" t="e">
            <v>#REF!</v>
          </cell>
        </row>
        <row r="73">
          <cell r="A73" t="str">
            <v>EL CASTILLO</v>
          </cell>
          <cell r="B73" t="str">
            <v>11DPR1023U</v>
          </cell>
          <cell r="C73" t="str">
            <v>X</v>
          </cell>
          <cell r="E73" t="str">
            <v>JOSEFA ORTIZ DE DOMINGUEZ</v>
          </cell>
          <cell r="F73">
            <v>79</v>
          </cell>
          <cell r="G73">
            <v>20</v>
          </cell>
          <cell r="H73" t="str">
            <v>Apaseo el Grande</v>
          </cell>
          <cell r="I73">
            <v>85000</v>
          </cell>
          <cell r="J73" t="str">
            <v>Completa</v>
          </cell>
          <cell r="K73" t="str">
            <v>CASTILLO S/N</v>
          </cell>
          <cell r="L73">
            <v>0</v>
          </cell>
          <cell r="M73" t="str">
            <v>EL CASTILLO</v>
          </cell>
          <cell r="T73" t="e">
            <v>#REF!</v>
          </cell>
        </row>
        <row r="74">
          <cell r="A74" t="str">
            <v>CALERAS DE AMEXHE</v>
          </cell>
          <cell r="B74" t="str">
            <v>11DPR3066F</v>
          </cell>
          <cell r="C74" t="str">
            <v>X</v>
          </cell>
          <cell r="E74" t="str">
            <v>CONSTITUCION</v>
          </cell>
          <cell r="F74">
            <v>127</v>
          </cell>
          <cell r="G74">
            <v>20</v>
          </cell>
          <cell r="H74" t="str">
            <v>Apaseo el Grande</v>
          </cell>
          <cell r="I74">
            <v>85000</v>
          </cell>
          <cell r="J74" t="str">
            <v>Completa</v>
          </cell>
          <cell r="K74" t="str">
            <v>CALERAS DE AMECHE</v>
          </cell>
          <cell r="L74">
            <v>0</v>
          </cell>
          <cell r="M74" t="str">
            <v>CALERAS DE AMEXHE</v>
          </cell>
          <cell r="T74" t="e">
            <v>#REF!</v>
          </cell>
        </row>
        <row r="75">
          <cell r="A75" t="str">
            <v>AMEXHE (AMECHE)</v>
          </cell>
          <cell r="B75" t="str">
            <v>11DPR1687Z</v>
          </cell>
          <cell r="C75" t="str">
            <v>X</v>
          </cell>
          <cell r="E75" t="str">
            <v>EMILIANO ZAPATA</v>
          </cell>
          <cell r="F75">
            <v>127</v>
          </cell>
          <cell r="G75">
            <v>20</v>
          </cell>
          <cell r="H75" t="str">
            <v>Apaseo el Grande</v>
          </cell>
          <cell r="I75">
            <v>85000</v>
          </cell>
          <cell r="J75" t="str">
            <v>Completa</v>
          </cell>
          <cell r="K75" t="str">
            <v>AVENIDA REVOLUCION NUM. 27</v>
          </cell>
          <cell r="L75">
            <v>0</v>
          </cell>
          <cell r="M75" t="str">
            <v>AMEXHE (AMECHE)</v>
          </cell>
          <cell r="T75" t="e">
            <v>#REF!</v>
          </cell>
        </row>
        <row r="76">
          <cell r="A76" t="str">
            <v>APASEO EL GRANDE</v>
          </cell>
          <cell r="B76" t="str">
            <v>11DPR0945Q</v>
          </cell>
          <cell r="C76" t="str">
            <v>X</v>
          </cell>
          <cell r="E76" t="str">
            <v>JOSE VASCONCELOS</v>
          </cell>
          <cell r="F76">
            <v>127</v>
          </cell>
          <cell r="G76">
            <v>20</v>
          </cell>
          <cell r="H76" t="str">
            <v>Apaseo el Grande</v>
          </cell>
          <cell r="I76">
            <v>85000</v>
          </cell>
          <cell r="J76" t="str">
            <v>Completa</v>
          </cell>
          <cell r="K76" t="str">
            <v>LA VILLITA</v>
          </cell>
          <cell r="L76" t="str">
            <v>LA VILLITA</v>
          </cell>
          <cell r="M76" t="str">
            <v>APASEO EL GRANDE</v>
          </cell>
          <cell r="T76" t="e">
            <v>#REF!</v>
          </cell>
        </row>
        <row r="77">
          <cell r="A77" t="str">
            <v>APASEO EL GRANDE</v>
          </cell>
          <cell r="B77" t="str">
            <v>11DPR3208N</v>
          </cell>
          <cell r="C77" t="str">
            <v>X</v>
          </cell>
          <cell r="E77" t="str">
            <v>RAFAEL RAMIREZ</v>
          </cell>
          <cell r="F77">
            <v>40</v>
          </cell>
          <cell r="G77">
            <v>20</v>
          </cell>
          <cell r="H77" t="str">
            <v>Apaseo el Grande</v>
          </cell>
          <cell r="I77">
            <v>85000</v>
          </cell>
          <cell r="J77" t="str">
            <v>Completa</v>
          </cell>
          <cell r="K77" t="str">
            <v>NARCISO MENDOZA NUM. 32</v>
          </cell>
          <cell r="L77">
            <v>0</v>
          </cell>
          <cell r="M77" t="str">
            <v>APASEO EL GRANDE</v>
          </cell>
          <cell r="T77" t="e">
            <v>#REF!</v>
          </cell>
        </row>
        <row r="78">
          <cell r="A78" t="str">
            <v>APASEO EL GRANDE</v>
          </cell>
          <cell r="B78" t="str">
            <v>11EPR0626D</v>
          </cell>
          <cell r="C78" t="str">
            <v>X</v>
          </cell>
          <cell r="E78" t="str">
            <v>LIC. JUAN JOSE TORRES LANDA</v>
          </cell>
          <cell r="F78">
            <v>557</v>
          </cell>
          <cell r="G78">
            <v>4</v>
          </cell>
          <cell r="H78" t="str">
            <v>Apaseo el Grande</v>
          </cell>
          <cell r="I78">
            <v>85000</v>
          </cell>
          <cell r="J78" t="str">
            <v>Completa</v>
          </cell>
          <cell r="K78" t="str">
            <v>MARIANO MATAMOROS NUM. 210-B</v>
          </cell>
          <cell r="L78" t="str">
            <v>ZONA CENTRO</v>
          </cell>
          <cell r="M78" t="str">
            <v>APASEO EL GRANDE</v>
          </cell>
          <cell r="T78" t="e">
            <v>#REF!</v>
          </cell>
        </row>
        <row r="79">
          <cell r="A79" t="str">
            <v>ESTANCIA DEL LLANO (SAN JOSE DEL LLANO)</v>
          </cell>
          <cell r="B79" t="str">
            <v>11DPR3606L</v>
          </cell>
          <cell r="C79" t="str">
            <v>X</v>
          </cell>
          <cell r="E79" t="str">
            <v>INDEPENDENCIA DE MEXICO</v>
          </cell>
          <cell r="F79">
            <v>79</v>
          </cell>
          <cell r="G79">
            <v>20</v>
          </cell>
          <cell r="H79" t="str">
            <v>Apaseo el Grande</v>
          </cell>
          <cell r="I79">
            <v>85000</v>
          </cell>
          <cell r="J79" t="str">
            <v>Completa</v>
          </cell>
          <cell r="K79" t="str">
            <v>ESTANCIA DEL LLANO</v>
          </cell>
          <cell r="L79">
            <v>0</v>
          </cell>
          <cell r="M79" t="str">
            <v>ESTANCIA DEL LLANO (SAN JOSE DEL LLANO)</v>
          </cell>
          <cell r="T79" t="e">
            <v>#REF!</v>
          </cell>
        </row>
        <row r="80">
          <cell r="A80" t="str">
            <v>SAN JOSE VIBORILLAS</v>
          </cell>
          <cell r="B80" t="str">
            <v>11DPR0104Y</v>
          </cell>
          <cell r="C80" t="str">
            <v>X</v>
          </cell>
          <cell r="E80" t="str">
            <v>ALVARO OBREGON</v>
          </cell>
          <cell r="F80">
            <v>40</v>
          </cell>
          <cell r="G80">
            <v>20</v>
          </cell>
          <cell r="H80" t="str">
            <v>Apaseo el Grande</v>
          </cell>
          <cell r="I80">
            <v>70000</v>
          </cell>
          <cell r="J80" t="str">
            <v>Completa</v>
          </cell>
          <cell r="K80" t="str">
            <v>SAN JOSE DE VIBORILLAS</v>
          </cell>
          <cell r="L80">
            <v>0</v>
          </cell>
          <cell r="M80" t="str">
            <v>SAN JOSE VIBORILLAS</v>
          </cell>
          <cell r="T80" t="e">
            <v>#REF!</v>
          </cell>
        </row>
        <row r="81">
          <cell r="A81" t="str">
            <v>OJO DE AGUA DE IXTLA (OJO DE AGUA)</v>
          </cell>
          <cell r="B81" t="str">
            <v>11DPR2764U</v>
          </cell>
          <cell r="C81" t="str">
            <v>X</v>
          </cell>
          <cell r="E81" t="str">
            <v>SANTIAGO FELIPE XICOTENCATL</v>
          </cell>
          <cell r="F81">
            <v>40</v>
          </cell>
          <cell r="G81">
            <v>20</v>
          </cell>
          <cell r="H81" t="str">
            <v>Apaseo el Grande</v>
          </cell>
          <cell r="I81">
            <v>85000</v>
          </cell>
          <cell r="J81" t="str">
            <v>Completa</v>
          </cell>
          <cell r="K81" t="str">
            <v>OJO DE AGUA DE IXTLA</v>
          </cell>
          <cell r="L81">
            <v>0</v>
          </cell>
          <cell r="M81" t="str">
            <v>OJO DE AGUA DE IXTLA (OJO DE AGUA)</v>
          </cell>
          <cell r="T81" t="e">
            <v>#REF!</v>
          </cell>
        </row>
        <row r="82">
          <cell r="A82" t="str">
            <v>SAN PEDRO TENANGO</v>
          </cell>
          <cell r="B82" t="str">
            <v>11DPR2794O</v>
          </cell>
          <cell r="D82" t="str">
            <v>X</v>
          </cell>
          <cell r="E82" t="str">
            <v>EMILIANO ZAPATA</v>
          </cell>
          <cell r="F82">
            <v>79</v>
          </cell>
          <cell r="G82">
            <v>20</v>
          </cell>
          <cell r="H82" t="str">
            <v>Apaseo el Grande</v>
          </cell>
          <cell r="I82">
            <v>85000</v>
          </cell>
          <cell r="J82" t="str">
            <v>Completa</v>
          </cell>
          <cell r="K82" t="str">
            <v>SAN PEDRO TENANGO</v>
          </cell>
          <cell r="L82">
            <v>0</v>
          </cell>
          <cell r="M82" t="str">
            <v>SAN PEDRO TENANGO</v>
          </cell>
          <cell r="T82" t="e">
            <v>#REF!</v>
          </cell>
        </row>
        <row r="83">
          <cell r="A83" t="str">
            <v>OJO ZARCO</v>
          </cell>
          <cell r="B83" t="str">
            <v>11DPR0793B</v>
          </cell>
          <cell r="C83" t="str">
            <v>X</v>
          </cell>
          <cell r="E83" t="str">
            <v>MIGUEL HIDALGO</v>
          </cell>
          <cell r="F83">
            <v>40</v>
          </cell>
          <cell r="G83">
            <v>20</v>
          </cell>
          <cell r="H83" t="str">
            <v>Apaseo el Grande</v>
          </cell>
          <cell r="I83">
            <v>30000</v>
          </cell>
          <cell r="J83" t="str">
            <v>Multigrado</v>
          </cell>
          <cell r="K83" t="str">
            <v>ALLENDE S/N</v>
          </cell>
          <cell r="L83">
            <v>0</v>
          </cell>
          <cell r="M83" t="str">
            <v>OJO ZARCO</v>
          </cell>
          <cell r="T83" t="e">
            <v>#REF!</v>
          </cell>
        </row>
        <row r="84">
          <cell r="A84" t="str">
            <v>EL PEÑON (SAN ISIDRO DEL PEÑON)</v>
          </cell>
          <cell r="B84" t="str">
            <v>11DPR0975K</v>
          </cell>
          <cell r="C84" t="str">
            <v>X</v>
          </cell>
          <cell r="E84" t="str">
            <v>JOSE MARIA MORELOS</v>
          </cell>
          <cell r="F84">
            <v>40</v>
          </cell>
          <cell r="G84">
            <v>20</v>
          </cell>
          <cell r="H84" t="str">
            <v>Apaseo el Grande</v>
          </cell>
          <cell r="I84">
            <v>25000</v>
          </cell>
          <cell r="J84" t="str">
            <v>Multigrado</v>
          </cell>
          <cell r="K84" t="str">
            <v>EL PEÑON</v>
          </cell>
          <cell r="L84">
            <v>0</v>
          </cell>
          <cell r="M84" t="str">
            <v>EL PEÑON (SAN ISIDRO DEL PEÑON)</v>
          </cell>
          <cell r="T84" t="e">
            <v>#REF!</v>
          </cell>
        </row>
        <row r="85">
          <cell r="A85" t="str">
            <v>EL TUNAL (LOS OLIVOS)</v>
          </cell>
          <cell r="B85" t="str">
            <v>11DJN0994I</v>
          </cell>
          <cell r="C85" t="str">
            <v>X</v>
          </cell>
          <cell r="E85" t="str">
            <v>LAURO AGUIRRE</v>
          </cell>
          <cell r="F85">
            <v>66</v>
          </cell>
          <cell r="G85">
            <v>11</v>
          </cell>
          <cell r="H85" t="str">
            <v>Apaseo el Grande</v>
          </cell>
          <cell r="I85">
            <v>85000</v>
          </cell>
          <cell r="J85" t="str">
            <v>Completa</v>
          </cell>
          <cell r="K85" t="str">
            <v>EMILIANO ZAPATA NUM. 2</v>
          </cell>
          <cell r="L85">
            <v>0</v>
          </cell>
          <cell r="M85" t="str">
            <v>EL TUNAL (LOS OLIVOS)</v>
          </cell>
          <cell r="T85" t="e">
            <v>#REF!</v>
          </cell>
        </row>
        <row r="86">
          <cell r="A86" t="str">
            <v>SAN RAMON</v>
          </cell>
          <cell r="B86" t="str">
            <v>11DJN0993J</v>
          </cell>
          <cell r="C86" t="str">
            <v>X</v>
          </cell>
          <cell r="E86" t="str">
            <v>20 DE NOVIEMBRE</v>
          </cell>
          <cell r="F86">
            <v>66</v>
          </cell>
          <cell r="G86">
            <v>11</v>
          </cell>
          <cell r="H86" t="str">
            <v>Apaseo el Grande</v>
          </cell>
          <cell r="I86">
            <v>30000</v>
          </cell>
          <cell r="J86" t="str">
            <v>Multigrado</v>
          </cell>
          <cell r="K86" t="str">
            <v>PROLONGACION DE JUAREZ NUM. 24</v>
          </cell>
          <cell r="L86">
            <v>0</v>
          </cell>
          <cell r="M86" t="str">
            <v>SAN RAMON</v>
          </cell>
          <cell r="T86" t="e">
            <v>#REF!</v>
          </cell>
        </row>
        <row r="87">
          <cell r="A87" t="str">
            <v>AMEXHE (AMECHE)</v>
          </cell>
          <cell r="B87" t="str">
            <v>11DJN0473A</v>
          </cell>
          <cell r="D87" t="str">
            <v>X</v>
          </cell>
          <cell r="E87" t="str">
            <v>JUAN DE DIOS PEZA</v>
          </cell>
          <cell r="F87">
            <v>66</v>
          </cell>
          <cell r="G87">
            <v>11</v>
          </cell>
          <cell r="H87" t="str">
            <v>Apaseo el Grande</v>
          </cell>
          <cell r="I87">
            <v>85000</v>
          </cell>
          <cell r="J87" t="str">
            <v>Completa</v>
          </cell>
          <cell r="K87" t="str">
            <v>AMEXCHE</v>
          </cell>
          <cell r="L87">
            <v>0</v>
          </cell>
          <cell r="M87" t="str">
            <v>AMEXHE (AMECHE)</v>
          </cell>
          <cell r="T87" t="e">
            <v>#REF!</v>
          </cell>
        </row>
        <row r="88">
          <cell r="A88" t="str">
            <v>EL PEÑON (SAN ISIDRO DEL PEÑON)</v>
          </cell>
          <cell r="B88" t="str">
            <v>11DJN2736H</v>
          </cell>
          <cell r="D88" t="str">
            <v>X</v>
          </cell>
          <cell r="E88" t="str">
            <v>SOR JUANA INES DE LA CRUZ</v>
          </cell>
          <cell r="F88">
            <v>66</v>
          </cell>
          <cell r="G88">
            <v>11</v>
          </cell>
          <cell r="H88" t="str">
            <v>Apaseo el Grande</v>
          </cell>
          <cell r="I88">
            <v>30000</v>
          </cell>
          <cell r="J88" t="str">
            <v>Multigrado</v>
          </cell>
          <cell r="K88" t="str">
            <v>EL PEÑON</v>
          </cell>
          <cell r="L88">
            <v>0</v>
          </cell>
          <cell r="M88" t="str">
            <v>EL PEÑON (SAN ISIDRO DEL PEÑON)</v>
          </cell>
          <cell r="T88" t="e">
            <v>#REF!</v>
          </cell>
        </row>
        <row r="89">
          <cell r="A89" t="str">
            <v>APASEO EL GRANDE</v>
          </cell>
          <cell r="B89" t="str">
            <v>11DJN0196O</v>
          </cell>
          <cell r="C89" t="str">
            <v>X</v>
          </cell>
          <cell r="E89" t="str">
            <v>ANTONIO PLAZA</v>
          </cell>
          <cell r="F89">
            <v>66</v>
          </cell>
          <cell r="G89">
            <v>11</v>
          </cell>
          <cell r="H89" t="str">
            <v>Apaseo el Grande</v>
          </cell>
          <cell r="I89">
            <v>85000</v>
          </cell>
          <cell r="J89" t="str">
            <v>Completa</v>
          </cell>
          <cell r="K89" t="str">
            <v>DEL CHARRO NUM. 201</v>
          </cell>
          <cell r="L89">
            <v>0</v>
          </cell>
          <cell r="M89" t="str">
            <v>APASEO EL GRANDE</v>
          </cell>
          <cell r="T89" t="e">
            <v>#REF!</v>
          </cell>
        </row>
        <row r="90">
          <cell r="A90" t="str">
            <v>EL CASTILLO</v>
          </cell>
          <cell r="B90" t="str">
            <v>11DJN0989X</v>
          </cell>
          <cell r="D90" t="str">
            <v>X</v>
          </cell>
          <cell r="E90" t="str">
            <v>AUGUSTO FEDERICO FROEBEL</v>
          </cell>
          <cell r="F90">
            <v>66</v>
          </cell>
          <cell r="G90">
            <v>11</v>
          </cell>
          <cell r="H90" t="str">
            <v>Apaseo el Grande</v>
          </cell>
          <cell r="I90">
            <v>85000</v>
          </cell>
          <cell r="J90" t="str">
            <v>Completa</v>
          </cell>
          <cell r="K90" t="str">
            <v>EL CASTILLO</v>
          </cell>
          <cell r="L90">
            <v>0</v>
          </cell>
          <cell r="M90" t="str">
            <v>EL CASTILLO</v>
          </cell>
          <cell r="T90" t="e">
            <v>#REF!</v>
          </cell>
        </row>
        <row r="91">
          <cell r="A91" t="str">
            <v>AMEXHE (AMECHE)</v>
          </cell>
          <cell r="B91" t="str">
            <v>11DPR3286R</v>
          </cell>
          <cell r="C91" t="str">
            <v>X</v>
          </cell>
          <cell r="E91" t="str">
            <v>FRANCISCO VILLA</v>
          </cell>
          <cell r="F91">
            <v>127</v>
          </cell>
          <cell r="G91">
            <v>20</v>
          </cell>
          <cell r="H91" t="str">
            <v>Apaseo el Grande</v>
          </cell>
          <cell r="I91">
            <v>85000</v>
          </cell>
          <cell r="J91" t="str">
            <v>Completa</v>
          </cell>
          <cell r="K91" t="str">
            <v>AVENIDA REVOLUCION NUM. 27</v>
          </cell>
          <cell r="L91">
            <v>0</v>
          </cell>
          <cell r="M91" t="str">
            <v>AMEXHE (AMECHE)</v>
          </cell>
          <cell r="T91" t="e">
            <v>#REF!</v>
          </cell>
        </row>
        <row r="92">
          <cell r="A92" t="str">
            <v>SAN JOSE VIBORILLAS</v>
          </cell>
          <cell r="B92" t="str">
            <v>11DJN0992K</v>
          </cell>
          <cell r="C92" t="str">
            <v>X</v>
          </cell>
          <cell r="E92" t="str">
            <v>JUAN DE LA BARRERA</v>
          </cell>
          <cell r="F92">
            <v>66</v>
          </cell>
          <cell r="G92">
            <v>11</v>
          </cell>
          <cell r="H92" t="str">
            <v>Apaseo el Grande</v>
          </cell>
          <cell r="I92">
            <v>85000</v>
          </cell>
          <cell r="J92" t="str">
            <v>Completa</v>
          </cell>
          <cell r="K92" t="str">
            <v>NIÑOS HEROES NUM. 14</v>
          </cell>
          <cell r="L92">
            <v>0</v>
          </cell>
          <cell r="M92" t="str">
            <v>SAN JOSE VIBORILLAS</v>
          </cell>
          <cell r="T92" t="e">
            <v>#REF!</v>
          </cell>
        </row>
        <row r="93">
          <cell r="A93" t="str">
            <v>LOS CERRITOS</v>
          </cell>
          <cell r="B93" t="str">
            <v>11DJN2406Q</v>
          </cell>
          <cell r="C93" t="str">
            <v>X</v>
          </cell>
          <cell r="E93" t="str">
            <v>JOSEFINA RAMOS DEL RIO</v>
          </cell>
          <cell r="F93">
            <v>66</v>
          </cell>
          <cell r="G93">
            <v>11</v>
          </cell>
          <cell r="H93" t="str">
            <v>Apaseo el Grande</v>
          </cell>
          <cell r="I93">
            <v>85000</v>
          </cell>
          <cell r="J93" t="str">
            <v>Completa</v>
          </cell>
          <cell r="K93" t="str">
            <v>EFREN FLORES RICO S/N</v>
          </cell>
          <cell r="L93">
            <v>0</v>
          </cell>
          <cell r="M93" t="str">
            <v>LOS CERRITOS</v>
          </cell>
          <cell r="T93" t="e">
            <v>#REF!</v>
          </cell>
        </row>
        <row r="94">
          <cell r="A94" t="str">
            <v>COACHITI</v>
          </cell>
          <cell r="B94" t="str">
            <v>11DPR3067E</v>
          </cell>
          <cell r="C94" t="str">
            <v>X</v>
          </cell>
          <cell r="E94" t="str">
            <v>18 DE MARZO</v>
          </cell>
          <cell r="F94">
            <v>127</v>
          </cell>
          <cell r="G94">
            <v>20</v>
          </cell>
          <cell r="H94" t="str">
            <v>Apaseo el Grande</v>
          </cell>
          <cell r="I94">
            <v>30000</v>
          </cell>
          <cell r="J94" t="str">
            <v>Multigrado</v>
          </cell>
          <cell r="K94" t="str">
            <v>REVOLUCION Y JUSTO SIERRA NUM. 14</v>
          </cell>
          <cell r="L94">
            <v>0</v>
          </cell>
          <cell r="M94" t="str">
            <v>COACHITI</v>
          </cell>
          <cell r="T94" t="e">
            <v>#REF!</v>
          </cell>
        </row>
        <row r="95">
          <cell r="A95" t="str">
            <v>PUNTA DE OBRAJUELO</v>
          </cell>
          <cell r="B95" t="str">
            <v>11DJN3036V</v>
          </cell>
          <cell r="D95" t="str">
            <v>X</v>
          </cell>
          <cell r="E95" t="str">
            <v>JOSEFA ORTIZ DE DOMINGUEZ</v>
          </cell>
          <cell r="F95">
            <v>66</v>
          </cell>
          <cell r="G95">
            <v>11</v>
          </cell>
          <cell r="H95" t="str">
            <v>Apaseo el Grande</v>
          </cell>
          <cell r="I95">
            <v>85000</v>
          </cell>
          <cell r="J95" t="str">
            <v>Completa</v>
          </cell>
          <cell r="K95" t="str">
            <v>FRANCISCO VILLA S/N</v>
          </cell>
          <cell r="L95">
            <v>0</v>
          </cell>
          <cell r="M95" t="str">
            <v>PUNTA DE OBRAJUELO</v>
          </cell>
          <cell r="T95" t="e">
            <v>#REF!</v>
          </cell>
        </row>
        <row r="96">
          <cell r="A96" t="str">
            <v>LA NORITA</v>
          </cell>
          <cell r="B96" t="str">
            <v>11DPR3434J</v>
          </cell>
          <cell r="C96" t="str">
            <v>X</v>
          </cell>
          <cell r="E96" t="str">
            <v>JUAN ESCUTIA</v>
          </cell>
          <cell r="F96">
            <v>79</v>
          </cell>
          <cell r="G96">
            <v>20</v>
          </cell>
          <cell r="H96" t="str">
            <v>Apaseo el Grande</v>
          </cell>
          <cell r="I96">
            <v>30000</v>
          </cell>
          <cell r="J96" t="str">
            <v>Multigrado</v>
          </cell>
          <cell r="K96" t="str">
            <v>LA NORITA</v>
          </cell>
          <cell r="L96">
            <v>0</v>
          </cell>
          <cell r="M96" t="str">
            <v>LA NORITA</v>
          </cell>
          <cell r="T96" t="e">
            <v>#REF!</v>
          </cell>
        </row>
        <row r="97">
          <cell r="A97" t="str">
            <v>EL CASTILLO</v>
          </cell>
          <cell r="B97" t="str">
            <v>11ETV0371S</v>
          </cell>
          <cell r="C97" t="str">
            <v>X</v>
          </cell>
          <cell r="E97" t="str">
            <v>TELESECUNDARIA NUM. 370</v>
          </cell>
          <cell r="F97">
            <v>559</v>
          </cell>
          <cell r="G97">
            <v>4</v>
          </cell>
          <cell r="H97" t="str">
            <v>Apaseo el Grande</v>
          </cell>
          <cell r="I97">
            <v>85000</v>
          </cell>
          <cell r="J97" t="str">
            <v>Completa</v>
          </cell>
          <cell r="K97" t="str">
            <v>EL CASTILLO</v>
          </cell>
          <cell r="L97">
            <v>0</v>
          </cell>
          <cell r="M97" t="str">
            <v>EL CASTILLO</v>
          </cell>
          <cell r="T97" t="e">
            <v>#REF!</v>
          </cell>
        </row>
        <row r="98">
          <cell r="A98" t="str">
            <v>LA BORUNDA</v>
          </cell>
          <cell r="B98" t="str">
            <v>11DJN2533M</v>
          </cell>
          <cell r="C98" t="str">
            <v>X</v>
          </cell>
          <cell r="E98" t="str">
            <v>CRISTOBAL COLON</v>
          </cell>
          <cell r="F98">
            <v>25</v>
          </cell>
          <cell r="G98">
            <v>23</v>
          </cell>
          <cell r="H98" t="str">
            <v>Comonfort</v>
          </cell>
          <cell r="I98">
            <v>30000</v>
          </cell>
          <cell r="J98" t="str">
            <v>Multigrado</v>
          </cell>
          <cell r="K98" t="str">
            <v>SAN ISIDRO NUM. 1</v>
          </cell>
          <cell r="L98">
            <v>0</v>
          </cell>
          <cell r="M98" t="str">
            <v>LA BORUNDA</v>
          </cell>
          <cell r="T98" t="e">
            <v>#REF!</v>
          </cell>
        </row>
        <row r="99">
          <cell r="A99" t="str">
            <v>AGUA BLANCA</v>
          </cell>
          <cell r="B99" t="str">
            <v>11DJN2738F</v>
          </cell>
          <cell r="C99" t="str">
            <v>X</v>
          </cell>
          <cell r="E99" t="str">
            <v>CANDIDO NAVARRO</v>
          </cell>
          <cell r="F99">
            <v>25</v>
          </cell>
          <cell r="G99">
            <v>23</v>
          </cell>
          <cell r="H99" t="str">
            <v>Comonfort</v>
          </cell>
          <cell r="I99">
            <v>30000</v>
          </cell>
          <cell r="J99" t="str">
            <v>Multigrado</v>
          </cell>
          <cell r="K99" t="str">
            <v>ALLENDE NUM. 1</v>
          </cell>
          <cell r="L99">
            <v>0</v>
          </cell>
          <cell r="M99" t="str">
            <v>AGUA BLANCA</v>
          </cell>
          <cell r="T99" t="e">
            <v>#REF!</v>
          </cell>
        </row>
        <row r="100">
          <cell r="A100" t="str">
            <v>PICACHO</v>
          </cell>
          <cell r="B100" t="str">
            <v>11DJN2570Q</v>
          </cell>
          <cell r="C100" t="str">
            <v>X</v>
          </cell>
          <cell r="E100" t="str">
            <v>OCTAVIO PAZ</v>
          </cell>
          <cell r="F100">
            <v>25</v>
          </cell>
          <cell r="G100">
            <v>23</v>
          </cell>
          <cell r="H100" t="str">
            <v>Comonfort</v>
          </cell>
          <cell r="I100">
            <v>30000</v>
          </cell>
          <cell r="J100" t="str">
            <v>Multigrado</v>
          </cell>
          <cell r="K100" t="str">
            <v>JOSEFA ORTIZ DE DOMINGUEZ S/N</v>
          </cell>
          <cell r="L100">
            <v>0</v>
          </cell>
          <cell r="M100" t="str">
            <v>PICACHO</v>
          </cell>
          <cell r="T100" t="e">
            <v>#REF!</v>
          </cell>
        </row>
        <row r="101">
          <cell r="A101" t="str">
            <v>COMONFORT</v>
          </cell>
          <cell r="B101" t="str">
            <v>11DJN0125U</v>
          </cell>
          <cell r="C101" t="str">
            <v>X</v>
          </cell>
          <cell r="E101" t="str">
            <v>JOSE MARIA VELASCO</v>
          </cell>
          <cell r="F101">
            <v>25</v>
          </cell>
          <cell r="G101">
            <v>23</v>
          </cell>
          <cell r="H101" t="str">
            <v>Comonfort</v>
          </cell>
          <cell r="I101">
            <v>85000</v>
          </cell>
          <cell r="J101" t="str">
            <v>Completa</v>
          </cell>
          <cell r="K101" t="str">
            <v>ARISTA NUM. 270 SAN AGUSTIN</v>
          </cell>
          <cell r="L101">
            <v>0</v>
          </cell>
          <cell r="M101" t="str">
            <v>COMONFORT</v>
          </cell>
          <cell r="T101" t="e">
            <v>#REF!</v>
          </cell>
        </row>
        <row r="102">
          <cell r="A102" t="str">
            <v>LA PRESA (RANCHO DE LA PRESA DE LOS OLALDES)</v>
          </cell>
          <cell r="B102" t="str">
            <v>11EPR0426F</v>
          </cell>
          <cell r="C102" t="str">
            <v>X</v>
          </cell>
          <cell r="E102" t="str">
            <v>5 DE FEBRERO</v>
          </cell>
          <cell r="F102">
            <v>540</v>
          </cell>
          <cell r="G102">
            <v>4</v>
          </cell>
          <cell r="H102" t="str">
            <v>Comonfort</v>
          </cell>
          <cell r="I102">
            <v>30000</v>
          </cell>
          <cell r="J102" t="str">
            <v>Multigrado</v>
          </cell>
          <cell r="K102" t="str">
            <v>LA PRESA</v>
          </cell>
          <cell r="L102">
            <v>0</v>
          </cell>
          <cell r="M102" t="str">
            <v>LA PRESA (RANCHO DE LA PRESA DE LOS OLALDES)</v>
          </cell>
          <cell r="T102" t="e">
            <v>#REF!</v>
          </cell>
        </row>
        <row r="103">
          <cell r="A103" t="str">
            <v>JALPILLA</v>
          </cell>
          <cell r="B103" t="str">
            <v>11DJN0201J</v>
          </cell>
          <cell r="C103" t="str">
            <v>X</v>
          </cell>
          <cell r="E103" t="str">
            <v>JUAN RUIZ DE ALARCON</v>
          </cell>
          <cell r="F103">
            <v>25</v>
          </cell>
          <cell r="G103">
            <v>23</v>
          </cell>
          <cell r="H103" t="str">
            <v>Comonfort</v>
          </cell>
          <cell r="I103">
            <v>85000</v>
          </cell>
          <cell r="J103" t="str">
            <v>Completa</v>
          </cell>
          <cell r="K103" t="str">
            <v>EMILIANO ZAPATA NUM. 9</v>
          </cell>
          <cell r="L103">
            <v>0</v>
          </cell>
          <cell r="M103" t="str">
            <v>JALPILLA</v>
          </cell>
          <cell r="T103" t="e">
            <v>#REF!</v>
          </cell>
        </row>
        <row r="104">
          <cell r="A104" t="str">
            <v>RINCONCILLO (RINCONCILLO DE LOS REMEDIOS)</v>
          </cell>
          <cell r="B104" t="str">
            <v>11DJN2744Q</v>
          </cell>
          <cell r="C104" t="str">
            <v>X</v>
          </cell>
          <cell r="E104" t="str">
            <v>FRANCISCO JAVIER MINA</v>
          </cell>
          <cell r="F104">
            <v>25</v>
          </cell>
          <cell r="G104">
            <v>23</v>
          </cell>
          <cell r="H104" t="str">
            <v>Comonfort</v>
          </cell>
          <cell r="I104">
            <v>30000</v>
          </cell>
          <cell r="J104" t="str">
            <v>Multigrado</v>
          </cell>
          <cell r="K104" t="str">
            <v>RINCONCILLO</v>
          </cell>
          <cell r="L104">
            <v>0</v>
          </cell>
          <cell r="M104" t="str">
            <v>RINCONCILLO (RINCONCILLO DE LOS REMEDIOS)</v>
          </cell>
          <cell r="T104" t="e">
            <v>#REF!</v>
          </cell>
        </row>
        <row r="105">
          <cell r="A105" t="str">
            <v>LA ASUNCION</v>
          </cell>
          <cell r="B105" t="str">
            <v>11EPR0784T</v>
          </cell>
          <cell r="C105" t="str">
            <v>X</v>
          </cell>
          <cell r="E105" t="str">
            <v>IGNACIO COMONFORT</v>
          </cell>
          <cell r="F105">
            <v>540</v>
          </cell>
          <cell r="G105">
            <v>4</v>
          </cell>
          <cell r="H105" t="str">
            <v>Comonfort</v>
          </cell>
          <cell r="I105">
            <v>30000</v>
          </cell>
          <cell r="J105" t="str">
            <v>Multigrado</v>
          </cell>
          <cell r="K105" t="str">
            <v>LA ASUNCION</v>
          </cell>
          <cell r="L105">
            <v>0</v>
          </cell>
          <cell r="M105" t="str">
            <v>LA ASUNCION</v>
          </cell>
          <cell r="T105" t="e">
            <v>#REF!</v>
          </cell>
        </row>
        <row r="106">
          <cell r="A106" t="str">
            <v>COMONFORT</v>
          </cell>
          <cell r="B106" t="str">
            <v>11DJN0516I</v>
          </cell>
          <cell r="C106" t="str">
            <v>X</v>
          </cell>
          <cell r="E106" t="str">
            <v>VICENTE SUAREZ</v>
          </cell>
          <cell r="F106">
            <v>25</v>
          </cell>
          <cell r="G106">
            <v>23</v>
          </cell>
          <cell r="H106" t="str">
            <v>Comonfort</v>
          </cell>
          <cell r="I106">
            <v>85000</v>
          </cell>
          <cell r="J106" t="str">
            <v>Completa</v>
          </cell>
          <cell r="K106" t="str">
            <v>FRAY JUAN DE ZUMARRAGA S/N</v>
          </cell>
          <cell r="L106">
            <v>0</v>
          </cell>
          <cell r="M106" t="str">
            <v>COMONFORT</v>
          </cell>
          <cell r="T106" t="e">
            <v>#REF!</v>
          </cell>
        </row>
        <row r="107">
          <cell r="A107" t="str">
            <v>RINCON DEL PURGATORIO</v>
          </cell>
          <cell r="B107" t="str">
            <v>11DJN2740U</v>
          </cell>
          <cell r="C107" t="str">
            <v>X</v>
          </cell>
          <cell r="E107" t="str">
            <v>JAIME TORRES BODET</v>
          </cell>
          <cell r="F107">
            <v>25</v>
          </cell>
          <cell r="G107">
            <v>23</v>
          </cell>
          <cell r="H107" t="str">
            <v>Comonfort</v>
          </cell>
          <cell r="I107">
            <v>30000</v>
          </cell>
          <cell r="J107" t="str">
            <v>Multigrado</v>
          </cell>
          <cell r="K107" t="str">
            <v>RINCON DEL PURGATORIO</v>
          </cell>
          <cell r="L107">
            <v>0</v>
          </cell>
          <cell r="M107" t="str">
            <v>RINCON DEL PURGATORIO</v>
          </cell>
          <cell r="T107" t="e">
            <v>#REF!</v>
          </cell>
        </row>
        <row r="108">
          <cell r="A108" t="str">
            <v>OJO DE AGUA DEL POTRERO (OJO DE AGUA)</v>
          </cell>
          <cell r="B108" t="str">
            <v>11DJN2745P</v>
          </cell>
          <cell r="C108" t="str">
            <v>X</v>
          </cell>
          <cell r="E108" t="str">
            <v>ALFONSO TEJA ZABRE</v>
          </cell>
          <cell r="F108">
            <v>25</v>
          </cell>
          <cell r="G108">
            <v>23</v>
          </cell>
          <cell r="H108" t="str">
            <v>Comonfort</v>
          </cell>
          <cell r="I108">
            <v>30000</v>
          </cell>
          <cell r="J108" t="str">
            <v>Multigrado</v>
          </cell>
          <cell r="K108" t="str">
            <v>OJO DE AGUA DEL POTRERO</v>
          </cell>
          <cell r="L108">
            <v>0</v>
          </cell>
          <cell r="M108" t="str">
            <v>OJO DE AGUA DEL POTRERO (OJO DE AGUA)</v>
          </cell>
          <cell r="T108" t="e">
            <v>#REF!</v>
          </cell>
        </row>
        <row r="109">
          <cell r="A109" t="str">
            <v>PALMILLAS DEL PICACHO</v>
          </cell>
          <cell r="B109" t="str">
            <v>11EPR0074T</v>
          </cell>
          <cell r="C109" t="str">
            <v>X</v>
          </cell>
          <cell r="E109" t="str">
            <v>VICENTE GUERRERO</v>
          </cell>
          <cell r="F109">
            <v>540</v>
          </cell>
          <cell r="G109">
            <v>4</v>
          </cell>
          <cell r="H109" t="str">
            <v>Comonfort</v>
          </cell>
          <cell r="I109">
            <v>30000</v>
          </cell>
          <cell r="J109" t="str">
            <v>Multigrado</v>
          </cell>
          <cell r="K109" t="str">
            <v>PALMILLAS DE PICACHO</v>
          </cell>
          <cell r="L109">
            <v>0</v>
          </cell>
          <cell r="M109" t="str">
            <v>PALMILLAS DEL PICACHO</v>
          </cell>
          <cell r="T109" t="e">
            <v>#REF!</v>
          </cell>
        </row>
        <row r="110">
          <cell r="A110" t="str">
            <v>EMPALME ESCOBEDO (ESCOBEDO)</v>
          </cell>
          <cell r="B110" t="str">
            <v>11DJN0160Z</v>
          </cell>
          <cell r="C110" t="str">
            <v>X</v>
          </cell>
          <cell r="E110" t="str">
            <v>JOSE ROSAS MORENO</v>
          </cell>
          <cell r="F110">
            <v>74</v>
          </cell>
          <cell r="G110">
            <v>23</v>
          </cell>
          <cell r="H110" t="str">
            <v>Comonfort</v>
          </cell>
          <cell r="I110">
            <v>85000</v>
          </cell>
          <cell r="J110" t="str">
            <v>Completa</v>
          </cell>
          <cell r="K110" t="str">
            <v>ANTIIGUO CAMPO DEPORTIVO S/N</v>
          </cell>
          <cell r="L110">
            <v>0</v>
          </cell>
          <cell r="M110" t="str">
            <v>EMPALME ESCOBEDO (ESCOBEDO)</v>
          </cell>
          <cell r="T110" t="e">
            <v>#REF!</v>
          </cell>
        </row>
        <row r="111">
          <cell r="A111" t="str">
            <v>PALMILLAS DEL PICACHO</v>
          </cell>
          <cell r="B111" t="str">
            <v>11DJN2538H</v>
          </cell>
          <cell r="C111" t="str">
            <v>X</v>
          </cell>
          <cell r="E111" t="str">
            <v>JESUS REYES HEROLES</v>
          </cell>
          <cell r="F111">
            <v>25</v>
          </cell>
          <cell r="G111">
            <v>23</v>
          </cell>
          <cell r="H111" t="str">
            <v>Comonfort</v>
          </cell>
          <cell r="I111">
            <v>30000</v>
          </cell>
          <cell r="J111" t="str">
            <v>Multigrado</v>
          </cell>
          <cell r="K111" t="str">
            <v>PALMILLAS DE PICACHO</v>
          </cell>
          <cell r="L111">
            <v>0</v>
          </cell>
          <cell r="M111" t="str">
            <v>PALMILLAS DEL PICACHO</v>
          </cell>
          <cell r="T111" t="e">
            <v>#REF!</v>
          </cell>
        </row>
        <row r="112">
          <cell r="A112" t="str">
            <v>JALPILLA</v>
          </cell>
          <cell r="B112" t="str">
            <v>11ETV0071V</v>
          </cell>
          <cell r="C112" t="str">
            <v>X</v>
          </cell>
          <cell r="E112" t="str">
            <v>BENITO JUAREZ</v>
          </cell>
          <cell r="F112">
            <v>507</v>
          </cell>
          <cell r="G112">
            <v>4</v>
          </cell>
          <cell r="H112" t="str">
            <v>Comonfort</v>
          </cell>
          <cell r="I112">
            <v>85000</v>
          </cell>
          <cell r="J112" t="str">
            <v>Completa</v>
          </cell>
          <cell r="K112" t="str">
            <v>JALPILLA</v>
          </cell>
          <cell r="L112">
            <v>0</v>
          </cell>
          <cell r="M112" t="str">
            <v>JALPILLA</v>
          </cell>
          <cell r="T112" t="e">
            <v>#REF!</v>
          </cell>
        </row>
        <row r="113">
          <cell r="A113" t="str">
            <v>POTRERO</v>
          </cell>
          <cell r="B113" t="str">
            <v>11DJN2344U</v>
          </cell>
          <cell r="C113" t="str">
            <v>X</v>
          </cell>
          <cell r="E113" t="str">
            <v>ENRIQUE C. REBSAMEN</v>
          </cell>
          <cell r="F113">
            <v>25</v>
          </cell>
          <cell r="G113">
            <v>23</v>
          </cell>
          <cell r="H113" t="str">
            <v>Comonfort</v>
          </cell>
          <cell r="I113">
            <v>85000</v>
          </cell>
          <cell r="J113" t="str">
            <v>Completa</v>
          </cell>
          <cell r="K113" t="str">
            <v>HIDALGO NUM. 14</v>
          </cell>
          <cell r="L113">
            <v>0</v>
          </cell>
          <cell r="M113" t="str">
            <v>POTRERO</v>
          </cell>
          <cell r="T113" t="e">
            <v>#REF!</v>
          </cell>
        </row>
        <row r="114">
          <cell r="A114" t="str">
            <v>SAN PABLO</v>
          </cell>
          <cell r="B114" t="str">
            <v>11DJN2539G</v>
          </cell>
          <cell r="C114" t="str">
            <v>X</v>
          </cell>
          <cell r="E114" t="str">
            <v>FRANCISCO EDUARDO TRESGUERRAS</v>
          </cell>
          <cell r="F114">
            <v>25</v>
          </cell>
          <cell r="G114">
            <v>23</v>
          </cell>
          <cell r="H114" t="str">
            <v>Comonfort</v>
          </cell>
          <cell r="I114">
            <v>30000</v>
          </cell>
          <cell r="J114" t="str">
            <v>Multigrado</v>
          </cell>
          <cell r="K114" t="str">
            <v>HIDALGO S/N</v>
          </cell>
          <cell r="L114">
            <v>0</v>
          </cell>
          <cell r="M114" t="str">
            <v>SAN PABLO</v>
          </cell>
          <cell r="T114" t="e">
            <v>#REF!</v>
          </cell>
        </row>
        <row r="115">
          <cell r="A115" t="str">
            <v>EMPALME ESCOBEDO (ESCOBEDO)</v>
          </cell>
          <cell r="B115" t="str">
            <v>11EPR0841U</v>
          </cell>
          <cell r="C115" t="str">
            <v>X</v>
          </cell>
          <cell r="E115" t="str">
            <v>20 DE NOVIEMBRE</v>
          </cell>
          <cell r="F115">
            <v>540</v>
          </cell>
          <cell r="G115">
            <v>4</v>
          </cell>
          <cell r="H115" t="str">
            <v>Comonfort</v>
          </cell>
          <cell r="I115">
            <v>85000</v>
          </cell>
          <cell r="J115" t="str">
            <v>Completa</v>
          </cell>
          <cell r="K115" t="str">
            <v>FERROCARRIL NUM. 45</v>
          </cell>
          <cell r="L115">
            <v>0</v>
          </cell>
          <cell r="M115" t="str">
            <v>EMPALME ESCOBEDO (ESCOBEDO)</v>
          </cell>
          <cell r="T115" t="e">
            <v>#REF!</v>
          </cell>
        </row>
        <row r="116">
          <cell r="A116" t="str">
            <v>ORDUÑA DE ABAJO</v>
          </cell>
          <cell r="B116" t="str">
            <v>11DJN0105G</v>
          </cell>
          <cell r="C116" t="str">
            <v>X</v>
          </cell>
          <cell r="E116" t="str">
            <v>DR. JOSE MARIA LUIS MORA</v>
          </cell>
          <cell r="F116">
            <v>25</v>
          </cell>
          <cell r="G116">
            <v>23</v>
          </cell>
          <cell r="H116" t="str">
            <v>Comonfort</v>
          </cell>
          <cell r="I116">
            <v>30000</v>
          </cell>
          <cell r="J116" t="str">
            <v>Multigrado</v>
          </cell>
          <cell r="K116" t="str">
            <v>HIDALGO S/N</v>
          </cell>
          <cell r="L116">
            <v>0</v>
          </cell>
          <cell r="M116" t="str">
            <v>ORDUÑA DE ABAJO</v>
          </cell>
          <cell r="T116" t="e">
            <v>#REF!</v>
          </cell>
        </row>
        <row r="117">
          <cell r="A117" t="str">
            <v>ORDUÑA DE ABAJO</v>
          </cell>
          <cell r="B117" t="str">
            <v>11ETV0073T</v>
          </cell>
          <cell r="C117" t="str">
            <v>X</v>
          </cell>
          <cell r="E117" t="str">
            <v>IGNACIO COMONFORT</v>
          </cell>
          <cell r="F117">
            <v>507</v>
          </cell>
          <cell r="G117">
            <v>4</v>
          </cell>
          <cell r="H117" t="str">
            <v>Comonfort</v>
          </cell>
          <cell r="I117">
            <v>85000</v>
          </cell>
          <cell r="J117" t="str">
            <v>Completa</v>
          </cell>
          <cell r="K117" t="str">
            <v>HIDALGO NUM. 200</v>
          </cell>
          <cell r="L117">
            <v>0</v>
          </cell>
          <cell r="M117" t="str">
            <v>ORDUÑA DE ABAJO</v>
          </cell>
          <cell r="T117" t="e">
            <v>#REF!</v>
          </cell>
        </row>
        <row r="118">
          <cell r="A118" t="str">
            <v>DELGADO DE ARRIBA</v>
          </cell>
          <cell r="B118" t="str">
            <v>11DPR3840Q</v>
          </cell>
          <cell r="C118" t="str">
            <v>X</v>
          </cell>
          <cell r="E118" t="str">
            <v>NICOLAS BRAVO</v>
          </cell>
          <cell r="F118">
            <v>89</v>
          </cell>
          <cell r="G118">
            <v>16</v>
          </cell>
          <cell r="H118" t="str">
            <v>Comonfort</v>
          </cell>
          <cell r="I118">
            <v>85000</v>
          </cell>
          <cell r="J118" t="str">
            <v>Completa</v>
          </cell>
          <cell r="K118" t="str">
            <v>DELGADO DE ARRIBA</v>
          </cell>
          <cell r="L118">
            <v>0</v>
          </cell>
          <cell r="M118" t="str">
            <v>DELGADO DE ARRIBA</v>
          </cell>
          <cell r="T118" t="e">
            <v>#REF!</v>
          </cell>
        </row>
        <row r="119">
          <cell r="A119" t="str">
            <v>EMPALME ESCOBEDO (ESCOBEDO)</v>
          </cell>
          <cell r="B119" t="str">
            <v>11DJN0254O</v>
          </cell>
          <cell r="C119" t="str">
            <v>X</v>
          </cell>
          <cell r="E119" t="str">
            <v>FEDERICO FROEBEL</v>
          </cell>
          <cell r="F119">
            <v>74</v>
          </cell>
          <cell r="G119">
            <v>23</v>
          </cell>
          <cell r="H119" t="str">
            <v>Comonfort</v>
          </cell>
          <cell r="I119">
            <v>85000</v>
          </cell>
          <cell r="J119" t="str">
            <v>Completa</v>
          </cell>
          <cell r="K119" t="str">
            <v>INDUSTRIA S/N</v>
          </cell>
          <cell r="L119" t="str">
            <v>SORIA</v>
          </cell>
          <cell r="M119" t="str">
            <v>EMPALME ESCOBEDO (ESCOBEDO)</v>
          </cell>
          <cell r="T119" t="e">
            <v>#REF!</v>
          </cell>
        </row>
        <row r="120">
          <cell r="A120" t="str">
            <v>COMONFORT</v>
          </cell>
          <cell r="B120" t="str">
            <v>11EPR0643U</v>
          </cell>
          <cell r="C120" t="str">
            <v>X</v>
          </cell>
          <cell r="E120" t="str">
            <v>LEYES DE REFORMA</v>
          </cell>
          <cell r="F120">
            <v>540</v>
          </cell>
          <cell r="G120">
            <v>4</v>
          </cell>
          <cell r="H120" t="str">
            <v>Comonfort</v>
          </cell>
          <cell r="I120">
            <v>85000</v>
          </cell>
          <cell r="J120" t="str">
            <v>Completa</v>
          </cell>
          <cell r="K120" t="str">
            <v>ARISTA NUM. 272 BARRIO DE SAN AGUSTIN</v>
          </cell>
          <cell r="L120" t="str">
            <v>BARRIO SAN AGUSTIN</v>
          </cell>
          <cell r="M120" t="str">
            <v>COMONFORT</v>
          </cell>
          <cell r="T120" t="e">
            <v>#REF!</v>
          </cell>
        </row>
        <row r="121">
          <cell r="A121" t="str">
            <v>SAN ISIDRO (LA LOMA)</v>
          </cell>
          <cell r="B121" t="str">
            <v>11EPR0733M</v>
          </cell>
          <cell r="C121" t="str">
            <v>X</v>
          </cell>
          <cell r="E121" t="str">
            <v>JUSTO SIERRA</v>
          </cell>
          <cell r="F121">
            <v>540</v>
          </cell>
          <cell r="G121">
            <v>4</v>
          </cell>
          <cell r="H121" t="str">
            <v>Comonfort</v>
          </cell>
          <cell r="I121">
            <v>30000</v>
          </cell>
          <cell r="J121" t="str">
            <v>Multigrado</v>
          </cell>
          <cell r="K121" t="str">
            <v>SAN ISIDRO EJIDO DE LA PALMA</v>
          </cell>
          <cell r="L121" t="str">
            <v>SAN ISIDRO EJIDO DE LA PALMA</v>
          </cell>
          <cell r="M121" t="str">
            <v>SAN ISIDRO (LA LOMA)</v>
          </cell>
          <cell r="T121" t="e">
            <v>#REF!</v>
          </cell>
        </row>
        <row r="122">
          <cell r="A122" t="str">
            <v>COMONFORT</v>
          </cell>
          <cell r="B122" t="str">
            <v>11ETV0209Q</v>
          </cell>
          <cell r="D122" t="str">
            <v>X</v>
          </cell>
          <cell r="E122" t="str">
            <v>JOSE MA. MORELOS Y PAVON</v>
          </cell>
          <cell r="F122">
            <v>507</v>
          </cell>
          <cell r="G122">
            <v>4</v>
          </cell>
          <cell r="H122" t="str">
            <v>Comonfort</v>
          </cell>
          <cell r="I122">
            <v>85000</v>
          </cell>
          <cell r="J122" t="str">
            <v>Completa</v>
          </cell>
          <cell r="K122" t="str">
            <v>JOSE MA. MORELOS NUM. 42</v>
          </cell>
          <cell r="L122" t="str">
            <v>NO APLICA</v>
          </cell>
          <cell r="M122" t="str">
            <v>COMONFORT</v>
          </cell>
          <cell r="T122" t="e">
            <v>#REF!</v>
          </cell>
        </row>
        <row r="123">
          <cell r="A123" t="str">
            <v>EMPALME ESCOBEDO (ESCOBEDO)</v>
          </cell>
          <cell r="B123" t="str">
            <v>11ETV0487S</v>
          </cell>
          <cell r="D123" t="str">
            <v>X</v>
          </cell>
          <cell r="E123" t="str">
            <v>MAHATMA GANDHI</v>
          </cell>
          <cell r="F123">
            <v>507</v>
          </cell>
          <cell r="G123">
            <v>4</v>
          </cell>
          <cell r="H123" t="str">
            <v>Comonfort</v>
          </cell>
          <cell r="I123">
            <v>85000</v>
          </cell>
          <cell r="J123" t="str">
            <v>Completa</v>
          </cell>
          <cell r="K123" t="str">
            <v>EMPALME ESCOBEDO</v>
          </cell>
          <cell r="L123" t="str">
            <v>NO APLICA</v>
          </cell>
          <cell r="M123" t="str">
            <v>EMPALME ESCOBEDO (ESCOBEDO)</v>
          </cell>
          <cell r="T123" t="e">
            <v>#REF!</v>
          </cell>
        </row>
        <row r="124">
          <cell r="A124" t="str">
            <v>NEUTLA</v>
          </cell>
          <cell r="B124" t="str">
            <v>11DPR2331G</v>
          </cell>
          <cell r="C124" t="str">
            <v>X</v>
          </cell>
          <cell r="E124" t="str">
            <v>FRANCISCO I. MADERO</v>
          </cell>
          <cell r="F124">
            <v>89</v>
          </cell>
          <cell r="G124">
            <v>16</v>
          </cell>
          <cell r="H124" t="str">
            <v>Comonfort</v>
          </cell>
          <cell r="I124">
            <v>85000</v>
          </cell>
          <cell r="J124" t="str">
            <v>Completa</v>
          </cell>
          <cell r="K124" t="str">
            <v>BENITO JUAREZ NUM. 33BIS</v>
          </cell>
          <cell r="L124" t="str">
            <v>NO APLICA</v>
          </cell>
          <cell r="M124" t="str">
            <v>NEUTLA</v>
          </cell>
          <cell r="T124" t="e">
            <v>#REF!</v>
          </cell>
        </row>
        <row r="125">
          <cell r="A125" t="str">
            <v>POTRERO</v>
          </cell>
          <cell r="B125" t="str">
            <v>11ETV0516X</v>
          </cell>
          <cell r="D125" t="str">
            <v>X</v>
          </cell>
          <cell r="E125" t="str">
            <v>JOSE VASCONCELOS</v>
          </cell>
          <cell r="F125">
            <v>507</v>
          </cell>
          <cell r="G125">
            <v>4</v>
          </cell>
          <cell r="H125" t="str">
            <v>Comonfort</v>
          </cell>
          <cell r="I125">
            <v>85000</v>
          </cell>
          <cell r="J125" t="str">
            <v>Completa</v>
          </cell>
          <cell r="K125" t="str">
            <v>HIDALGO NUM. 3</v>
          </cell>
          <cell r="L125">
            <v>0</v>
          </cell>
          <cell r="M125" t="str">
            <v>POTRERO</v>
          </cell>
          <cell r="T125" t="e">
            <v>#REF!</v>
          </cell>
        </row>
        <row r="126">
          <cell r="A126" t="str">
            <v>DELGADO DE ARRIBA</v>
          </cell>
          <cell r="B126" t="str">
            <v>11ETV0433O</v>
          </cell>
          <cell r="D126" t="str">
            <v>X</v>
          </cell>
          <cell r="E126" t="str">
            <v>TIERRA Y LIBERTAD</v>
          </cell>
          <cell r="F126">
            <v>507</v>
          </cell>
          <cell r="G126">
            <v>4</v>
          </cell>
          <cell r="H126" t="str">
            <v>Comonfort</v>
          </cell>
          <cell r="I126">
            <v>85000</v>
          </cell>
          <cell r="J126" t="str">
            <v>Completa</v>
          </cell>
          <cell r="K126" t="str">
            <v>DELGADO DE ARRIBA</v>
          </cell>
          <cell r="L126">
            <v>0</v>
          </cell>
          <cell r="M126" t="str">
            <v>DELGADO DE ARRIBA</v>
          </cell>
          <cell r="T126" t="e">
            <v>#REF!</v>
          </cell>
        </row>
        <row r="127">
          <cell r="A127" t="str">
            <v>LA LAGUNA</v>
          </cell>
          <cell r="B127" t="str">
            <v>11ETV0855W</v>
          </cell>
          <cell r="D127" t="str">
            <v>X</v>
          </cell>
          <cell r="E127" t="str">
            <v>HEROINAS DE MEXICO</v>
          </cell>
          <cell r="F127">
            <v>507</v>
          </cell>
          <cell r="G127">
            <v>4</v>
          </cell>
          <cell r="H127" t="str">
            <v>Comonfort</v>
          </cell>
          <cell r="I127">
            <v>85000</v>
          </cell>
          <cell r="J127" t="str">
            <v>Completa</v>
          </cell>
          <cell r="K127" t="str">
            <v>LA LAGUNA</v>
          </cell>
          <cell r="L127">
            <v>0</v>
          </cell>
          <cell r="M127" t="str">
            <v>LA LAGUNA</v>
          </cell>
          <cell r="T127" t="e">
            <v>#REF!</v>
          </cell>
        </row>
        <row r="128">
          <cell r="A128" t="str">
            <v>LAS GALLINAS</v>
          </cell>
          <cell r="B128" t="str">
            <v>11EPR0072V</v>
          </cell>
          <cell r="C128" t="str">
            <v>X</v>
          </cell>
          <cell r="E128" t="str">
            <v>MIGUEL HIDALGO</v>
          </cell>
          <cell r="F128">
            <v>540</v>
          </cell>
          <cell r="G128">
            <v>4</v>
          </cell>
          <cell r="H128" t="str">
            <v>Comonfort</v>
          </cell>
          <cell r="I128">
            <v>27500</v>
          </cell>
          <cell r="J128" t="str">
            <v>Multigrado</v>
          </cell>
          <cell r="K128" t="str">
            <v>GALLINAS</v>
          </cell>
          <cell r="L128">
            <v>0</v>
          </cell>
          <cell r="M128" t="str">
            <v>LAS GALLINAS</v>
          </cell>
          <cell r="T128" t="e">
            <v>#REF!</v>
          </cell>
        </row>
        <row r="129">
          <cell r="A129" t="str">
            <v>SALTO DE LEON</v>
          </cell>
          <cell r="B129" t="str">
            <v>11EPR0599X</v>
          </cell>
          <cell r="D129" t="str">
            <v>X</v>
          </cell>
          <cell r="E129" t="str">
            <v>IGNACIO ZARAGOZA</v>
          </cell>
          <cell r="F129">
            <v>524</v>
          </cell>
          <cell r="G129">
            <v>7</v>
          </cell>
          <cell r="H129" t="str">
            <v>Coroneo</v>
          </cell>
          <cell r="I129">
            <v>30000</v>
          </cell>
          <cell r="J129" t="str">
            <v>Multigrado</v>
          </cell>
          <cell r="K129" t="str">
            <v>SALTO DE LEON</v>
          </cell>
          <cell r="L129">
            <v>0</v>
          </cell>
          <cell r="M129" t="str">
            <v>SALTO DE LEON</v>
          </cell>
          <cell r="T129" t="e">
            <v>#REF!</v>
          </cell>
        </row>
        <row r="130">
          <cell r="A130" t="str">
            <v>SALTO DE LEON</v>
          </cell>
          <cell r="B130" t="str">
            <v>11ETV0759T</v>
          </cell>
          <cell r="D130" t="str">
            <v>X</v>
          </cell>
          <cell r="E130" t="str">
            <v>TELESECUNDARIA NUM. 740</v>
          </cell>
          <cell r="F130">
            <v>554</v>
          </cell>
          <cell r="G130">
            <v>7</v>
          </cell>
          <cell r="H130" t="str">
            <v>Coroneo</v>
          </cell>
          <cell r="I130">
            <v>70000</v>
          </cell>
          <cell r="J130" t="str">
            <v>Completa</v>
          </cell>
          <cell r="K130" t="str">
            <v>SALTO DE LEON</v>
          </cell>
          <cell r="L130">
            <v>0</v>
          </cell>
          <cell r="M130" t="str">
            <v>SALTO DE LEON</v>
          </cell>
          <cell r="T130" t="e">
            <v>#REF!</v>
          </cell>
        </row>
        <row r="131">
          <cell r="A131" t="str">
            <v>ACATLAN</v>
          </cell>
          <cell r="B131" t="str">
            <v>11ETV0947M</v>
          </cell>
          <cell r="D131" t="str">
            <v>X</v>
          </cell>
          <cell r="E131" t="str">
            <v>TELESECUNDARIA NUM. 947</v>
          </cell>
          <cell r="F131">
            <v>554</v>
          </cell>
          <cell r="G131">
            <v>7</v>
          </cell>
          <cell r="H131" t="str">
            <v>Coroneo</v>
          </cell>
          <cell r="I131">
            <v>85000</v>
          </cell>
          <cell r="J131" t="str">
            <v>Completa</v>
          </cell>
          <cell r="K131" t="str">
            <v>ACATLAN</v>
          </cell>
          <cell r="L131">
            <v>0</v>
          </cell>
          <cell r="M131" t="str">
            <v>ACATLAN</v>
          </cell>
          <cell r="T131" t="e">
            <v>#REF!</v>
          </cell>
        </row>
        <row r="132">
          <cell r="A132" t="str">
            <v>ACATLAN</v>
          </cell>
          <cell r="B132" t="str">
            <v>11DPR1615F</v>
          </cell>
          <cell r="C132" t="str">
            <v>X</v>
          </cell>
          <cell r="E132" t="str">
            <v>MIGUEL HIDALGO</v>
          </cell>
          <cell r="F132">
            <v>148</v>
          </cell>
          <cell r="G132">
            <v>22</v>
          </cell>
          <cell r="H132" t="str">
            <v>Coroneo</v>
          </cell>
          <cell r="I132">
            <v>45000</v>
          </cell>
          <cell r="J132" t="str">
            <v>Completa</v>
          </cell>
          <cell r="K132" t="str">
            <v>ACATLAN</v>
          </cell>
          <cell r="L132">
            <v>0</v>
          </cell>
          <cell r="M132" t="str">
            <v>ACATLAN</v>
          </cell>
          <cell r="T132" t="e">
            <v>#REF!</v>
          </cell>
        </row>
        <row r="133">
          <cell r="A133" t="str">
            <v>CERRO COLORADO</v>
          </cell>
          <cell r="B133" t="str">
            <v>11EPR0417Y</v>
          </cell>
          <cell r="C133" t="str">
            <v>X</v>
          </cell>
          <cell r="E133" t="str">
            <v>AMADO NERVO</v>
          </cell>
          <cell r="F133">
            <v>524</v>
          </cell>
          <cell r="G133">
            <v>7</v>
          </cell>
          <cell r="H133" t="str">
            <v>Coroneo</v>
          </cell>
          <cell r="I133">
            <v>85000</v>
          </cell>
          <cell r="J133" t="str">
            <v>Completa</v>
          </cell>
          <cell r="K133" t="str">
            <v>CERRO COLORADO</v>
          </cell>
          <cell r="L133">
            <v>0</v>
          </cell>
          <cell r="M133" t="str">
            <v>CERRO COLORADO</v>
          </cell>
          <cell r="T133" t="e">
            <v>#REF!</v>
          </cell>
        </row>
        <row r="134">
          <cell r="A134" t="str">
            <v>CEBOLLETAS</v>
          </cell>
          <cell r="B134" t="str">
            <v>11ETV0536K</v>
          </cell>
          <cell r="D134" t="str">
            <v>X</v>
          </cell>
          <cell r="E134" t="str">
            <v>TELESECUNDARIA NUM. 518</v>
          </cell>
          <cell r="F134">
            <v>554</v>
          </cell>
          <cell r="G134">
            <v>7</v>
          </cell>
          <cell r="H134" t="str">
            <v>Coroneo</v>
          </cell>
          <cell r="I134">
            <v>70000</v>
          </cell>
          <cell r="J134" t="str">
            <v>Completa</v>
          </cell>
          <cell r="K134" t="str">
            <v>CEBOLLETAS</v>
          </cell>
          <cell r="L134">
            <v>0</v>
          </cell>
          <cell r="M134" t="str">
            <v>CEBOLLETAS</v>
          </cell>
          <cell r="T134" t="e">
            <v>#REF!</v>
          </cell>
        </row>
        <row r="135">
          <cell r="A135" t="str">
            <v>LA HUERTA</v>
          </cell>
          <cell r="B135" t="str">
            <v>11DPR0693C</v>
          </cell>
          <cell r="C135" t="str">
            <v>X</v>
          </cell>
          <cell r="E135" t="str">
            <v>PROFR. JOSE R. MUÑIZ</v>
          </cell>
          <cell r="F135">
            <v>148</v>
          </cell>
          <cell r="G135">
            <v>22</v>
          </cell>
          <cell r="H135" t="str">
            <v>Coroneo</v>
          </cell>
          <cell r="I135">
            <v>20000</v>
          </cell>
          <cell r="J135" t="str">
            <v>Multigrado</v>
          </cell>
          <cell r="K135" t="str">
            <v>LA HUERTA</v>
          </cell>
          <cell r="L135">
            <v>0</v>
          </cell>
          <cell r="M135" t="str">
            <v>LA HUERTA</v>
          </cell>
          <cell r="T135" t="e">
            <v>#REF!</v>
          </cell>
        </row>
        <row r="136">
          <cell r="A136" t="str">
            <v>CORONEO</v>
          </cell>
          <cell r="B136" t="str">
            <v>11DJN0659F</v>
          </cell>
          <cell r="C136" t="str">
            <v>X</v>
          </cell>
          <cell r="E136" t="str">
            <v>NIÑOS HEROES</v>
          </cell>
          <cell r="F136">
            <v>78</v>
          </cell>
          <cell r="G136">
            <v>21</v>
          </cell>
          <cell r="H136" t="str">
            <v>Coroneo</v>
          </cell>
          <cell r="I136">
            <v>69000</v>
          </cell>
          <cell r="J136" t="str">
            <v>Completa</v>
          </cell>
          <cell r="K136" t="str">
            <v>PROLONGACION PROLONGACION CARRETERA NACIONAL S/N A UN COSTADO DEL RAST</v>
          </cell>
          <cell r="L136" t="str">
            <v>CENTRO</v>
          </cell>
          <cell r="M136" t="str">
            <v>CORONEO</v>
          </cell>
          <cell r="T136" t="e">
            <v>#REF!</v>
          </cell>
        </row>
        <row r="137">
          <cell r="A137" t="str">
            <v>CERRO PRIETO ORIENTE</v>
          </cell>
          <cell r="B137" t="str">
            <v>11DPR1612I</v>
          </cell>
          <cell r="C137" t="str">
            <v>X</v>
          </cell>
          <cell r="E137" t="str">
            <v>JAIME TORRES BODET</v>
          </cell>
          <cell r="F137">
            <v>148</v>
          </cell>
          <cell r="G137">
            <v>22</v>
          </cell>
          <cell r="H137" t="str">
            <v>Coroneo</v>
          </cell>
          <cell r="I137">
            <v>20000</v>
          </cell>
          <cell r="J137" t="str">
            <v>Multigrado</v>
          </cell>
          <cell r="K137" t="str">
            <v>CERRO PRIETO ORIENTE</v>
          </cell>
          <cell r="L137">
            <v>0</v>
          </cell>
          <cell r="M137" t="str">
            <v>CERRO PRIETO ORIENTE</v>
          </cell>
          <cell r="T137" t="e">
            <v>#REF!</v>
          </cell>
        </row>
        <row r="138">
          <cell r="A138" t="str">
            <v>BODO NORTE</v>
          </cell>
          <cell r="B138" t="str">
            <v>11DPR3792X</v>
          </cell>
          <cell r="C138" t="str">
            <v>X</v>
          </cell>
          <cell r="E138" t="str">
            <v>SOR JUANA INES DE LA CRUZ</v>
          </cell>
          <cell r="F138">
            <v>148</v>
          </cell>
          <cell r="G138">
            <v>22</v>
          </cell>
          <cell r="H138" t="str">
            <v>Coroneo</v>
          </cell>
          <cell r="I138">
            <v>30000</v>
          </cell>
          <cell r="J138" t="str">
            <v>Multigrado</v>
          </cell>
          <cell r="K138" t="str">
            <v>BODO NORTE</v>
          </cell>
          <cell r="L138">
            <v>0</v>
          </cell>
          <cell r="M138" t="str">
            <v>BODO NORTE</v>
          </cell>
          <cell r="T138" t="e">
            <v>#REF!</v>
          </cell>
        </row>
        <row r="139">
          <cell r="A139" t="str">
            <v>CERRO COLORADO</v>
          </cell>
          <cell r="B139" t="str">
            <v>11DJN0669M</v>
          </cell>
          <cell r="C139" t="str">
            <v>X</v>
          </cell>
          <cell r="E139" t="str">
            <v>FRANCISCO I. MADERO</v>
          </cell>
          <cell r="F139">
            <v>78</v>
          </cell>
          <cell r="G139">
            <v>21</v>
          </cell>
          <cell r="H139" t="str">
            <v>Coroneo</v>
          </cell>
          <cell r="I139">
            <v>20000</v>
          </cell>
          <cell r="J139" t="str">
            <v>Multigrado</v>
          </cell>
          <cell r="K139" t="str">
            <v>PRIVADA SAN JUAN S/N</v>
          </cell>
          <cell r="L139">
            <v>0</v>
          </cell>
          <cell r="M139" t="str">
            <v>CERRO COLORADO</v>
          </cell>
          <cell r="T139" t="e">
            <v>#REF!</v>
          </cell>
        </row>
        <row r="140">
          <cell r="A140" t="str">
            <v>PIEDRA LARGA</v>
          </cell>
          <cell r="B140" t="str">
            <v>11DJN0668N</v>
          </cell>
          <cell r="C140" t="str">
            <v>X</v>
          </cell>
          <cell r="E140" t="str">
            <v>JOAQUIN FERNANDEZ DE LIZARDI</v>
          </cell>
          <cell r="F140">
            <v>78</v>
          </cell>
          <cell r="G140">
            <v>21</v>
          </cell>
          <cell r="H140" t="str">
            <v>Coroneo</v>
          </cell>
          <cell r="I140">
            <v>20000</v>
          </cell>
          <cell r="J140" t="str">
            <v>Multigrado</v>
          </cell>
          <cell r="K140" t="str">
            <v>PRINCIPAL S/N</v>
          </cell>
          <cell r="L140">
            <v>0</v>
          </cell>
          <cell r="M140" t="str">
            <v>PIEDRA LARGA</v>
          </cell>
          <cell r="T140" t="e">
            <v>#REF!</v>
          </cell>
        </row>
        <row r="141">
          <cell r="A141" t="str">
            <v>CORONEO</v>
          </cell>
          <cell r="B141" t="str">
            <v>11DPR2138B</v>
          </cell>
          <cell r="C141" t="str">
            <v>X</v>
          </cell>
          <cell r="E141" t="str">
            <v>IGNACIO RAMIREZ</v>
          </cell>
          <cell r="F141">
            <v>148</v>
          </cell>
          <cell r="G141">
            <v>22</v>
          </cell>
          <cell r="H141" t="str">
            <v>Coroneo</v>
          </cell>
          <cell r="I141">
            <v>85000</v>
          </cell>
          <cell r="J141" t="str">
            <v>Completa</v>
          </cell>
          <cell r="K141" t="str">
            <v>INGENIERO MARIANO GARCIA SELA NUM. 325</v>
          </cell>
          <cell r="L141" t="str">
            <v>CENTRO</v>
          </cell>
          <cell r="M141" t="str">
            <v>CORONEO</v>
          </cell>
          <cell r="T141" t="e">
            <v>#REF!</v>
          </cell>
        </row>
        <row r="142">
          <cell r="A142" t="str">
            <v>EL CAPULIN</v>
          </cell>
          <cell r="B142" t="str">
            <v>11DPR3497V</v>
          </cell>
          <cell r="C142" t="str">
            <v>X</v>
          </cell>
          <cell r="E142" t="str">
            <v>IGNACIO MANUEL ALTAMIRANO</v>
          </cell>
          <cell r="F142">
            <v>148</v>
          </cell>
          <cell r="G142">
            <v>22</v>
          </cell>
          <cell r="H142" t="str">
            <v>Coroneo</v>
          </cell>
          <cell r="I142">
            <v>21400</v>
          </cell>
          <cell r="J142" t="str">
            <v>Multigrado</v>
          </cell>
          <cell r="K142" t="str">
            <v>EL CAPULIN</v>
          </cell>
          <cell r="L142">
            <v>0</v>
          </cell>
          <cell r="M142" t="str">
            <v>EL CAPULIN</v>
          </cell>
          <cell r="T142" t="e">
            <v>#REF!</v>
          </cell>
        </row>
        <row r="143">
          <cell r="A143" t="str">
            <v>CARACHEO</v>
          </cell>
          <cell r="B143" t="str">
            <v>11ETV0257Z</v>
          </cell>
          <cell r="C143" t="str">
            <v>X</v>
          </cell>
          <cell r="E143" t="str">
            <v>TELESECUNDARIA NUM. 265</v>
          </cell>
          <cell r="F143">
            <v>508</v>
          </cell>
          <cell r="G143">
            <v>4</v>
          </cell>
          <cell r="H143" t="str">
            <v>Cortazar</v>
          </cell>
          <cell r="I143">
            <v>85000</v>
          </cell>
          <cell r="J143" t="str">
            <v>Completa</v>
          </cell>
          <cell r="K143" t="str">
            <v>CARACHEO</v>
          </cell>
          <cell r="L143">
            <v>0</v>
          </cell>
          <cell r="M143" t="str">
            <v>CARACHEO</v>
          </cell>
          <cell r="T143" t="e">
            <v>#REF!</v>
          </cell>
        </row>
        <row r="144">
          <cell r="A144" t="str">
            <v>LA CONCEPCION</v>
          </cell>
          <cell r="B144" t="str">
            <v>11DPR1676T</v>
          </cell>
          <cell r="C144" t="str">
            <v>X</v>
          </cell>
          <cell r="E144" t="str">
            <v>NICOLAS BRAVO</v>
          </cell>
          <cell r="F144">
            <v>126</v>
          </cell>
          <cell r="G144">
            <v>17</v>
          </cell>
          <cell r="H144" t="str">
            <v>Cortazar</v>
          </cell>
          <cell r="I144">
            <v>30000</v>
          </cell>
          <cell r="J144" t="str">
            <v>Multigrado</v>
          </cell>
          <cell r="K144" t="str">
            <v>LA CONCEPCION</v>
          </cell>
          <cell r="L144">
            <v>0</v>
          </cell>
          <cell r="M144" t="str">
            <v>LA CONCEPCION</v>
          </cell>
          <cell r="T144" t="e">
            <v>#REF!</v>
          </cell>
        </row>
        <row r="145">
          <cell r="A145" t="str">
            <v>SAN NICOLAS DE MANANTIALES</v>
          </cell>
          <cell r="B145" t="str">
            <v>11DPR3367B</v>
          </cell>
          <cell r="C145" t="str">
            <v>X</v>
          </cell>
          <cell r="E145" t="str">
            <v>BENITO JUAREZ</v>
          </cell>
          <cell r="F145">
            <v>126</v>
          </cell>
          <cell r="G145">
            <v>17</v>
          </cell>
          <cell r="H145" t="str">
            <v>Cortazar</v>
          </cell>
          <cell r="I145">
            <v>30000</v>
          </cell>
          <cell r="J145" t="str">
            <v>Multigrado</v>
          </cell>
          <cell r="K145" t="str">
            <v>SN NICOLAS DE MANANTIALES</v>
          </cell>
          <cell r="L145">
            <v>0</v>
          </cell>
          <cell r="M145" t="str">
            <v>SAN NICOLAS DE MANANTIALES</v>
          </cell>
          <cell r="T145" t="e">
            <v>#REF!</v>
          </cell>
        </row>
        <row r="146">
          <cell r="A146" t="str">
            <v>CORTAZAR</v>
          </cell>
          <cell r="B146" t="str">
            <v>11DPR0996X</v>
          </cell>
          <cell r="C146" t="str">
            <v>X</v>
          </cell>
          <cell r="E146" t="str">
            <v>GENERAL LUIS CORTAZAR</v>
          </cell>
          <cell r="F146">
            <v>126</v>
          </cell>
          <cell r="G146">
            <v>17</v>
          </cell>
          <cell r="H146" t="str">
            <v>Cortazar</v>
          </cell>
          <cell r="I146">
            <v>85000</v>
          </cell>
          <cell r="J146" t="str">
            <v>Completa</v>
          </cell>
          <cell r="K146" t="str">
            <v>BOULEVARD PASEO DE LA JUVENTUD S/N</v>
          </cell>
          <cell r="L146">
            <v>0</v>
          </cell>
          <cell r="M146" t="str">
            <v>CORTAZAR</v>
          </cell>
          <cell r="T146" t="e">
            <v>#REF!</v>
          </cell>
        </row>
        <row r="147">
          <cell r="A147" t="str">
            <v>COLONIA DE FUENTES (LAS COLONIAS)</v>
          </cell>
          <cell r="B147" t="str">
            <v>11EJN0304E</v>
          </cell>
          <cell r="C147" t="str">
            <v>X</v>
          </cell>
          <cell r="E147" t="str">
            <v>CARMEN NORMA MONROY</v>
          </cell>
          <cell r="F147">
            <v>517</v>
          </cell>
          <cell r="G147">
            <v>3</v>
          </cell>
          <cell r="H147" t="str">
            <v>Cortazar</v>
          </cell>
          <cell r="I147">
            <v>20000</v>
          </cell>
          <cell r="J147" t="str">
            <v>Multigrado</v>
          </cell>
          <cell r="K147" t="str">
            <v>GUANAJUATO NUM. 10</v>
          </cell>
          <cell r="L147">
            <v>0</v>
          </cell>
          <cell r="M147" t="str">
            <v>COLONIA DE FUENTES (LAS COLONIAS)</v>
          </cell>
          <cell r="T147" t="e">
            <v>#REF!</v>
          </cell>
        </row>
        <row r="148">
          <cell r="A148" t="str">
            <v>ARREGUIN DE ARRIBA</v>
          </cell>
          <cell r="B148" t="str">
            <v>11ETV0856V</v>
          </cell>
          <cell r="D148" t="str">
            <v>X</v>
          </cell>
          <cell r="E148" t="str">
            <v>TELESECUNDARIA NUM. 856</v>
          </cell>
          <cell r="F148">
            <v>508</v>
          </cell>
          <cell r="G148">
            <v>4</v>
          </cell>
          <cell r="H148" t="str">
            <v>Cortazar</v>
          </cell>
          <cell r="I148">
            <v>85000</v>
          </cell>
          <cell r="J148" t="str">
            <v>Completa</v>
          </cell>
          <cell r="K148" t="str">
            <v>ARREGUIN DE ARRIBA</v>
          </cell>
          <cell r="L148">
            <v>0</v>
          </cell>
          <cell r="M148" t="str">
            <v>ARREGUIN DE ARRIBA</v>
          </cell>
          <cell r="T148" t="e">
            <v>#REF!</v>
          </cell>
        </row>
        <row r="149">
          <cell r="A149" t="str">
            <v>CORTAZAR</v>
          </cell>
          <cell r="B149" t="str">
            <v>11DJN4141M</v>
          </cell>
          <cell r="D149" t="str">
            <v>X</v>
          </cell>
          <cell r="E149" t="str">
            <v>PROFR. ANTONIO PATIÑO VAZQUEZ</v>
          </cell>
          <cell r="F149">
            <v>73</v>
          </cell>
          <cell r="G149">
            <v>13</v>
          </cell>
          <cell r="H149" t="str">
            <v>Cortazar</v>
          </cell>
          <cell r="I149">
            <v>85000</v>
          </cell>
          <cell r="J149" t="str">
            <v>Completa</v>
          </cell>
          <cell r="K149" t="str">
            <v>FRANCISCO VILLA NUM. 130</v>
          </cell>
          <cell r="L149">
            <v>0</v>
          </cell>
          <cell r="M149" t="str">
            <v>CORTAZAR</v>
          </cell>
          <cell r="T149" t="e">
            <v>#REF!</v>
          </cell>
        </row>
        <row r="150">
          <cell r="A150" t="str">
            <v>SAN ISIDRO CULIACAN</v>
          </cell>
          <cell r="B150" t="str">
            <v>11DJN0533Z</v>
          </cell>
          <cell r="D150" t="str">
            <v>X</v>
          </cell>
          <cell r="E150" t="str">
            <v>FRAY PEDRO DE GANTE</v>
          </cell>
          <cell r="F150">
            <v>73</v>
          </cell>
          <cell r="G150">
            <v>13</v>
          </cell>
          <cell r="H150" t="str">
            <v>Cortazar</v>
          </cell>
          <cell r="I150">
            <v>30000</v>
          </cell>
          <cell r="J150" t="str">
            <v>Multigrado</v>
          </cell>
          <cell r="K150" t="str">
            <v>SAN ISIDRO DE CULIACAN</v>
          </cell>
          <cell r="L150">
            <v>0</v>
          </cell>
          <cell r="M150" t="str">
            <v>SAN ISIDRO CULIACAN</v>
          </cell>
          <cell r="T150" t="e">
            <v>#REF!</v>
          </cell>
        </row>
        <row r="151">
          <cell r="A151" t="str">
            <v>LA GAVIA</v>
          </cell>
          <cell r="B151" t="str">
            <v>11ETV0413A</v>
          </cell>
          <cell r="D151" t="str">
            <v>X</v>
          </cell>
          <cell r="E151" t="str">
            <v>TELESECUNDARIA NUM. 399</v>
          </cell>
          <cell r="F151">
            <v>508</v>
          </cell>
          <cell r="G151">
            <v>4</v>
          </cell>
          <cell r="H151" t="str">
            <v>Cortazar</v>
          </cell>
          <cell r="I151">
            <v>85000</v>
          </cell>
          <cell r="J151" t="str">
            <v>Completa</v>
          </cell>
          <cell r="K151" t="str">
            <v>LA GAVIA</v>
          </cell>
          <cell r="L151">
            <v>0</v>
          </cell>
          <cell r="M151" t="str">
            <v>LA GAVIA</v>
          </cell>
          <cell r="T151" t="e">
            <v>#REF!</v>
          </cell>
        </row>
        <row r="152">
          <cell r="A152" t="str">
            <v>TIERRA FRIA</v>
          </cell>
          <cell r="B152" t="str">
            <v>11DJN0172E</v>
          </cell>
          <cell r="D152" t="str">
            <v>X</v>
          </cell>
          <cell r="E152" t="str">
            <v>JUAN HIPOLITO OROPEZA GONZALEZ</v>
          </cell>
          <cell r="F152">
            <v>73</v>
          </cell>
          <cell r="G152">
            <v>13</v>
          </cell>
          <cell r="H152" t="str">
            <v>Cortazar</v>
          </cell>
          <cell r="I152">
            <v>65000</v>
          </cell>
          <cell r="J152" t="str">
            <v>Completa</v>
          </cell>
          <cell r="K152" t="str">
            <v>VICENTE GUERRERO NUM. 70</v>
          </cell>
          <cell r="L152">
            <v>0</v>
          </cell>
          <cell r="M152" t="str">
            <v>TIERRA FRIA</v>
          </cell>
          <cell r="T152" t="e">
            <v>#REF!</v>
          </cell>
        </row>
        <row r="153">
          <cell r="A153" t="str">
            <v>VALENCIA DE FUENTES (LAS FUENTES)</v>
          </cell>
          <cell r="B153" t="str">
            <v>11DPR0632P</v>
          </cell>
          <cell r="C153" t="str">
            <v>X</v>
          </cell>
          <cell r="E153" t="str">
            <v>MIGUEL HIDALGO</v>
          </cell>
          <cell r="F153">
            <v>126</v>
          </cell>
          <cell r="G153">
            <v>17</v>
          </cell>
          <cell r="H153" t="str">
            <v>Cortazar</v>
          </cell>
          <cell r="I153">
            <v>30000</v>
          </cell>
          <cell r="J153" t="str">
            <v>Multigrado</v>
          </cell>
          <cell r="K153" t="str">
            <v>VALENCIA DE FUENTES</v>
          </cell>
          <cell r="L153">
            <v>0</v>
          </cell>
          <cell r="M153" t="str">
            <v>VALENCIA DE FUENTES (LAS FUENTES)</v>
          </cell>
          <cell r="T153" t="e">
            <v>#REF!</v>
          </cell>
        </row>
        <row r="154">
          <cell r="A154" t="str">
            <v>CORTAZAR</v>
          </cell>
          <cell r="B154" t="str">
            <v>11DJN0070H</v>
          </cell>
          <cell r="D154" t="str">
            <v>X</v>
          </cell>
          <cell r="E154" t="str">
            <v>JOSEFA ORTIZ DE DOMINGUEZ</v>
          </cell>
          <cell r="F154">
            <v>73</v>
          </cell>
          <cell r="G154">
            <v>13</v>
          </cell>
          <cell r="H154" t="str">
            <v>Cortazar</v>
          </cell>
          <cell r="I154">
            <v>85000</v>
          </cell>
          <cell r="J154" t="str">
            <v>Completa</v>
          </cell>
          <cell r="K154" t="str">
            <v>PALMA Y JAZMIN S/N</v>
          </cell>
          <cell r="L154" t="str">
            <v>DEL VALLE</v>
          </cell>
          <cell r="M154" t="str">
            <v>CORTAZAR</v>
          </cell>
          <cell r="T154" t="e">
            <v>#REF!</v>
          </cell>
        </row>
        <row r="155">
          <cell r="A155" t="str">
            <v>TIERRA FRIA</v>
          </cell>
          <cell r="B155" t="str">
            <v>11DPR1571Z</v>
          </cell>
          <cell r="C155" t="str">
            <v>X</v>
          </cell>
          <cell r="E155" t="str">
            <v>BENITO JUAREZ</v>
          </cell>
          <cell r="F155">
            <v>16</v>
          </cell>
          <cell r="G155">
            <v>17</v>
          </cell>
          <cell r="H155" t="str">
            <v>Cortazar</v>
          </cell>
          <cell r="I155">
            <v>85000</v>
          </cell>
          <cell r="J155" t="str">
            <v>Completa</v>
          </cell>
          <cell r="K155" t="str">
            <v>5 DE MAYO NUM. 37</v>
          </cell>
          <cell r="L155">
            <v>0</v>
          </cell>
          <cell r="M155" t="str">
            <v>TIERRA FRIA</v>
          </cell>
          <cell r="T155" t="e">
            <v>#REF!</v>
          </cell>
        </row>
        <row r="156">
          <cell r="A156" t="str">
            <v>CAÑADA DE CARACHEO</v>
          </cell>
          <cell r="B156" t="str">
            <v>11DJN0288E</v>
          </cell>
          <cell r="D156" t="str">
            <v>X</v>
          </cell>
          <cell r="E156" t="str">
            <v>MANUEL MICHAUS</v>
          </cell>
          <cell r="F156">
            <v>73</v>
          </cell>
          <cell r="G156">
            <v>13</v>
          </cell>
          <cell r="H156" t="str">
            <v>Cortazar</v>
          </cell>
          <cell r="I156">
            <v>85000</v>
          </cell>
          <cell r="J156" t="str">
            <v>Completa</v>
          </cell>
          <cell r="K156" t="str">
            <v>JIMENEZ S/N</v>
          </cell>
          <cell r="L156">
            <v>0</v>
          </cell>
          <cell r="M156" t="str">
            <v>CAÑADA DE CARACHEO</v>
          </cell>
          <cell r="T156" t="e">
            <v>#REF!</v>
          </cell>
        </row>
        <row r="157">
          <cell r="A157" t="str">
            <v>COLONIA LA FORTALEZA</v>
          </cell>
          <cell r="B157" t="str">
            <v>11DPR0631Q</v>
          </cell>
          <cell r="D157" t="str">
            <v>X</v>
          </cell>
          <cell r="E157" t="str">
            <v>GREGORIO TORRES QUINTERO</v>
          </cell>
          <cell r="F157">
            <v>16</v>
          </cell>
          <cell r="G157">
            <v>17</v>
          </cell>
          <cell r="H157" t="str">
            <v>Cortazar</v>
          </cell>
          <cell r="I157">
            <v>85000</v>
          </cell>
          <cell r="J157" t="str">
            <v>Completa</v>
          </cell>
          <cell r="K157" t="str">
            <v>CALZADA DE GUADALUPE S/N</v>
          </cell>
          <cell r="L157" t="str">
            <v>LA FORTALEZA</v>
          </cell>
          <cell r="M157" t="str">
            <v>COLONIA LA FORTALEZA</v>
          </cell>
          <cell r="T157" t="e">
            <v>#REF!</v>
          </cell>
        </row>
        <row r="158">
          <cell r="A158" t="str">
            <v>ARREGUIN DE ARRIBA</v>
          </cell>
          <cell r="B158" t="str">
            <v>11DJN4233C</v>
          </cell>
          <cell r="D158" t="str">
            <v>X</v>
          </cell>
          <cell r="E158" t="str">
            <v>JUAN JACOBO ROUSSEAU</v>
          </cell>
          <cell r="F158">
            <v>23</v>
          </cell>
          <cell r="G158">
            <v>13</v>
          </cell>
          <cell r="H158" t="str">
            <v>Cortazar</v>
          </cell>
          <cell r="I158">
            <v>20000</v>
          </cell>
          <cell r="J158" t="str">
            <v>Multigrado</v>
          </cell>
          <cell r="K158" t="str">
            <v>ARREGUIN DE ARRIBA</v>
          </cell>
          <cell r="L158">
            <v>0</v>
          </cell>
          <cell r="M158" t="str">
            <v>ARREGUIN DE ARRIBA</v>
          </cell>
          <cell r="T158" t="e">
            <v>#REF!</v>
          </cell>
        </row>
        <row r="159">
          <cell r="A159" t="str">
            <v>CORTAZAR</v>
          </cell>
          <cell r="B159" t="str">
            <v>11DJN3658A</v>
          </cell>
          <cell r="C159" t="str">
            <v>X</v>
          </cell>
          <cell r="E159" t="str">
            <v>JAIME TORRES BODET</v>
          </cell>
          <cell r="F159">
            <v>73</v>
          </cell>
          <cell r="G159">
            <v>13</v>
          </cell>
          <cell r="H159" t="str">
            <v>Cortazar</v>
          </cell>
          <cell r="I159">
            <v>30000</v>
          </cell>
          <cell r="J159" t="str">
            <v>Multigrado</v>
          </cell>
          <cell r="K159" t="str">
            <v>EUCALIPTO NUM. 1000</v>
          </cell>
          <cell r="L159" t="str">
            <v>EL FRESNO</v>
          </cell>
          <cell r="M159" t="str">
            <v>CORTAZAR</v>
          </cell>
          <cell r="T159" t="e">
            <v>#REF!</v>
          </cell>
        </row>
        <row r="160">
          <cell r="A160" t="str">
            <v>MERINO</v>
          </cell>
          <cell r="B160" t="str">
            <v>11DJN0538U</v>
          </cell>
          <cell r="D160" t="str">
            <v>X</v>
          </cell>
          <cell r="E160" t="str">
            <v>CARLOS A CARRILLO</v>
          </cell>
          <cell r="F160">
            <v>23</v>
          </cell>
          <cell r="G160">
            <v>13</v>
          </cell>
          <cell r="H160" t="str">
            <v>Cortazar</v>
          </cell>
          <cell r="I160">
            <v>30000</v>
          </cell>
          <cell r="J160" t="str">
            <v>Multigrado</v>
          </cell>
          <cell r="K160" t="str">
            <v>LAZARO CARDENAS S/N</v>
          </cell>
          <cell r="L160">
            <v>0</v>
          </cell>
          <cell r="M160" t="str">
            <v>MERINO</v>
          </cell>
          <cell r="T160" t="e">
            <v>#REF!</v>
          </cell>
        </row>
        <row r="161">
          <cell r="A161" t="str">
            <v>PLATANAR</v>
          </cell>
          <cell r="B161" t="str">
            <v>11EPR0084Z</v>
          </cell>
          <cell r="E161" t="str">
            <v>EMILIANO ZAPATA</v>
          </cell>
          <cell r="F161">
            <v>529</v>
          </cell>
          <cell r="G161">
            <v>3</v>
          </cell>
          <cell r="H161" t="str">
            <v>Cuerámaro</v>
          </cell>
          <cell r="I161">
            <v>85000</v>
          </cell>
          <cell r="J161" t="str">
            <v>Completa</v>
          </cell>
          <cell r="K161" t="str">
            <v>PLATANAL</v>
          </cell>
          <cell r="L161">
            <v>0</v>
          </cell>
          <cell r="M161" t="str">
            <v>PLATANAR</v>
          </cell>
          <cell r="T161" t="e">
            <v>#REF!</v>
          </cell>
        </row>
        <row r="162">
          <cell r="A162" t="str">
            <v>SAN GREGORIO</v>
          </cell>
          <cell r="B162" t="str">
            <v>11DJN0573Z</v>
          </cell>
          <cell r="C162" t="str">
            <v>X</v>
          </cell>
          <cell r="E162" t="str">
            <v>JOSE M. MORELOS Y PAVON</v>
          </cell>
          <cell r="F162">
            <v>82</v>
          </cell>
          <cell r="G162">
            <v>19</v>
          </cell>
          <cell r="H162" t="str">
            <v>Cuerámaro</v>
          </cell>
          <cell r="I162">
            <v>25000</v>
          </cell>
          <cell r="J162" t="str">
            <v>Multigrado</v>
          </cell>
          <cell r="K162" t="str">
            <v>SAN GREGORIO</v>
          </cell>
          <cell r="L162">
            <v>0</v>
          </cell>
          <cell r="M162" t="str">
            <v>SAN GREGORIO</v>
          </cell>
          <cell r="T162" t="e">
            <v>#REF!</v>
          </cell>
        </row>
        <row r="163">
          <cell r="A163" t="str">
            <v>GALERA DE LA GRULLA</v>
          </cell>
          <cell r="B163" t="str">
            <v>11EJN0180M</v>
          </cell>
          <cell r="C163" t="str">
            <v>X</v>
          </cell>
          <cell r="E163" t="str">
            <v>ENRIQUE C REBSAMEN</v>
          </cell>
          <cell r="F163">
            <v>527</v>
          </cell>
          <cell r="G163">
            <v>4</v>
          </cell>
          <cell r="H163" t="str">
            <v>Cuerámaro</v>
          </cell>
          <cell r="I163">
            <v>30000</v>
          </cell>
          <cell r="J163" t="str">
            <v>Multigrado</v>
          </cell>
          <cell r="K163" t="str">
            <v>GALERA DE LA GRULLA</v>
          </cell>
          <cell r="L163">
            <v>0</v>
          </cell>
          <cell r="M163" t="str">
            <v>GALERA DE LA GRULLA</v>
          </cell>
          <cell r="T163" t="e">
            <v>#REF!</v>
          </cell>
        </row>
        <row r="164">
          <cell r="A164" t="str">
            <v>PUERTA DE LA RESERVA</v>
          </cell>
          <cell r="B164" t="str">
            <v>11DJN0933V</v>
          </cell>
          <cell r="C164" t="str">
            <v>X</v>
          </cell>
          <cell r="E164" t="str">
            <v>MARIA MONTESSORI</v>
          </cell>
          <cell r="F164">
            <v>82</v>
          </cell>
          <cell r="G164">
            <v>19</v>
          </cell>
          <cell r="H164" t="str">
            <v>Cuerámaro</v>
          </cell>
          <cell r="I164">
            <v>25000</v>
          </cell>
          <cell r="J164" t="str">
            <v>Multigrado</v>
          </cell>
          <cell r="K164" t="str">
            <v>PUERTA DE LA RESERVA</v>
          </cell>
          <cell r="L164">
            <v>0</v>
          </cell>
          <cell r="M164" t="str">
            <v>PUERTA DE LA RESERVA</v>
          </cell>
          <cell r="T164" t="e">
            <v>#REF!</v>
          </cell>
        </row>
        <row r="165">
          <cell r="A165" t="str">
            <v>PLATANAR</v>
          </cell>
          <cell r="B165" t="str">
            <v>11EJN0229O</v>
          </cell>
          <cell r="C165" t="str">
            <v>X</v>
          </cell>
          <cell r="E165" t="str">
            <v>NIÑOS HEROES</v>
          </cell>
          <cell r="F165">
            <v>527</v>
          </cell>
          <cell r="G165">
            <v>4</v>
          </cell>
          <cell r="H165" t="str">
            <v>Cuerámaro</v>
          </cell>
          <cell r="I165">
            <v>30000</v>
          </cell>
          <cell r="J165" t="str">
            <v>Multigrado</v>
          </cell>
          <cell r="K165" t="str">
            <v>PLATANAL</v>
          </cell>
          <cell r="L165">
            <v>0</v>
          </cell>
          <cell r="M165" t="str">
            <v>PLATANAR</v>
          </cell>
          <cell r="T165" t="e">
            <v>#REF!</v>
          </cell>
        </row>
        <row r="166">
          <cell r="A166" t="str">
            <v>SACROMONTE</v>
          </cell>
          <cell r="B166" t="str">
            <v>11DPR1748W</v>
          </cell>
          <cell r="D166" t="str">
            <v>X</v>
          </cell>
          <cell r="E166" t="str">
            <v>AQUILES SERDAN</v>
          </cell>
          <cell r="F166">
            <v>178</v>
          </cell>
          <cell r="G166">
            <v>21</v>
          </cell>
          <cell r="H166" t="str">
            <v>Doctor Mora</v>
          </cell>
          <cell r="I166">
            <v>30000</v>
          </cell>
          <cell r="J166" t="str">
            <v>Multigrado</v>
          </cell>
          <cell r="K166" t="str">
            <v>SACROMONTE</v>
          </cell>
          <cell r="L166">
            <v>0</v>
          </cell>
          <cell r="M166" t="str">
            <v>SACROMONTE</v>
          </cell>
          <cell r="T166" t="e">
            <v>#REF!</v>
          </cell>
        </row>
        <row r="167">
          <cell r="A167" t="str">
            <v>ARROYO DE LA PLATA (SAN MIGUEL)</v>
          </cell>
          <cell r="B167" t="str">
            <v>11DPR0789P</v>
          </cell>
          <cell r="D167" t="str">
            <v>X</v>
          </cell>
          <cell r="E167" t="str">
            <v>RAFAEL RAMIREZ</v>
          </cell>
          <cell r="F167">
            <v>178</v>
          </cell>
          <cell r="G167">
            <v>21</v>
          </cell>
          <cell r="H167" t="str">
            <v>Doctor Mora</v>
          </cell>
          <cell r="I167">
            <v>20000</v>
          </cell>
          <cell r="J167" t="str">
            <v>Multigrado</v>
          </cell>
          <cell r="K167" t="str">
            <v>ARROYO DE LA PLATA</v>
          </cell>
          <cell r="L167">
            <v>0</v>
          </cell>
          <cell r="M167" t="str">
            <v>ARROYO DE LA PLATA (SAN MIGUEL)</v>
          </cell>
          <cell r="T167" t="e">
            <v>#REF!</v>
          </cell>
        </row>
        <row r="168">
          <cell r="A168" t="str">
            <v>LAS PALMITAS</v>
          </cell>
          <cell r="B168" t="str">
            <v>11ETV0630P</v>
          </cell>
          <cell r="C168" t="str">
            <v>X</v>
          </cell>
          <cell r="E168" t="str">
            <v>TELESECUNDARIA NUM. 671</v>
          </cell>
          <cell r="F168">
            <v>539</v>
          </cell>
          <cell r="G168">
            <v>6</v>
          </cell>
          <cell r="H168" t="str">
            <v>Doctor Mora</v>
          </cell>
          <cell r="I168">
            <v>55000</v>
          </cell>
          <cell r="J168" t="str">
            <v>Completa</v>
          </cell>
          <cell r="K168" t="str">
            <v>LA PALMITA</v>
          </cell>
          <cell r="L168">
            <v>0</v>
          </cell>
          <cell r="M168" t="str">
            <v>LAS PALMITAS</v>
          </cell>
          <cell r="T168" t="e">
            <v>#REF!</v>
          </cell>
        </row>
        <row r="169">
          <cell r="A169" t="str">
            <v>DOCTOR MORA</v>
          </cell>
          <cell r="B169" t="str">
            <v>11DJN0036A</v>
          </cell>
          <cell r="C169" t="str">
            <v>X</v>
          </cell>
          <cell r="E169" t="str">
            <v>JAIME NUNO</v>
          </cell>
          <cell r="F169">
            <v>97</v>
          </cell>
          <cell r="G169">
            <v>8</v>
          </cell>
          <cell r="H169" t="str">
            <v>Doctor Mora</v>
          </cell>
          <cell r="I169">
            <v>45000</v>
          </cell>
          <cell r="J169" t="str">
            <v>Completa</v>
          </cell>
          <cell r="K169" t="str">
            <v>JERECUARO NUM. 39</v>
          </cell>
          <cell r="L169" t="str">
            <v>ZONA CENTRO</v>
          </cell>
          <cell r="M169" t="str">
            <v>DOCTOR MORA</v>
          </cell>
          <cell r="T169" t="e">
            <v>#REF!</v>
          </cell>
        </row>
        <row r="170">
          <cell r="A170" t="str">
            <v>SAN RAFAEL</v>
          </cell>
          <cell r="B170" t="str">
            <v>11DJN1224A</v>
          </cell>
          <cell r="C170" t="str">
            <v>X</v>
          </cell>
          <cell r="E170" t="str">
            <v>FRANCISCO GONZALEZ BOCANEGRA</v>
          </cell>
          <cell r="F170">
            <v>97</v>
          </cell>
          <cell r="G170">
            <v>8</v>
          </cell>
          <cell r="H170" t="str">
            <v>Doctor Mora</v>
          </cell>
          <cell r="I170">
            <v>30000</v>
          </cell>
          <cell r="J170" t="str">
            <v>Multigrado</v>
          </cell>
          <cell r="K170" t="str">
            <v>SAN RAFAEL</v>
          </cell>
          <cell r="L170">
            <v>0</v>
          </cell>
          <cell r="M170" t="str">
            <v>SAN RAFAEL</v>
          </cell>
          <cell r="T170" t="e">
            <v>#REF!</v>
          </cell>
        </row>
        <row r="171">
          <cell r="A171" t="str">
            <v>LA REDONDA</v>
          </cell>
          <cell r="B171" t="str">
            <v>11ETV0430R</v>
          </cell>
          <cell r="C171" t="str">
            <v>X</v>
          </cell>
          <cell r="E171" t="str">
            <v>TELESECUNDARIA NUM. 400</v>
          </cell>
          <cell r="F171">
            <v>539</v>
          </cell>
          <cell r="G171">
            <v>6</v>
          </cell>
          <cell r="H171" t="str">
            <v>Doctor Mora</v>
          </cell>
          <cell r="I171">
            <v>85000</v>
          </cell>
          <cell r="J171" t="str">
            <v>Completa</v>
          </cell>
          <cell r="K171" t="str">
            <v>LA REDONDA</v>
          </cell>
          <cell r="L171">
            <v>0</v>
          </cell>
          <cell r="M171" t="str">
            <v>LA REDONDA</v>
          </cell>
          <cell r="T171" t="e">
            <v>#REF!</v>
          </cell>
        </row>
        <row r="172">
          <cell r="A172" t="str">
            <v>CERRITO DE LA ESTANCIA (CERRITO VERDE)</v>
          </cell>
          <cell r="B172" t="str">
            <v>11ETV0628A</v>
          </cell>
          <cell r="C172" t="str">
            <v>X</v>
          </cell>
          <cell r="E172" t="str">
            <v>TELESECUNDARIA NUM. 677</v>
          </cell>
          <cell r="F172">
            <v>539</v>
          </cell>
          <cell r="G172">
            <v>6</v>
          </cell>
          <cell r="H172" t="str">
            <v>Doctor Mora</v>
          </cell>
          <cell r="I172">
            <v>45000</v>
          </cell>
          <cell r="J172" t="str">
            <v>Completa</v>
          </cell>
          <cell r="K172" t="str">
            <v>CERRITO DE LA ESTANCIA</v>
          </cell>
          <cell r="L172">
            <v>0</v>
          </cell>
          <cell r="M172" t="str">
            <v>CERRITO DE LA ESTANCIA (CERRITO VERDE)</v>
          </cell>
          <cell r="T172" t="e">
            <v>#REF!</v>
          </cell>
        </row>
        <row r="173">
          <cell r="A173" t="str">
            <v>SACROMONTE</v>
          </cell>
          <cell r="B173" t="str">
            <v>11ETV0950Z</v>
          </cell>
          <cell r="C173" t="str">
            <v>X</v>
          </cell>
          <cell r="E173" t="str">
            <v>TELESECUNDARIA</v>
          </cell>
          <cell r="F173">
            <v>539</v>
          </cell>
          <cell r="G173">
            <v>6</v>
          </cell>
          <cell r="H173" t="str">
            <v>Doctor Mora</v>
          </cell>
          <cell r="I173">
            <v>45000</v>
          </cell>
          <cell r="J173" t="str">
            <v>Completa</v>
          </cell>
          <cell r="K173" t="str">
            <v>SACROMONTE</v>
          </cell>
          <cell r="L173">
            <v>0</v>
          </cell>
          <cell r="M173" t="str">
            <v>SACROMONTE</v>
          </cell>
          <cell r="T173" t="e">
            <v>#REF!</v>
          </cell>
        </row>
        <row r="174">
          <cell r="A174" t="str">
            <v>DOCTOR MORA</v>
          </cell>
          <cell r="B174" t="str">
            <v>11DPR0774N</v>
          </cell>
          <cell r="C174" t="str">
            <v>X</v>
          </cell>
          <cell r="E174" t="str">
            <v>JOSE MA. LUIS MORA</v>
          </cell>
          <cell r="F174">
            <v>178</v>
          </cell>
          <cell r="G174">
            <v>21</v>
          </cell>
          <cell r="H174" t="str">
            <v>Doctor Mora</v>
          </cell>
          <cell r="I174">
            <v>55000</v>
          </cell>
          <cell r="J174" t="str">
            <v>Completa</v>
          </cell>
          <cell r="K174" t="str">
            <v>FRACCIONAMIENTO GONZALEZ COSSIO S/N</v>
          </cell>
          <cell r="L174">
            <v>0</v>
          </cell>
          <cell r="M174" t="str">
            <v>DOCTOR MORA</v>
          </cell>
          <cell r="T174" t="e">
            <v>#REF!</v>
          </cell>
        </row>
        <row r="175">
          <cell r="A175" t="str">
            <v>RANCHITO DE SAN JOSE (EL RANCHITO)</v>
          </cell>
          <cell r="B175" t="str">
            <v>11EJN0404D</v>
          </cell>
          <cell r="C175" t="str">
            <v>X</v>
          </cell>
          <cell r="E175" t="str">
            <v>JUAN MARIA GASPAR ITARD</v>
          </cell>
          <cell r="F175">
            <v>531</v>
          </cell>
          <cell r="G175">
            <v>2</v>
          </cell>
          <cell r="H175" t="str">
            <v>Doctor Mora</v>
          </cell>
          <cell r="I175">
            <v>30000</v>
          </cell>
          <cell r="J175" t="str">
            <v>Multigrado</v>
          </cell>
          <cell r="K175" t="str">
            <v>RANCHITO DE SAN JOSE S/N</v>
          </cell>
          <cell r="L175">
            <v>0</v>
          </cell>
          <cell r="M175" t="str">
            <v>RANCHITO DE SAN JOSE (EL RANCHITO)</v>
          </cell>
          <cell r="T175" t="e">
            <v>#REF!</v>
          </cell>
        </row>
        <row r="176">
          <cell r="A176" t="str">
            <v>LAS FLORES</v>
          </cell>
          <cell r="B176" t="str">
            <v>11ETV0629Z</v>
          </cell>
          <cell r="C176" t="str">
            <v>X</v>
          </cell>
          <cell r="E176" t="str">
            <v>TELESECUNDARIA NUM. 678</v>
          </cell>
          <cell r="F176">
            <v>539</v>
          </cell>
          <cell r="G176">
            <v>6</v>
          </cell>
          <cell r="H176" t="str">
            <v>Doctor Mora</v>
          </cell>
          <cell r="I176">
            <v>85000</v>
          </cell>
          <cell r="J176" t="str">
            <v>Completa</v>
          </cell>
          <cell r="K176" t="str">
            <v>LAS FLORES</v>
          </cell>
          <cell r="L176">
            <v>0</v>
          </cell>
          <cell r="M176" t="str">
            <v>LAS FLORES</v>
          </cell>
          <cell r="T176" t="e">
            <v>#REF!</v>
          </cell>
        </row>
        <row r="177">
          <cell r="A177" t="str">
            <v>OBRAJITOS</v>
          </cell>
          <cell r="B177" t="str">
            <v>11ETV0632N</v>
          </cell>
          <cell r="C177" t="str">
            <v>X</v>
          </cell>
          <cell r="E177" t="str">
            <v>TELESECUNDARIA NUM. 674</v>
          </cell>
          <cell r="F177">
            <v>539</v>
          </cell>
          <cell r="G177">
            <v>6</v>
          </cell>
          <cell r="H177" t="str">
            <v>Doctor Mora</v>
          </cell>
          <cell r="I177">
            <v>70000</v>
          </cell>
          <cell r="J177" t="str">
            <v>Completa</v>
          </cell>
          <cell r="K177" t="str">
            <v>OBRAJITOS</v>
          </cell>
          <cell r="L177" t="str">
            <v>OBRAJITOS</v>
          </cell>
          <cell r="M177" t="str">
            <v>OBRAJITOS</v>
          </cell>
          <cell r="T177" t="e">
            <v>#REF!</v>
          </cell>
        </row>
        <row r="178">
          <cell r="A178" t="str">
            <v>VAGUI</v>
          </cell>
          <cell r="B178" t="str">
            <v>11ETV0814W</v>
          </cell>
          <cell r="C178" t="str">
            <v>X</v>
          </cell>
          <cell r="E178" t="str">
            <v>TELESECUNDARIA NUM. 814</v>
          </cell>
          <cell r="F178">
            <v>539</v>
          </cell>
          <cell r="G178">
            <v>6</v>
          </cell>
          <cell r="H178" t="str">
            <v>Doctor Mora</v>
          </cell>
          <cell r="I178">
            <v>85000</v>
          </cell>
          <cell r="J178" t="str">
            <v>Completa</v>
          </cell>
          <cell r="K178" t="str">
            <v>VAGUI</v>
          </cell>
          <cell r="L178">
            <v>0</v>
          </cell>
          <cell r="M178" t="str">
            <v>VAGUI</v>
          </cell>
          <cell r="T178" t="e">
            <v>#REF!</v>
          </cell>
        </row>
        <row r="179">
          <cell r="A179" t="str">
            <v>LOMA DE BUENAVISTA</v>
          </cell>
          <cell r="B179" t="str">
            <v>11ETV0260N</v>
          </cell>
          <cell r="C179" t="str">
            <v>X</v>
          </cell>
          <cell r="E179" t="str">
            <v>TELESECUNDARIA NUM. 268</v>
          </cell>
          <cell r="F179">
            <v>539</v>
          </cell>
          <cell r="G179">
            <v>6</v>
          </cell>
          <cell r="H179" t="str">
            <v>Doctor Mora</v>
          </cell>
          <cell r="I179">
            <v>85000</v>
          </cell>
          <cell r="J179" t="str">
            <v>Completa</v>
          </cell>
          <cell r="K179" t="str">
            <v>LOMA DE BUENAVISTA</v>
          </cell>
          <cell r="L179">
            <v>0</v>
          </cell>
          <cell r="M179" t="str">
            <v>LOMA DE BUENAVISTA</v>
          </cell>
          <cell r="T179" t="e">
            <v>#REF!</v>
          </cell>
        </row>
        <row r="180">
          <cell r="A180" t="str">
            <v>MORISQUILLAS</v>
          </cell>
          <cell r="B180" t="str">
            <v>11ETV0388S</v>
          </cell>
          <cell r="D180" t="str">
            <v>X</v>
          </cell>
          <cell r="E180" t="str">
            <v>TELESECUNDARIA NUM. 391</v>
          </cell>
          <cell r="F180">
            <v>539</v>
          </cell>
          <cell r="G180">
            <v>6</v>
          </cell>
          <cell r="H180" t="str">
            <v>Doctor Mora</v>
          </cell>
          <cell r="I180">
            <v>45000</v>
          </cell>
          <cell r="J180" t="str">
            <v>Completa</v>
          </cell>
          <cell r="K180" t="str">
            <v>MORISQUILLAS</v>
          </cell>
          <cell r="L180">
            <v>0</v>
          </cell>
          <cell r="M180" t="str">
            <v>MORISQUILLAS</v>
          </cell>
          <cell r="T180" t="e">
            <v>#REF!</v>
          </cell>
        </row>
        <row r="181">
          <cell r="A181" t="str">
            <v>LA DONCELLA</v>
          </cell>
          <cell r="B181" t="str">
            <v>11ETV0812Y</v>
          </cell>
          <cell r="C181" t="str">
            <v>X</v>
          </cell>
          <cell r="E181" t="str">
            <v>TELESECUNDARIA NUM. 812</v>
          </cell>
          <cell r="F181">
            <v>539</v>
          </cell>
          <cell r="G181">
            <v>6</v>
          </cell>
          <cell r="H181" t="str">
            <v>Doctor Mora</v>
          </cell>
          <cell r="I181">
            <v>85000</v>
          </cell>
          <cell r="J181" t="str">
            <v>Completa</v>
          </cell>
          <cell r="K181" t="str">
            <v>LA DONCELLA</v>
          </cell>
          <cell r="L181">
            <v>0</v>
          </cell>
          <cell r="M181" t="str">
            <v>LA DONCELLA</v>
          </cell>
          <cell r="T181" t="e">
            <v>#REF!</v>
          </cell>
        </row>
        <row r="182">
          <cell r="A182" t="str">
            <v>LOMA DEL ZAPOTE</v>
          </cell>
          <cell r="B182" t="str">
            <v>11EJN0231C</v>
          </cell>
          <cell r="D182" t="str">
            <v>X</v>
          </cell>
          <cell r="E182" t="str">
            <v>ESTEFANIA CASTAÑEDA</v>
          </cell>
          <cell r="F182">
            <v>531</v>
          </cell>
          <cell r="G182">
            <v>2</v>
          </cell>
          <cell r="H182" t="str">
            <v>Doctor Mora</v>
          </cell>
          <cell r="I182">
            <v>20000</v>
          </cell>
          <cell r="J182" t="str">
            <v>Multigrado</v>
          </cell>
          <cell r="K182" t="str">
            <v>LOMA DE SAN RAFAEL</v>
          </cell>
          <cell r="L182">
            <v>0</v>
          </cell>
          <cell r="M182" t="str">
            <v>LOMA DEL ZAPOTE</v>
          </cell>
          <cell r="T182" t="e">
            <v>#REF!</v>
          </cell>
        </row>
        <row r="183">
          <cell r="A183" t="str">
            <v>EL LINDERO</v>
          </cell>
          <cell r="B183" t="str">
            <v>11EJN0405C</v>
          </cell>
          <cell r="C183" t="str">
            <v>X</v>
          </cell>
          <cell r="E183" t="str">
            <v>JUAN ENRIQUE PESTALOZZI</v>
          </cell>
          <cell r="F183">
            <v>531</v>
          </cell>
          <cell r="G183">
            <v>2</v>
          </cell>
          <cell r="H183" t="str">
            <v>Doctor Mora</v>
          </cell>
          <cell r="I183">
            <v>30000</v>
          </cell>
          <cell r="J183" t="str">
            <v>Multigrado</v>
          </cell>
          <cell r="K183" t="str">
            <v>EL LINDERO</v>
          </cell>
          <cell r="L183">
            <v>0</v>
          </cell>
          <cell r="M183" t="str">
            <v>EL LINDERO</v>
          </cell>
          <cell r="T183" t="e">
            <v>#REF!</v>
          </cell>
        </row>
        <row r="184">
          <cell r="A184" t="str">
            <v>DERRAMADERO DEL SAUZ</v>
          </cell>
          <cell r="B184" t="str">
            <v>11ETV0387T</v>
          </cell>
          <cell r="C184" t="str">
            <v>X</v>
          </cell>
          <cell r="E184" t="str">
            <v>TELESECUNDARIA NUM. 390</v>
          </cell>
          <cell r="F184">
            <v>539</v>
          </cell>
          <cell r="G184">
            <v>6</v>
          </cell>
          <cell r="H184" t="str">
            <v>Doctor Mora</v>
          </cell>
          <cell r="I184">
            <v>85000</v>
          </cell>
          <cell r="J184" t="str">
            <v>Completa</v>
          </cell>
          <cell r="K184" t="str">
            <v>DERRAMADERO DEL SAUZ</v>
          </cell>
          <cell r="L184">
            <v>0</v>
          </cell>
          <cell r="M184" t="str">
            <v>DERRAMADERO DEL SAUZ</v>
          </cell>
          <cell r="T184" t="e">
            <v>#REF!</v>
          </cell>
        </row>
        <row r="185">
          <cell r="A185" t="str">
            <v>NEGRITAS</v>
          </cell>
          <cell r="B185" t="str">
            <v>11EPR0725D</v>
          </cell>
          <cell r="C185" t="str">
            <v>X</v>
          </cell>
          <cell r="E185" t="str">
            <v>HEROE DE NACOZARI</v>
          </cell>
          <cell r="F185">
            <v>562</v>
          </cell>
          <cell r="G185">
            <v>2</v>
          </cell>
          <cell r="H185" t="str">
            <v>Doctor Mora</v>
          </cell>
          <cell r="I185">
            <v>20000</v>
          </cell>
          <cell r="J185" t="str">
            <v>Multigrado</v>
          </cell>
          <cell r="K185" t="str">
            <v>NEGRITAS</v>
          </cell>
          <cell r="L185">
            <v>0</v>
          </cell>
          <cell r="M185" t="str">
            <v>NEGRITAS</v>
          </cell>
          <cell r="T185" t="e">
            <v>#REF!</v>
          </cell>
        </row>
        <row r="186">
          <cell r="A186" t="str">
            <v>PEÑA RODADA</v>
          </cell>
          <cell r="B186" t="str">
            <v>11ETV0631O</v>
          </cell>
          <cell r="D186" t="str">
            <v>X</v>
          </cell>
          <cell r="E186" t="str">
            <v>TELESECUNDARIA NUM. 673</v>
          </cell>
          <cell r="F186">
            <v>539</v>
          </cell>
          <cell r="G186">
            <v>6</v>
          </cell>
          <cell r="H186" t="str">
            <v>Doctor Mora</v>
          </cell>
          <cell r="I186">
            <v>83000</v>
          </cell>
          <cell r="J186" t="str">
            <v>Completa</v>
          </cell>
          <cell r="K186" t="str">
            <v>PEÑA RODADA</v>
          </cell>
          <cell r="L186">
            <v>0</v>
          </cell>
          <cell r="M186" t="str">
            <v>PEÑA RODADA</v>
          </cell>
          <cell r="T186" t="e">
            <v>#REF!</v>
          </cell>
        </row>
        <row r="187">
          <cell r="A187" t="str">
            <v>EL LINDERO</v>
          </cell>
          <cell r="B187" t="str">
            <v>11DPR0786S</v>
          </cell>
          <cell r="C187" t="str">
            <v>X</v>
          </cell>
          <cell r="E187" t="str">
            <v>BENITO JUAREZ</v>
          </cell>
          <cell r="F187">
            <v>178</v>
          </cell>
          <cell r="G187">
            <v>21</v>
          </cell>
          <cell r="H187" t="str">
            <v>Doctor Mora</v>
          </cell>
          <cell r="I187">
            <v>20000</v>
          </cell>
          <cell r="J187" t="str">
            <v>Multigrado</v>
          </cell>
          <cell r="K187" t="str">
            <v>EL LINDERO</v>
          </cell>
          <cell r="L187">
            <v>0</v>
          </cell>
          <cell r="M187" t="str">
            <v>EL LINDERO</v>
          </cell>
          <cell r="T187" t="e">
            <v>#REF!</v>
          </cell>
        </row>
        <row r="188">
          <cell r="A188" t="str">
            <v>EJIDO VAGUI</v>
          </cell>
          <cell r="B188" t="str">
            <v>11DPR3002V</v>
          </cell>
          <cell r="D188" t="str">
            <v>X</v>
          </cell>
          <cell r="E188" t="str">
            <v>ESCUELA PRIMARIA</v>
          </cell>
          <cell r="F188">
            <v>178</v>
          </cell>
          <cell r="G188">
            <v>21</v>
          </cell>
          <cell r="H188" t="str">
            <v>Doctor Mora</v>
          </cell>
          <cell r="I188">
            <v>22500</v>
          </cell>
          <cell r="J188" t="str">
            <v>Multigrado</v>
          </cell>
          <cell r="K188" t="str">
            <v>EJIDO VAGUI S/N</v>
          </cell>
          <cell r="L188">
            <v>0</v>
          </cell>
          <cell r="M188" t="str">
            <v>EJIDO VAGUI</v>
          </cell>
          <cell r="T188" t="e">
            <v>#REF!</v>
          </cell>
        </row>
        <row r="189">
          <cell r="A189" t="str">
            <v>DOCTOR MORA</v>
          </cell>
          <cell r="B189" t="str">
            <v>11EJN0233A</v>
          </cell>
          <cell r="C189" t="str">
            <v>X</v>
          </cell>
          <cell r="E189" t="str">
            <v>JOSE MA VALENCIA ORDUÑA</v>
          </cell>
          <cell r="F189">
            <v>531</v>
          </cell>
          <cell r="G189">
            <v>2</v>
          </cell>
          <cell r="H189" t="str">
            <v>Doctor Mora</v>
          </cell>
          <cell r="I189">
            <v>45000</v>
          </cell>
          <cell r="J189" t="str">
            <v>Completa</v>
          </cell>
          <cell r="K189" t="str">
            <v>JERECUARO NUM. 58</v>
          </cell>
          <cell r="L189" t="str">
            <v>NO APLICA</v>
          </cell>
          <cell r="M189" t="str">
            <v>DOCTOR MORA</v>
          </cell>
          <cell r="T189" t="e">
            <v>#REF!</v>
          </cell>
        </row>
        <row r="190">
          <cell r="A190" t="str">
            <v>LA REDONDA</v>
          </cell>
          <cell r="B190" t="str">
            <v>11DPR1751J</v>
          </cell>
          <cell r="D190" t="str">
            <v>X</v>
          </cell>
          <cell r="E190" t="str">
            <v>PLAN DE ONCE AÑOS</v>
          </cell>
          <cell r="F190">
            <v>178</v>
          </cell>
          <cell r="G190">
            <v>21</v>
          </cell>
          <cell r="H190" t="str">
            <v>Doctor Mora</v>
          </cell>
          <cell r="I190">
            <v>85000</v>
          </cell>
          <cell r="J190" t="str">
            <v>Completa</v>
          </cell>
          <cell r="K190" t="str">
            <v>LA REDONDA</v>
          </cell>
          <cell r="L190">
            <v>0</v>
          </cell>
          <cell r="M190" t="str">
            <v>LA REDONDA</v>
          </cell>
          <cell r="T190" t="e">
            <v>#REF!</v>
          </cell>
        </row>
        <row r="191">
          <cell r="A191" t="str">
            <v>LA ESTANCIA (EL CERRITO)</v>
          </cell>
          <cell r="B191" t="str">
            <v>11EPR0724E</v>
          </cell>
          <cell r="D191" t="str">
            <v>X</v>
          </cell>
          <cell r="E191" t="str">
            <v>ROSARIO CASTELLANOS</v>
          </cell>
          <cell r="F191">
            <v>562</v>
          </cell>
          <cell r="G191">
            <v>2</v>
          </cell>
          <cell r="H191" t="str">
            <v>Doctor Mora</v>
          </cell>
          <cell r="I191">
            <v>25000</v>
          </cell>
          <cell r="J191" t="str">
            <v>Multigrado</v>
          </cell>
          <cell r="K191" t="str">
            <v>LA ESTANCIA</v>
          </cell>
          <cell r="L191">
            <v>0</v>
          </cell>
          <cell r="M191" t="str">
            <v>LA ESTANCIA (EL CERRITO)</v>
          </cell>
          <cell r="T191" t="e">
            <v>#REF!</v>
          </cell>
        </row>
        <row r="192">
          <cell r="A192" t="str">
            <v>BEGOÑA</v>
          </cell>
          <cell r="B192" t="str">
            <v>11EJN0208B</v>
          </cell>
          <cell r="C192" t="str">
            <v>X</v>
          </cell>
          <cell r="E192" t="str">
            <v>JUAN ENRIQUE PESTALOZZI</v>
          </cell>
          <cell r="F192">
            <v>531</v>
          </cell>
          <cell r="G192">
            <v>2</v>
          </cell>
          <cell r="H192" t="str">
            <v>Doctor Mora</v>
          </cell>
          <cell r="I192">
            <v>20000</v>
          </cell>
          <cell r="J192" t="str">
            <v>Multigrado</v>
          </cell>
          <cell r="K192" t="str">
            <v>BEGOÑA</v>
          </cell>
          <cell r="L192" t="str">
            <v>BEGOÑA</v>
          </cell>
          <cell r="M192" t="str">
            <v>BEGOÑA</v>
          </cell>
          <cell r="T192" t="e">
            <v>#REF!</v>
          </cell>
        </row>
        <row r="193">
          <cell r="A193" t="str">
            <v>FLORENCIA</v>
          </cell>
          <cell r="B193" t="str">
            <v>11ETV0813X</v>
          </cell>
          <cell r="C193" t="str">
            <v>X</v>
          </cell>
          <cell r="E193" t="str">
            <v>TELESECUNDARIA NUM. 813</v>
          </cell>
          <cell r="F193">
            <v>539</v>
          </cell>
          <cell r="G193">
            <v>6</v>
          </cell>
          <cell r="H193" t="str">
            <v>Doctor Mora</v>
          </cell>
          <cell r="I193">
            <v>84000</v>
          </cell>
          <cell r="J193" t="str">
            <v>Completa</v>
          </cell>
          <cell r="K193" t="str">
            <v>GRANJA FLORENCIA</v>
          </cell>
          <cell r="L193" t="str">
            <v>GRANJA FLORENCIA</v>
          </cell>
          <cell r="M193" t="str">
            <v>FLORENCIA</v>
          </cell>
          <cell r="T193" t="e">
            <v>#REF!</v>
          </cell>
        </row>
        <row r="194">
          <cell r="A194" t="str">
            <v>EL BAÑO</v>
          </cell>
          <cell r="B194" t="str">
            <v>11DPR1757D</v>
          </cell>
          <cell r="D194" t="str">
            <v>X</v>
          </cell>
          <cell r="E194" t="str">
            <v>PLUTARCO ELIAS CALLES</v>
          </cell>
          <cell r="F194">
            <v>39</v>
          </cell>
          <cell r="G194">
            <v>21</v>
          </cell>
          <cell r="H194" t="str">
            <v>Doctor Mora</v>
          </cell>
          <cell r="I194">
            <v>20000</v>
          </cell>
          <cell r="J194" t="str">
            <v>Multigrado</v>
          </cell>
          <cell r="K194" t="str">
            <v>EL BAÑO</v>
          </cell>
          <cell r="L194">
            <v>0</v>
          </cell>
          <cell r="M194" t="str">
            <v>EL BAÑO</v>
          </cell>
          <cell r="T194" t="e">
            <v>#REF!</v>
          </cell>
        </row>
        <row r="195">
          <cell r="A195" t="str">
            <v>CARBONERA DE GUADALUPE</v>
          </cell>
          <cell r="B195" t="str">
            <v>11DPR2856K</v>
          </cell>
          <cell r="C195" t="str">
            <v>X</v>
          </cell>
          <cell r="E195" t="str">
            <v>ESCUELA PRIMARIA</v>
          </cell>
          <cell r="F195">
            <v>39</v>
          </cell>
          <cell r="G195">
            <v>21</v>
          </cell>
          <cell r="H195" t="str">
            <v>Doctor Mora</v>
          </cell>
          <cell r="I195">
            <v>20000</v>
          </cell>
          <cell r="J195" t="str">
            <v>Multigrado</v>
          </cell>
          <cell r="K195" t="str">
            <v>CARBONERA DE GUADALUPE</v>
          </cell>
          <cell r="L195">
            <v>0</v>
          </cell>
          <cell r="M195" t="str">
            <v>CARBONERA DE GUADALUPE</v>
          </cell>
          <cell r="T195" t="e">
            <v>#REF!</v>
          </cell>
        </row>
        <row r="196">
          <cell r="A196" t="str">
            <v>PUERTO DE TROJES (LA TROJA)</v>
          </cell>
          <cell r="B196" t="str">
            <v>11DPR0352F</v>
          </cell>
          <cell r="D196" t="str">
            <v>X</v>
          </cell>
          <cell r="E196" t="str">
            <v>AÑO DE JUAREZ 1972</v>
          </cell>
          <cell r="F196">
            <v>39</v>
          </cell>
          <cell r="G196">
            <v>21</v>
          </cell>
          <cell r="H196" t="str">
            <v>Doctor Mora</v>
          </cell>
          <cell r="I196">
            <v>20000</v>
          </cell>
          <cell r="J196" t="str">
            <v>Multigrado</v>
          </cell>
          <cell r="K196" t="str">
            <v>PUERTO DE TROJES</v>
          </cell>
          <cell r="L196">
            <v>0</v>
          </cell>
          <cell r="M196" t="str">
            <v>PUERTO DE TROJES (LA TROJA)</v>
          </cell>
          <cell r="T196" t="e">
            <v>#REF!</v>
          </cell>
        </row>
        <row r="197">
          <cell r="A197" t="str">
            <v>TIERRA PRIETA</v>
          </cell>
          <cell r="B197" t="str">
            <v>11DPR2483L</v>
          </cell>
          <cell r="C197" t="str">
            <v>X</v>
          </cell>
          <cell r="E197" t="str">
            <v>EMILIANO ZAPATA</v>
          </cell>
          <cell r="F197">
            <v>39</v>
          </cell>
          <cell r="G197">
            <v>21</v>
          </cell>
          <cell r="H197" t="str">
            <v>Doctor Mora</v>
          </cell>
          <cell r="I197">
            <v>30000</v>
          </cell>
          <cell r="J197" t="str">
            <v>Multigrado</v>
          </cell>
          <cell r="K197" t="str">
            <v>TIERRA PRIETA</v>
          </cell>
          <cell r="L197">
            <v>0</v>
          </cell>
          <cell r="M197" t="str">
            <v>TIERRA PRIETA</v>
          </cell>
          <cell r="T197" t="e">
            <v>#REF!</v>
          </cell>
        </row>
        <row r="198">
          <cell r="A198" t="str">
            <v>SANTA CLARA</v>
          </cell>
          <cell r="B198" t="str">
            <v>11DJN0641G</v>
          </cell>
          <cell r="D198" t="str">
            <v>X</v>
          </cell>
          <cell r="E198" t="str">
            <v>FULGENCIO VARGAS</v>
          </cell>
          <cell r="F198">
            <v>67</v>
          </cell>
          <cell r="G198">
            <v>6</v>
          </cell>
          <cell r="H198" t="str">
            <v>Dolores Hidalgo Cuna de la Independencia Nacional</v>
          </cell>
          <cell r="I198">
            <v>85000</v>
          </cell>
          <cell r="J198" t="str">
            <v>Completa</v>
          </cell>
          <cell r="K198" t="str">
            <v>SANTA CLARA</v>
          </cell>
          <cell r="L198">
            <v>0</v>
          </cell>
          <cell r="M198" t="str">
            <v>SANTA CLARA</v>
          </cell>
          <cell r="T198" t="e">
            <v>#REF!</v>
          </cell>
        </row>
        <row r="199">
          <cell r="A199" t="str">
            <v>DOLORES HIDALGO CUNA DE LA INDEPENDENCIA NAL.</v>
          </cell>
          <cell r="B199" t="str">
            <v>11DJN0644D</v>
          </cell>
          <cell r="C199" t="str">
            <v>X</v>
          </cell>
          <cell r="E199" t="str">
            <v>FRANCISCO LOPEZ RAYON</v>
          </cell>
          <cell r="F199">
            <v>87</v>
          </cell>
          <cell r="G199">
            <v>6</v>
          </cell>
          <cell r="H199" t="str">
            <v>Dolores Hidalgo Cuna de la Independencia Nacional</v>
          </cell>
          <cell r="I199">
            <v>85000</v>
          </cell>
          <cell r="J199" t="str">
            <v>Completa</v>
          </cell>
          <cell r="K199" t="str">
            <v>JOSE ALFREDO JIMENEZ S/N</v>
          </cell>
          <cell r="L199" t="str">
            <v>LINDAVISTA</v>
          </cell>
          <cell r="M199" t="str">
            <v>DOLORES HIDALGO CUNA DE LA INDEPENDENCIA NAL.</v>
          </cell>
          <cell r="T199" t="e">
            <v>#REF!</v>
          </cell>
        </row>
        <row r="200">
          <cell r="A200" t="str">
            <v>PALMA PRIETA</v>
          </cell>
          <cell r="B200" t="str">
            <v>11DJN0835U</v>
          </cell>
          <cell r="D200" t="str">
            <v>X</v>
          </cell>
          <cell r="E200" t="str">
            <v>CRISTOBAL COLON</v>
          </cell>
          <cell r="F200">
            <v>67</v>
          </cell>
          <cell r="G200">
            <v>6</v>
          </cell>
          <cell r="H200" t="str">
            <v>Dolores Hidalgo Cuna de la Independencia Nacional</v>
          </cell>
          <cell r="I200">
            <v>30000</v>
          </cell>
          <cell r="J200" t="str">
            <v>Multigrado</v>
          </cell>
          <cell r="K200" t="str">
            <v>PLAMA PRIETA</v>
          </cell>
          <cell r="L200">
            <v>0</v>
          </cell>
          <cell r="M200" t="str">
            <v>PALMA PRIETA</v>
          </cell>
          <cell r="T200" t="e">
            <v>#REF!</v>
          </cell>
        </row>
        <row r="201">
          <cell r="A201" t="str">
            <v>EL CARMEN DE LA CUESTA (EL CARMEN)</v>
          </cell>
          <cell r="B201" t="str">
            <v>11DJN0997F</v>
          </cell>
          <cell r="D201" t="str">
            <v>X</v>
          </cell>
          <cell r="E201" t="str">
            <v>JUAN JACOBO ROUSSEAU</v>
          </cell>
          <cell r="F201">
            <v>67</v>
          </cell>
          <cell r="G201">
            <v>6</v>
          </cell>
          <cell r="H201" t="str">
            <v>Dolores Hidalgo Cuna de la Independencia Nacional</v>
          </cell>
          <cell r="I201">
            <v>30000</v>
          </cell>
          <cell r="J201" t="str">
            <v>Multigrado</v>
          </cell>
          <cell r="K201" t="str">
            <v>AVENIDA EMILIANO ZAPATA NUM. 7</v>
          </cell>
          <cell r="L201">
            <v>0</v>
          </cell>
          <cell r="M201" t="str">
            <v>EL CARMEN DE LA CUESTA (EL CARMEN)</v>
          </cell>
          <cell r="T201" t="e">
            <v>#REF!</v>
          </cell>
        </row>
        <row r="202">
          <cell r="A202" t="str">
            <v>EL PAJARO BOBO</v>
          </cell>
          <cell r="B202" t="str">
            <v>11DJN0999D</v>
          </cell>
          <cell r="D202" t="str">
            <v>X</v>
          </cell>
          <cell r="E202" t="str">
            <v>SANTOS DEGOLLADO</v>
          </cell>
          <cell r="F202">
            <v>67</v>
          </cell>
          <cell r="G202">
            <v>6</v>
          </cell>
          <cell r="H202" t="str">
            <v>Dolores Hidalgo Cuna de la Independencia Nacional</v>
          </cell>
          <cell r="I202">
            <v>30000</v>
          </cell>
          <cell r="J202" t="str">
            <v>Multigrado</v>
          </cell>
          <cell r="K202" t="str">
            <v>EL PAJARO BOBO</v>
          </cell>
          <cell r="L202">
            <v>0</v>
          </cell>
          <cell r="M202" t="str">
            <v>EL PAJARO BOBO</v>
          </cell>
          <cell r="T202" t="e">
            <v>#REF!</v>
          </cell>
        </row>
        <row r="203">
          <cell r="A203" t="str">
            <v>SAN VICENTE</v>
          </cell>
          <cell r="B203" t="str">
            <v>11DJN2729Y</v>
          </cell>
          <cell r="C203" t="str">
            <v>X</v>
          </cell>
          <cell r="E203" t="str">
            <v>OVIDIO DECROLY</v>
          </cell>
          <cell r="F203">
            <v>67</v>
          </cell>
          <cell r="G203">
            <v>6</v>
          </cell>
          <cell r="H203" t="str">
            <v>Dolores Hidalgo Cuna de la Independencia Nacional</v>
          </cell>
          <cell r="I203">
            <v>85000</v>
          </cell>
          <cell r="J203" t="str">
            <v>Completa</v>
          </cell>
          <cell r="K203" t="str">
            <v>PRIVADA GALEANA NUM. 106</v>
          </cell>
          <cell r="L203">
            <v>0</v>
          </cell>
          <cell r="M203" t="str">
            <v>SAN VICENTE</v>
          </cell>
          <cell r="T203" t="e">
            <v>#REF!</v>
          </cell>
        </row>
        <row r="204">
          <cell r="A204" t="str">
            <v>LA SABANA</v>
          </cell>
          <cell r="B204" t="str">
            <v>11DJN2757U</v>
          </cell>
          <cell r="C204" t="str">
            <v>X</v>
          </cell>
          <cell r="E204" t="str">
            <v>NARCISO MENDOZA</v>
          </cell>
          <cell r="F204">
            <v>67</v>
          </cell>
          <cell r="G204">
            <v>6</v>
          </cell>
          <cell r="H204" t="str">
            <v>Dolores Hidalgo Cuna de la Independencia Nacional</v>
          </cell>
          <cell r="I204">
            <v>30000</v>
          </cell>
          <cell r="J204" t="str">
            <v>Multigrado</v>
          </cell>
          <cell r="K204" t="str">
            <v>LA SABANA</v>
          </cell>
          <cell r="L204">
            <v>0</v>
          </cell>
          <cell r="M204" t="str">
            <v>LA SABANA</v>
          </cell>
          <cell r="T204" t="e">
            <v>#REF!</v>
          </cell>
        </row>
        <row r="205">
          <cell r="A205" t="str">
            <v>TEQUISQUIAPAN</v>
          </cell>
          <cell r="B205" t="str">
            <v>11DJN2759S</v>
          </cell>
          <cell r="D205" t="str">
            <v>X</v>
          </cell>
          <cell r="E205" t="str">
            <v>PRIMAVERA</v>
          </cell>
          <cell r="F205">
            <v>67</v>
          </cell>
          <cell r="G205">
            <v>6</v>
          </cell>
          <cell r="H205" t="str">
            <v>Dolores Hidalgo Cuna de la Independencia Nacional</v>
          </cell>
          <cell r="I205">
            <v>85000</v>
          </cell>
          <cell r="J205" t="str">
            <v>Completa</v>
          </cell>
          <cell r="K205" t="str">
            <v>TEQUISQUIAPAN</v>
          </cell>
          <cell r="L205">
            <v>0</v>
          </cell>
          <cell r="M205" t="str">
            <v>TEQUISQUIAPAN</v>
          </cell>
          <cell r="T205" t="e">
            <v>#REF!</v>
          </cell>
        </row>
        <row r="206">
          <cell r="A206" t="str">
            <v>SANTA CRUZ DEL MECO (SANTA CRUZ)</v>
          </cell>
          <cell r="B206" t="str">
            <v>11DJN3378R</v>
          </cell>
          <cell r="D206" t="str">
            <v>X</v>
          </cell>
          <cell r="E206" t="str">
            <v>JUVENTINO ROSAS</v>
          </cell>
          <cell r="F206">
            <v>67</v>
          </cell>
          <cell r="G206">
            <v>6</v>
          </cell>
          <cell r="H206" t="str">
            <v>Dolores Hidalgo Cuna de la Independencia Nacional</v>
          </cell>
          <cell r="I206">
            <v>30000</v>
          </cell>
          <cell r="J206" t="str">
            <v>Multigrado</v>
          </cell>
          <cell r="K206" t="str">
            <v>LA CRUZ DEL MECO</v>
          </cell>
          <cell r="L206">
            <v>0</v>
          </cell>
          <cell r="M206" t="str">
            <v>SANTA CRUZ DEL MECO (SANTA CRUZ)</v>
          </cell>
          <cell r="T206" t="e">
            <v>#REF!</v>
          </cell>
        </row>
        <row r="207">
          <cell r="A207" t="str">
            <v>SAN JOSE DE LAGUNILLAS</v>
          </cell>
          <cell r="B207" t="str">
            <v>11DJN3458C</v>
          </cell>
          <cell r="D207" t="str">
            <v>X</v>
          </cell>
          <cell r="E207" t="str">
            <v>GUSTAVO ADOLFO BECQUER</v>
          </cell>
          <cell r="F207">
            <v>67</v>
          </cell>
          <cell r="G207">
            <v>6</v>
          </cell>
          <cell r="H207" t="str">
            <v>Dolores Hidalgo Cuna de la Independencia Nacional</v>
          </cell>
          <cell r="I207">
            <v>30000</v>
          </cell>
          <cell r="J207" t="str">
            <v>Multigrado</v>
          </cell>
          <cell r="K207" t="str">
            <v>SAN JOSE DE LAGUNILLAS</v>
          </cell>
          <cell r="L207">
            <v>0</v>
          </cell>
          <cell r="M207" t="str">
            <v>SAN JOSE DE LAGUNILLAS</v>
          </cell>
          <cell r="T207" t="e">
            <v>#REF!</v>
          </cell>
        </row>
        <row r="208">
          <cell r="A208" t="str">
            <v>LA ERRE</v>
          </cell>
          <cell r="B208" t="str">
            <v>11DJN2487R</v>
          </cell>
          <cell r="D208" t="str">
            <v>X</v>
          </cell>
          <cell r="E208" t="str">
            <v>NICOLAS BRAVO</v>
          </cell>
          <cell r="F208">
            <v>87</v>
          </cell>
          <cell r="G208">
            <v>6</v>
          </cell>
          <cell r="H208" t="str">
            <v>Dolores Hidalgo Cuna de la Independencia Nacional</v>
          </cell>
          <cell r="I208">
            <v>30000</v>
          </cell>
          <cell r="J208" t="str">
            <v>Multigrado</v>
          </cell>
          <cell r="K208" t="str">
            <v>LA ERRE</v>
          </cell>
          <cell r="L208">
            <v>0</v>
          </cell>
          <cell r="M208" t="str">
            <v>LA ERRE</v>
          </cell>
          <cell r="T208" t="e">
            <v>#REF!</v>
          </cell>
        </row>
        <row r="209">
          <cell r="A209" t="str">
            <v>DOLORES HIDALGO CUNA DE LA INDEPENDENCIA NAL.</v>
          </cell>
          <cell r="B209" t="str">
            <v>11DJN2523F</v>
          </cell>
          <cell r="D209" t="str">
            <v>X</v>
          </cell>
          <cell r="E209" t="str">
            <v>NACIONES UNIDAS</v>
          </cell>
          <cell r="F209">
            <v>87</v>
          </cell>
          <cell r="G209">
            <v>6</v>
          </cell>
          <cell r="H209" t="str">
            <v>Dolores Hidalgo Cuna de la Independencia Nacional</v>
          </cell>
          <cell r="I209">
            <v>85000</v>
          </cell>
          <cell r="J209" t="str">
            <v>Completa</v>
          </cell>
          <cell r="K209" t="str">
            <v>LOMA BONITA</v>
          </cell>
          <cell r="L209">
            <v>0</v>
          </cell>
          <cell r="M209" t="str">
            <v>DOLORES HIDALGO CUNA DE LA INDEPENDENCIA NAL.</v>
          </cell>
          <cell r="T209" t="e">
            <v>#REF!</v>
          </cell>
        </row>
        <row r="210">
          <cell r="A210" t="str">
            <v>DOLORES HIDALGO CUNA DE LA INDEPENDENCIA NAL.</v>
          </cell>
          <cell r="B210" t="str">
            <v>11DPR2545H</v>
          </cell>
          <cell r="D210" t="str">
            <v>X</v>
          </cell>
          <cell r="E210" t="str">
            <v>GUADALUPE VICTORIA</v>
          </cell>
          <cell r="F210">
            <v>76</v>
          </cell>
          <cell r="G210">
            <v>15</v>
          </cell>
          <cell r="H210" t="str">
            <v>Dolores Hidalgo Cuna de la Independencia Nacional</v>
          </cell>
          <cell r="I210">
            <v>85000</v>
          </cell>
          <cell r="J210" t="str">
            <v>Completa</v>
          </cell>
          <cell r="K210" t="str">
            <v>AVENIDA HIDALGO NUM. 4</v>
          </cell>
          <cell r="L210" t="str">
            <v>LINDAVISTA</v>
          </cell>
          <cell r="M210" t="str">
            <v>DOLORES HIDALGO CUNA DE LA INDEPENDENCIA NAL.</v>
          </cell>
          <cell r="T210" t="e">
            <v>#REF!</v>
          </cell>
        </row>
        <row r="211">
          <cell r="A211" t="str">
            <v>ADJUNTAS DEL RIO (LAS ADJUNTAS)</v>
          </cell>
          <cell r="B211" t="str">
            <v>11DPR3690Z</v>
          </cell>
          <cell r="C211" t="str">
            <v>X</v>
          </cell>
          <cell r="E211" t="str">
            <v>ESCUELA PRIMARIA</v>
          </cell>
          <cell r="F211">
            <v>117</v>
          </cell>
          <cell r="G211">
            <v>15</v>
          </cell>
          <cell r="H211" t="str">
            <v>Dolores Hidalgo Cuna de la Independencia Nacional</v>
          </cell>
          <cell r="I211">
            <v>85000</v>
          </cell>
          <cell r="J211" t="str">
            <v>Completa</v>
          </cell>
          <cell r="K211" t="str">
            <v>LA RINCONADA DE ADJUNTAS</v>
          </cell>
          <cell r="L211">
            <v>0</v>
          </cell>
          <cell r="M211" t="str">
            <v>ADJUNTAS DEL RIO (LAS ADJUNTAS)</v>
          </cell>
          <cell r="T211" t="e">
            <v>#REF!</v>
          </cell>
        </row>
        <row r="212">
          <cell r="A212" t="str">
            <v>LA VENTA</v>
          </cell>
          <cell r="B212" t="str">
            <v>11EPR0107U</v>
          </cell>
          <cell r="C212" t="str">
            <v>X</v>
          </cell>
          <cell r="E212" t="str">
            <v>BENITO JUAREZ</v>
          </cell>
          <cell r="F212">
            <v>510</v>
          </cell>
          <cell r="G212">
            <v>5</v>
          </cell>
          <cell r="H212" t="str">
            <v>Dolores Hidalgo Cuna de la Independencia Nacional</v>
          </cell>
          <cell r="I212">
            <v>85000</v>
          </cell>
          <cell r="J212" t="str">
            <v>Completa</v>
          </cell>
          <cell r="K212" t="str">
            <v>CARRETERA SAN MIGUEL DE ALLENDE KILOMETRO 17</v>
          </cell>
          <cell r="L212">
            <v>0</v>
          </cell>
          <cell r="M212" t="str">
            <v>LA VENTA</v>
          </cell>
          <cell r="T212" t="e">
            <v>#REF!</v>
          </cell>
        </row>
        <row r="213">
          <cell r="A213" t="str">
            <v>SAN MARCOS DE ABAJO (SAN MARCOS)</v>
          </cell>
          <cell r="B213" t="str">
            <v>11DJN2758T</v>
          </cell>
          <cell r="C213" t="str">
            <v>X</v>
          </cell>
          <cell r="E213" t="str">
            <v>MARIA MONTESSORI</v>
          </cell>
          <cell r="F213">
            <v>87</v>
          </cell>
          <cell r="G213">
            <v>6</v>
          </cell>
          <cell r="H213" t="str">
            <v>Dolores Hidalgo Cuna de la Independencia Nacional</v>
          </cell>
          <cell r="I213">
            <v>30000</v>
          </cell>
          <cell r="J213" t="str">
            <v>Multigrado</v>
          </cell>
          <cell r="K213" t="str">
            <v>CAMINO REAL NUM. 2</v>
          </cell>
          <cell r="L213">
            <v>0</v>
          </cell>
          <cell r="M213" t="str">
            <v>SAN MARCOS DE ABAJO (SAN MARCOS)</v>
          </cell>
          <cell r="T213" t="e">
            <v>#REF!</v>
          </cell>
        </row>
        <row r="214">
          <cell r="A214" t="str">
            <v>CIENEGUILLA</v>
          </cell>
          <cell r="B214" t="str">
            <v>11DJN3653F</v>
          </cell>
          <cell r="D214" t="str">
            <v>X</v>
          </cell>
          <cell r="E214" t="str">
            <v>JULIO VERNE</v>
          </cell>
          <cell r="F214">
            <v>87</v>
          </cell>
          <cell r="G214">
            <v>6</v>
          </cell>
          <cell r="H214" t="str">
            <v>Dolores Hidalgo Cuna de la Independencia Nacional</v>
          </cell>
          <cell r="I214">
            <v>30000</v>
          </cell>
          <cell r="J214" t="str">
            <v>Multigrado</v>
          </cell>
          <cell r="K214" t="str">
            <v>LA CIENEGUILLA</v>
          </cell>
          <cell r="L214">
            <v>0</v>
          </cell>
          <cell r="M214" t="str">
            <v>CIENEGUILLA</v>
          </cell>
          <cell r="T214" t="e">
            <v>#REF!</v>
          </cell>
        </row>
        <row r="215">
          <cell r="A215" t="str">
            <v>PALACIO DE ABAJO (PALACIO)</v>
          </cell>
          <cell r="B215" t="str">
            <v>11DJN3652G</v>
          </cell>
          <cell r="D215" t="str">
            <v>X</v>
          </cell>
          <cell r="E215" t="str">
            <v>MIGUEL DE CERVANTES SAAVEDRA</v>
          </cell>
          <cell r="F215">
            <v>87</v>
          </cell>
          <cell r="G215">
            <v>6</v>
          </cell>
          <cell r="H215" t="str">
            <v>Dolores Hidalgo Cuna de la Independencia Nacional</v>
          </cell>
          <cell r="I215">
            <v>30000</v>
          </cell>
          <cell r="J215" t="str">
            <v>Multigrado</v>
          </cell>
          <cell r="K215" t="str">
            <v>PALACIO DE ABAJO</v>
          </cell>
          <cell r="L215">
            <v>0</v>
          </cell>
          <cell r="M215" t="str">
            <v>PALACIO DE ABAJO (PALACIO)</v>
          </cell>
          <cell r="T215" t="e">
            <v>#REF!</v>
          </cell>
        </row>
        <row r="216">
          <cell r="A216" t="str">
            <v>SAN JOSE DE LA PALMA</v>
          </cell>
          <cell r="B216" t="str">
            <v>11DJN2755W</v>
          </cell>
          <cell r="D216" t="str">
            <v>X</v>
          </cell>
          <cell r="E216" t="str">
            <v>DON MIGUEL HIDALGO Y COSTILLA</v>
          </cell>
          <cell r="F216">
            <v>87</v>
          </cell>
          <cell r="G216">
            <v>6</v>
          </cell>
          <cell r="H216" t="str">
            <v>Dolores Hidalgo Cuna de la Independencia Nacional</v>
          </cell>
          <cell r="I216">
            <v>30000</v>
          </cell>
          <cell r="J216" t="str">
            <v>Multigrado</v>
          </cell>
          <cell r="K216" t="str">
            <v>SAN JOSE DE LA PALMA</v>
          </cell>
          <cell r="L216">
            <v>0</v>
          </cell>
          <cell r="M216" t="str">
            <v>SAN JOSE DE LA PALMA</v>
          </cell>
          <cell r="T216" t="e">
            <v>#REF!</v>
          </cell>
        </row>
        <row r="217">
          <cell r="A217" t="str">
            <v>DOLORES HIDALGO CUNA DE LA INDEPENDENCIA NAL.</v>
          </cell>
          <cell r="B217" t="str">
            <v>11DJN4377Z</v>
          </cell>
          <cell r="D217" t="str">
            <v>X</v>
          </cell>
          <cell r="E217" t="str">
            <v>LA CORREGIDORA</v>
          </cell>
          <cell r="F217">
            <v>87</v>
          </cell>
          <cell r="G217">
            <v>6</v>
          </cell>
          <cell r="H217" t="str">
            <v>Dolores Hidalgo Cuna de la Independencia Nacional</v>
          </cell>
          <cell r="I217">
            <v>30000</v>
          </cell>
          <cell r="J217" t="str">
            <v>Multigrado</v>
          </cell>
          <cell r="K217" t="str">
            <v>SIN NOMBRE S/N</v>
          </cell>
          <cell r="L217" t="str">
            <v>LINDAVISTA</v>
          </cell>
          <cell r="M217" t="str">
            <v>DOLORES HIDALGO CUNA DE LA INDEPENDENCIA NAL.</v>
          </cell>
          <cell r="T217" t="e">
            <v>#REF!</v>
          </cell>
        </row>
        <row r="218">
          <cell r="A218" t="str">
            <v>GALANCILLO</v>
          </cell>
          <cell r="B218" t="str">
            <v>11DPR1237V</v>
          </cell>
          <cell r="C218" t="str">
            <v>X</v>
          </cell>
          <cell r="E218" t="str">
            <v>MIGUEL HIDALGO</v>
          </cell>
          <cell r="F218">
            <v>76</v>
          </cell>
          <cell r="G218">
            <v>15</v>
          </cell>
          <cell r="H218" t="str">
            <v>Dolores Hidalgo Cuna de la Independencia Nacional</v>
          </cell>
          <cell r="I218">
            <v>30000</v>
          </cell>
          <cell r="J218" t="str">
            <v>Multigrado</v>
          </cell>
          <cell r="K218" t="str">
            <v>GALANCILLO</v>
          </cell>
          <cell r="L218">
            <v>0</v>
          </cell>
          <cell r="M218" t="str">
            <v>GALANCILLO</v>
          </cell>
          <cell r="T218" t="e">
            <v>#REF!</v>
          </cell>
        </row>
        <row r="219">
          <cell r="A219" t="str">
            <v>LOS ARCOS</v>
          </cell>
          <cell r="B219" t="str">
            <v>11DPR2660Z</v>
          </cell>
          <cell r="C219" t="str">
            <v>X</v>
          </cell>
          <cell r="E219" t="str">
            <v>NIÑOS HEROES</v>
          </cell>
          <cell r="F219">
            <v>76</v>
          </cell>
          <cell r="G219">
            <v>15</v>
          </cell>
          <cell r="H219" t="str">
            <v>Dolores Hidalgo Cuna de la Independencia Nacional</v>
          </cell>
          <cell r="I219">
            <v>30000</v>
          </cell>
          <cell r="J219" t="str">
            <v>Multigrado</v>
          </cell>
          <cell r="K219" t="str">
            <v>LOS ARCOS</v>
          </cell>
          <cell r="L219">
            <v>0</v>
          </cell>
          <cell r="M219" t="str">
            <v>LOS ARCOS</v>
          </cell>
          <cell r="T219" t="e">
            <v>#REF!</v>
          </cell>
        </row>
        <row r="220">
          <cell r="A220" t="str">
            <v>DOLORES HIDALGO CUNA DE LA INDEPENDENCIA NAL.</v>
          </cell>
          <cell r="B220" t="str">
            <v>11DJN0077A</v>
          </cell>
          <cell r="C220" t="str">
            <v>X</v>
          </cell>
          <cell r="E220" t="str">
            <v>IGNACIO PEREZ</v>
          </cell>
          <cell r="F220">
            <v>10</v>
          </cell>
          <cell r="G220">
            <v>6</v>
          </cell>
          <cell r="H220" t="str">
            <v>Dolores Hidalgo Cuna de la Independencia Nacional</v>
          </cell>
          <cell r="I220">
            <v>85000</v>
          </cell>
          <cell r="J220" t="str">
            <v>Completa</v>
          </cell>
          <cell r="K220" t="str">
            <v>AVENIDA NORTE S/N Y CARRETERA RIO LAJA S/N</v>
          </cell>
          <cell r="L220">
            <v>0</v>
          </cell>
          <cell r="M220" t="str">
            <v>DOLORES HIDALGO CUNA DE LA INDEPENDENCIA NAL.</v>
          </cell>
          <cell r="T220" t="e">
            <v>#REF!</v>
          </cell>
        </row>
        <row r="221">
          <cell r="A221" t="str">
            <v>EL CAPULIN</v>
          </cell>
          <cell r="B221" t="str">
            <v>11DJN0998E</v>
          </cell>
          <cell r="C221" t="str">
            <v>X</v>
          </cell>
          <cell r="E221" t="str">
            <v>JOAQUIN BARANDA</v>
          </cell>
          <cell r="F221">
            <v>87</v>
          </cell>
          <cell r="G221">
            <v>6</v>
          </cell>
          <cell r="H221" t="str">
            <v>Dolores Hidalgo Cuna de la Independencia Nacional</v>
          </cell>
          <cell r="I221">
            <v>30000</v>
          </cell>
          <cell r="J221" t="str">
            <v>Multigrado</v>
          </cell>
          <cell r="K221" t="str">
            <v>EL CAPULIN</v>
          </cell>
          <cell r="L221">
            <v>0</v>
          </cell>
          <cell r="M221" t="str">
            <v>EL CAPULIN</v>
          </cell>
          <cell r="T221" t="e">
            <v>#REF!</v>
          </cell>
        </row>
        <row r="222">
          <cell r="A222" t="str">
            <v>SAN ISIDRO DEL SISOTE</v>
          </cell>
          <cell r="B222" t="str">
            <v>11DJN3654E</v>
          </cell>
          <cell r="C222" t="str">
            <v>X</v>
          </cell>
          <cell r="E222" t="str">
            <v>JOSE MARIA LICEAGA</v>
          </cell>
          <cell r="F222">
            <v>87</v>
          </cell>
          <cell r="G222">
            <v>6</v>
          </cell>
          <cell r="H222" t="str">
            <v>Dolores Hidalgo Cuna de la Independencia Nacional</v>
          </cell>
          <cell r="I222">
            <v>30000</v>
          </cell>
          <cell r="J222" t="str">
            <v>Multigrado</v>
          </cell>
          <cell r="K222" t="str">
            <v>SAN ISIDRO DEL SISOTE</v>
          </cell>
          <cell r="L222">
            <v>0</v>
          </cell>
          <cell r="M222" t="str">
            <v>SAN ISIDRO DEL SISOTE</v>
          </cell>
          <cell r="T222" t="e">
            <v>#REF!</v>
          </cell>
        </row>
        <row r="223">
          <cell r="A223" t="str">
            <v>LA CANTERA</v>
          </cell>
          <cell r="B223" t="str">
            <v>11EPR0043Z</v>
          </cell>
          <cell r="D223" t="str">
            <v>X</v>
          </cell>
          <cell r="E223" t="str">
            <v>JOSE MA MORELOS</v>
          </cell>
          <cell r="F223">
            <v>542</v>
          </cell>
          <cell r="G223">
            <v>5</v>
          </cell>
          <cell r="H223" t="str">
            <v>Dolores Hidalgo Cuna de la Independencia Nacional</v>
          </cell>
          <cell r="I223">
            <v>85000</v>
          </cell>
          <cell r="J223" t="str">
            <v>Completa</v>
          </cell>
          <cell r="K223" t="str">
            <v>CARRETERA DOLORES A GUANAJUATO KILOMETRO 7</v>
          </cell>
          <cell r="L223">
            <v>0</v>
          </cell>
          <cell r="M223" t="str">
            <v>LA CANTERA</v>
          </cell>
          <cell r="T223" t="e">
            <v>#REF!</v>
          </cell>
        </row>
        <row r="224">
          <cell r="A224" t="str">
            <v>SAN JOSE DE LA PALMA</v>
          </cell>
          <cell r="B224" t="str">
            <v>11EPR0100A</v>
          </cell>
          <cell r="D224" t="str">
            <v>X</v>
          </cell>
          <cell r="E224" t="str">
            <v>IGNACIO MANUEL ALTAMIRANO</v>
          </cell>
          <cell r="F224">
            <v>510</v>
          </cell>
          <cell r="G224">
            <v>5</v>
          </cell>
          <cell r="H224" t="str">
            <v>Dolores Hidalgo Cuna de la Independencia Nacional</v>
          </cell>
          <cell r="I224">
            <v>85000</v>
          </cell>
          <cell r="J224" t="str">
            <v>Completa</v>
          </cell>
          <cell r="K224" t="str">
            <v>CARRETERA DOLORES HIDALGO KILOMETRO 8</v>
          </cell>
          <cell r="L224">
            <v>0</v>
          </cell>
          <cell r="M224" t="str">
            <v>SAN JOSE DE LA PALMA</v>
          </cell>
          <cell r="T224" t="e">
            <v>#REF!</v>
          </cell>
        </row>
        <row r="225">
          <cell r="A225" t="str">
            <v>SANTA BARBARA</v>
          </cell>
          <cell r="B225" t="str">
            <v>11DJN2873K</v>
          </cell>
          <cell r="D225" t="str">
            <v>X</v>
          </cell>
          <cell r="E225" t="str">
            <v>LUZ MARIA SERRADEL</v>
          </cell>
          <cell r="F225">
            <v>87</v>
          </cell>
          <cell r="G225">
            <v>6</v>
          </cell>
          <cell r="H225" t="str">
            <v>Dolores Hidalgo Cuna de la Independencia Nacional</v>
          </cell>
          <cell r="I225">
            <v>30000</v>
          </cell>
          <cell r="J225" t="str">
            <v>Multigrado</v>
          </cell>
          <cell r="K225" t="str">
            <v>SANTA BARBARA</v>
          </cell>
          <cell r="L225">
            <v>0</v>
          </cell>
          <cell r="M225" t="str">
            <v>SANTA BARBARA</v>
          </cell>
          <cell r="T225" t="e">
            <v>#REF!</v>
          </cell>
        </row>
        <row r="226">
          <cell r="A226" t="str">
            <v>LA PALMILLA</v>
          </cell>
          <cell r="B226" t="str">
            <v>11DJN2954V</v>
          </cell>
          <cell r="C226" t="str">
            <v>X</v>
          </cell>
          <cell r="E226" t="str">
            <v>DIEGO RIVERA</v>
          </cell>
          <cell r="F226">
            <v>87</v>
          </cell>
          <cell r="G226">
            <v>6</v>
          </cell>
          <cell r="H226" t="str">
            <v>Dolores Hidalgo Cuna de la Independencia Nacional</v>
          </cell>
          <cell r="I226">
            <v>30000</v>
          </cell>
          <cell r="J226" t="str">
            <v>Multigrado</v>
          </cell>
          <cell r="K226" t="str">
            <v>LA PALMILLA</v>
          </cell>
          <cell r="L226">
            <v>0</v>
          </cell>
          <cell r="M226" t="str">
            <v>LA PALMILLA</v>
          </cell>
          <cell r="T226" t="e">
            <v>#REF!</v>
          </cell>
        </row>
        <row r="227">
          <cell r="A227" t="str">
            <v>TERREROS DE LA SABANA (EL TERRERO)</v>
          </cell>
          <cell r="B227" t="str">
            <v>11EJN0425Q</v>
          </cell>
          <cell r="C227" t="str">
            <v>X</v>
          </cell>
          <cell r="E227" t="str">
            <v>GABRIELA MISTRAL</v>
          </cell>
          <cell r="F227">
            <v>519</v>
          </cell>
          <cell r="G227">
            <v>7</v>
          </cell>
          <cell r="H227" t="str">
            <v>Dolores Hidalgo Cuna de la Independencia Nacional</v>
          </cell>
          <cell r="I227">
            <v>30000</v>
          </cell>
          <cell r="J227" t="str">
            <v>Multigrado</v>
          </cell>
          <cell r="K227" t="str">
            <v>TERREROS DE LA SABANA</v>
          </cell>
          <cell r="L227">
            <v>0</v>
          </cell>
          <cell r="M227" t="str">
            <v>TERREROS DE LA SABANA (EL TERRERO)</v>
          </cell>
          <cell r="T227" t="e">
            <v>#REF!</v>
          </cell>
        </row>
        <row r="228">
          <cell r="A228" t="str">
            <v>DOLORES HIDALGO CUNA DE LA INDEPENDENCIA NAL.</v>
          </cell>
          <cell r="B228" t="str">
            <v>11DJN4277Z</v>
          </cell>
          <cell r="C228" t="str">
            <v>X</v>
          </cell>
          <cell r="E228" t="str">
            <v>FRIDA KAHLO CALDERON</v>
          </cell>
          <cell r="F228">
            <v>87</v>
          </cell>
          <cell r="G228">
            <v>6</v>
          </cell>
          <cell r="H228" t="str">
            <v>Dolores Hidalgo Cuna de la Independencia Nacional</v>
          </cell>
          <cell r="I228">
            <v>30000</v>
          </cell>
          <cell r="J228" t="str">
            <v>Multigrado</v>
          </cell>
          <cell r="K228" t="str">
            <v>SAN JUAN</v>
          </cell>
          <cell r="L228">
            <v>0</v>
          </cell>
          <cell r="M228" t="str">
            <v>DOLORES HIDALGO CUNA DE LA INDEPENDENCIA NAL.</v>
          </cell>
          <cell r="T228" t="e">
            <v>#REF!</v>
          </cell>
        </row>
        <row r="229">
          <cell r="A229" t="str">
            <v>SAN MARTIN DE TERREROS (SAN MARTIN)</v>
          </cell>
          <cell r="B229" t="str">
            <v>11DJN3372X</v>
          </cell>
          <cell r="D229" t="str">
            <v>X</v>
          </cell>
          <cell r="E229" t="str">
            <v>MIGUEL F. MARTINEZ</v>
          </cell>
          <cell r="F229">
            <v>87</v>
          </cell>
          <cell r="G229">
            <v>6</v>
          </cell>
          <cell r="H229" t="str">
            <v>Dolores Hidalgo Cuna de la Independencia Nacional</v>
          </cell>
          <cell r="I229">
            <v>30000</v>
          </cell>
          <cell r="J229" t="str">
            <v>Multigrado</v>
          </cell>
          <cell r="K229" t="str">
            <v>TERRERO DE SAN MARTIN</v>
          </cell>
          <cell r="L229">
            <v>0</v>
          </cell>
          <cell r="M229" t="str">
            <v>SAN MARTIN DE TERREROS (SAN MARTIN)</v>
          </cell>
          <cell r="T229" t="e">
            <v>#REF!</v>
          </cell>
        </row>
        <row r="230">
          <cell r="A230" t="str">
            <v>SAN ANTON DE LAS MINAS</v>
          </cell>
          <cell r="B230" t="str">
            <v>11DPR0615Z</v>
          </cell>
          <cell r="C230" t="str">
            <v>X</v>
          </cell>
          <cell r="E230" t="str">
            <v>BENITO JUAREZ</v>
          </cell>
          <cell r="F230">
            <v>175</v>
          </cell>
          <cell r="G230">
            <v>15</v>
          </cell>
          <cell r="H230" t="str">
            <v>Dolores Hidalgo Cuna de la Independencia Nacional</v>
          </cell>
          <cell r="I230">
            <v>30000</v>
          </cell>
          <cell r="J230" t="str">
            <v>Multigrado</v>
          </cell>
          <cell r="K230" t="str">
            <v>SAN ANTON DE LAS MINAS</v>
          </cell>
          <cell r="L230">
            <v>0</v>
          </cell>
          <cell r="M230" t="str">
            <v>SAN ANTON DE LAS MINAS</v>
          </cell>
          <cell r="T230" t="e">
            <v>#REF!</v>
          </cell>
        </row>
        <row r="231">
          <cell r="A231" t="str">
            <v>XOCONOXTLE EL GRANDE</v>
          </cell>
          <cell r="B231" t="str">
            <v>11ETV0215A</v>
          </cell>
          <cell r="C231" t="str">
            <v>X</v>
          </cell>
          <cell r="E231" t="str">
            <v>TELESECUNDARIA NUM. 222</v>
          </cell>
          <cell r="F231">
            <v>509</v>
          </cell>
          <cell r="G231">
            <v>2</v>
          </cell>
          <cell r="H231" t="str">
            <v>Dolores Hidalgo Cuna de la Independencia Nacional</v>
          </cell>
          <cell r="I231">
            <v>85000</v>
          </cell>
          <cell r="J231" t="str">
            <v>Completa</v>
          </cell>
          <cell r="K231" t="str">
            <v>JOCONOXTLE EL GRANDE</v>
          </cell>
          <cell r="L231">
            <v>0</v>
          </cell>
          <cell r="M231" t="str">
            <v>XOCONOXTLE EL GRANDE</v>
          </cell>
          <cell r="T231" t="e">
            <v>#REF!</v>
          </cell>
        </row>
        <row r="232">
          <cell r="A232" t="str">
            <v>LA HACIENDITA</v>
          </cell>
          <cell r="B232" t="str">
            <v>11ETV1040I</v>
          </cell>
          <cell r="D232" t="str">
            <v>X</v>
          </cell>
          <cell r="E232" t="str">
            <v>TELESECUNDARIA NUM. 1040</v>
          </cell>
          <cell r="F232">
            <v>509</v>
          </cell>
          <cell r="G232">
            <v>2</v>
          </cell>
          <cell r="H232" t="str">
            <v>Dolores Hidalgo Cuna de la Independencia Nacional</v>
          </cell>
          <cell r="I232">
            <v>85000</v>
          </cell>
          <cell r="J232" t="str">
            <v>Completa</v>
          </cell>
          <cell r="K232" t="str">
            <v>LA HACIENDITA</v>
          </cell>
          <cell r="L232">
            <v>0</v>
          </cell>
          <cell r="M232" t="str">
            <v>LA HACIENDITA</v>
          </cell>
          <cell r="T232" t="e">
            <v>#REF!</v>
          </cell>
        </row>
        <row r="233">
          <cell r="A233" t="str">
            <v>SAN CRISTOBAL</v>
          </cell>
          <cell r="B233" t="str">
            <v>11DJN2555Y</v>
          </cell>
          <cell r="D233" t="str">
            <v>X</v>
          </cell>
          <cell r="E233" t="str">
            <v>GREGORIO TORRES QUINTERO</v>
          </cell>
          <cell r="F233">
            <v>87</v>
          </cell>
          <cell r="G233">
            <v>6</v>
          </cell>
          <cell r="H233" t="str">
            <v>Dolores Hidalgo Cuna de la Independencia Nacional</v>
          </cell>
          <cell r="I233">
            <v>30000</v>
          </cell>
          <cell r="J233" t="str">
            <v>Multigrado</v>
          </cell>
          <cell r="K233" t="str">
            <v>SAN CRISTOBAL</v>
          </cell>
          <cell r="L233">
            <v>0</v>
          </cell>
          <cell r="M233" t="str">
            <v>SAN CRISTOBAL</v>
          </cell>
          <cell r="T233" t="e">
            <v>#REF!</v>
          </cell>
        </row>
        <row r="234">
          <cell r="A234" t="str">
            <v>SAN ANTON DE LAS MINAS</v>
          </cell>
          <cell r="B234" t="str">
            <v>11DJN2874J</v>
          </cell>
          <cell r="D234" t="str">
            <v>X</v>
          </cell>
          <cell r="E234" t="str">
            <v>LAZARO CARDENAS DEL RIO</v>
          </cell>
          <cell r="F234">
            <v>87</v>
          </cell>
          <cell r="G234">
            <v>6</v>
          </cell>
          <cell r="H234" t="str">
            <v>Dolores Hidalgo Cuna de la Independencia Nacional</v>
          </cell>
          <cell r="I234">
            <v>30000</v>
          </cell>
          <cell r="J234" t="str">
            <v>Multigrado</v>
          </cell>
          <cell r="K234" t="str">
            <v>SAN ANTON DE LAS MINAS</v>
          </cell>
          <cell r="L234">
            <v>0</v>
          </cell>
          <cell r="M234" t="str">
            <v>SAN ANTON DE LAS MINAS</v>
          </cell>
          <cell r="T234" t="e">
            <v>#REF!</v>
          </cell>
        </row>
        <row r="235">
          <cell r="A235" t="str">
            <v>EL GUSANO</v>
          </cell>
          <cell r="B235" t="str">
            <v>11DJN3628G</v>
          </cell>
          <cell r="C235" t="str">
            <v>X</v>
          </cell>
          <cell r="E235" t="str">
            <v>FRANCISCO EDUARDO TRESGUERRAS</v>
          </cell>
          <cell r="F235">
            <v>87</v>
          </cell>
          <cell r="G235">
            <v>6</v>
          </cell>
          <cell r="H235" t="str">
            <v>Dolores Hidalgo Cuna de la Independencia Nacional</v>
          </cell>
          <cell r="I235">
            <v>30000</v>
          </cell>
          <cell r="J235" t="str">
            <v>Multigrado</v>
          </cell>
          <cell r="K235" t="str">
            <v>FRANCISCO I. MADERO S/N</v>
          </cell>
          <cell r="L235">
            <v>0</v>
          </cell>
          <cell r="M235" t="str">
            <v>EL GUSANO</v>
          </cell>
          <cell r="T235" t="e">
            <v>#REF!</v>
          </cell>
        </row>
        <row r="236">
          <cell r="A236" t="str">
            <v>LA CANTERA</v>
          </cell>
          <cell r="B236" t="str">
            <v>11DJN4489C</v>
          </cell>
          <cell r="D236" t="str">
            <v>X</v>
          </cell>
          <cell r="E236" t="str">
            <v>XOCHIMILCO</v>
          </cell>
          <cell r="F236">
            <v>87</v>
          </cell>
          <cell r="G236">
            <v>6</v>
          </cell>
          <cell r="H236" t="str">
            <v>Dolores Hidalgo Cuna de la Independencia Nacional</v>
          </cell>
          <cell r="I236">
            <v>30000</v>
          </cell>
          <cell r="J236" t="str">
            <v>Multigrado</v>
          </cell>
          <cell r="K236" t="str">
            <v>LA CANTERA 2</v>
          </cell>
          <cell r="L236" t="str">
            <v>NO APLICA</v>
          </cell>
          <cell r="M236" t="str">
            <v>LA CANTERA</v>
          </cell>
          <cell r="T236" t="e">
            <v>#REF!</v>
          </cell>
        </row>
        <row r="237">
          <cell r="A237" t="str">
            <v>RIO LAJA</v>
          </cell>
          <cell r="B237" t="str">
            <v>11DPR2888C</v>
          </cell>
          <cell r="D237" t="str">
            <v>X</v>
          </cell>
          <cell r="E237" t="str">
            <v>JUSTO SIERRA</v>
          </cell>
          <cell r="F237">
            <v>76</v>
          </cell>
          <cell r="G237">
            <v>15</v>
          </cell>
          <cell r="H237" t="str">
            <v>Dolores Hidalgo Cuna de la Independencia Nacional</v>
          </cell>
          <cell r="I237">
            <v>85000</v>
          </cell>
          <cell r="J237" t="str">
            <v>Completa</v>
          </cell>
          <cell r="K237" t="str">
            <v>RIO LAJA</v>
          </cell>
          <cell r="L237">
            <v>0</v>
          </cell>
          <cell r="M237" t="str">
            <v>RIO LAJA</v>
          </cell>
          <cell r="T237" t="e">
            <v>#REF!</v>
          </cell>
        </row>
        <row r="238">
          <cell r="A238" t="str">
            <v>LA COLORADA</v>
          </cell>
          <cell r="B238" t="str">
            <v>11EJN0309Z</v>
          </cell>
          <cell r="C238" t="str">
            <v>X</v>
          </cell>
          <cell r="E238" t="str">
            <v>JOSE ALFREDO JIMENEZ</v>
          </cell>
          <cell r="F238">
            <v>519</v>
          </cell>
          <cell r="G238">
            <v>7</v>
          </cell>
          <cell r="H238" t="str">
            <v>Dolores Hidalgo Cuna de la Independencia Nacional</v>
          </cell>
          <cell r="I238">
            <v>30000</v>
          </cell>
          <cell r="J238" t="str">
            <v>Multigrado</v>
          </cell>
          <cell r="K238" t="str">
            <v>LA COLORADA</v>
          </cell>
          <cell r="L238">
            <v>0</v>
          </cell>
          <cell r="M238" t="str">
            <v>LA COLORADA</v>
          </cell>
          <cell r="T238" t="e">
            <v>#REF!</v>
          </cell>
        </row>
        <row r="239">
          <cell r="A239" t="str">
            <v>TRANCAS</v>
          </cell>
          <cell r="B239" t="str">
            <v>11ETV0216Z</v>
          </cell>
          <cell r="C239" t="str">
            <v>X</v>
          </cell>
          <cell r="E239" t="str">
            <v>TELESECUNDARIA NUM. 223</v>
          </cell>
          <cell r="F239">
            <v>509</v>
          </cell>
          <cell r="G239">
            <v>2</v>
          </cell>
          <cell r="H239" t="str">
            <v>Dolores Hidalgo Cuna de la Independencia Nacional</v>
          </cell>
          <cell r="I239">
            <v>85000</v>
          </cell>
          <cell r="J239" t="str">
            <v>Completa</v>
          </cell>
          <cell r="K239" t="str">
            <v>TRANCAS</v>
          </cell>
          <cell r="L239">
            <v>0</v>
          </cell>
          <cell r="M239" t="str">
            <v>TRANCAS</v>
          </cell>
          <cell r="T239" t="e">
            <v>#REF!</v>
          </cell>
        </row>
        <row r="240">
          <cell r="A240" t="str">
            <v>SAN JOSE DE LA PALMA</v>
          </cell>
          <cell r="B240" t="str">
            <v>11ETV0512A</v>
          </cell>
          <cell r="C240" t="str">
            <v>X</v>
          </cell>
          <cell r="E240" t="str">
            <v>TELESECUNDARIA NUM. 489</v>
          </cell>
          <cell r="F240">
            <v>509</v>
          </cell>
          <cell r="G240">
            <v>2</v>
          </cell>
          <cell r="H240" t="str">
            <v>Dolores Hidalgo Cuna de la Independencia Nacional</v>
          </cell>
          <cell r="I240">
            <v>85000</v>
          </cell>
          <cell r="J240" t="str">
            <v>Completa</v>
          </cell>
          <cell r="K240" t="str">
            <v>SAN JOSE DE LA PALMA</v>
          </cell>
          <cell r="L240">
            <v>0</v>
          </cell>
          <cell r="M240" t="str">
            <v>SAN JOSE DE LA PALMA</v>
          </cell>
          <cell r="T240" t="e">
            <v>#REF!</v>
          </cell>
        </row>
        <row r="241">
          <cell r="A241" t="str">
            <v>LA VENTILLA</v>
          </cell>
          <cell r="B241" t="str">
            <v>11DJN2554Z</v>
          </cell>
          <cell r="D241" t="str">
            <v>X</v>
          </cell>
          <cell r="E241" t="str">
            <v>GUISEPPINA PIZZIGONI</v>
          </cell>
          <cell r="F241">
            <v>87</v>
          </cell>
          <cell r="G241">
            <v>6</v>
          </cell>
          <cell r="H241" t="str">
            <v>Dolores Hidalgo Cuna de la Independencia Nacional</v>
          </cell>
          <cell r="I241">
            <v>30000</v>
          </cell>
          <cell r="J241" t="str">
            <v>Multigrado</v>
          </cell>
          <cell r="K241" t="str">
            <v>LA VENTILLA</v>
          </cell>
          <cell r="L241">
            <v>0</v>
          </cell>
          <cell r="M241" t="str">
            <v>LA VENTILLA</v>
          </cell>
          <cell r="T241" t="e">
            <v>#REF!</v>
          </cell>
        </row>
        <row r="242">
          <cell r="A242" t="str">
            <v>RIO LAJA</v>
          </cell>
          <cell r="B242" t="str">
            <v>11DPR1792J</v>
          </cell>
          <cell r="D242" t="str">
            <v>X</v>
          </cell>
          <cell r="E242" t="str">
            <v>LAZARO CARDENAS</v>
          </cell>
          <cell r="F242">
            <v>76</v>
          </cell>
          <cell r="G242">
            <v>15</v>
          </cell>
          <cell r="H242" t="str">
            <v>Dolores Hidalgo Cuna de la Independencia Nacional</v>
          </cell>
          <cell r="I242">
            <v>85000</v>
          </cell>
          <cell r="J242" t="str">
            <v>Completa</v>
          </cell>
          <cell r="K242" t="str">
            <v>RIO LAJA</v>
          </cell>
          <cell r="L242">
            <v>0</v>
          </cell>
          <cell r="M242" t="str">
            <v>RIO LAJA</v>
          </cell>
          <cell r="T242" t="e">
            <v>#REF!</v>
          </cell>
        </row>
        <row r="243">
          <cell r="A243" t="str">
            <v>EL JALTOMATE</v>
          </cell>
          <cell r="B243" t="str">
            <v>11EPR0097D</v>
          </cell>
          <cell r="C243" t="str">
            <v>X</v>
          </cell>
          <cell r="E243" t="str">
            <v>JUAN DE LA BARRERA</v>
          </cell>
          <cell r="F243">
            <v>510</v>
          </cell>
          <cell r="G243">
            <v>5</v>
          </cell>
          <cell r="H243" t="str">
            <v>Dolores Hidalgo Cuna de la Independencia Nacional</v>
          </cell>
          <cell r="I243">
            <v>85000</v>
          </cell>
          <cell r="J243" t="str">
            <v>Completa</v>
          </cell>
          <cell r="K243" t="str">
            <v>CARRETERA SAN LUIS DE LA PAZ KILOMETRO 27</v>
          </cell>
          <cell r="L243">
            <v>0</v>
          </cell>
          <cell r="M243" t="str">
            <v>EL JALTOMATE</v>
          </cell>
          <cell r="T243" t="e">
            <v>#REF!</v>
          </cell>
        </row>
        <row r="244">
          <cell r="A244" t="str">
            <v>SAN PEDRO DE LA SIERRA</v>
          </cell>
          <cell r="B244" t="str">
            <v>11ETV0817T</v>
          </cell>
          <cell r="C244" t="str">
            <v>X</v>
          </cell>
          <cell r="E244" t="str">
            <v>TELESECUNDARIA NUM. 817</v>
          </cell>
          <cell r="F244">
            <v>509</v>
          </cell>
          <cell r="G244">
            <v>2</v>
          </cell>
          <cell r="H244" t="str">
            <v>Dolores Hidalgo Cuna de la Independencia Nacional</v>
          </cell>
          <cell r="I244">
            <v>30000</v>
          </cell>
          <cell r="J244" t="str">
            <v>Multigrado</v>
          </cell>
          <cell r="K244" t="str">
            <v>SAN PEDRO DE LA SIERRA</v>
          </cell>
          <cell r="L244">
            <v>0</v>
          </cell>
          <cell r="M244" t="str">
            <v>SAN PEDRO DE LA SIERRA</v>
          </cell>
          <cell r="T244" t="e">
            <v>#REF!</v>
          </cell>
        </row>
        <row r="245">
          <cell r="A245" t="str">
            <v>LA TRINIDAD</v>
          </cell>
          <cell r="B245" t="str">
            <v>11ETV0572P</v>
          </cell>
          <cell r="D245" t="str">
            <v>X</v>
          </cell>
          <cell r="E245" t="str">
            <v>TELESECUNDARIA NUM. 568</v>
          </cell>
          <cell r="F245">
            <v>509</v>
          </cell>
          <cell r="G245">
            <v>2</v>
          </cell>
          <cell r="H245" t="str">
            <v>Dolores Hidalgo Cuna de la Independencia Nacional</v>
          </cell>
          <cell r="I245">
            <v>85000</v>
          </cell>
          <cell r="J245" t="str">
            <v>Completa</v>
          </cell>
          <cell r="K245" t="str">
            <v>LA TRINIDAD</v>
          </cell>
          <cell r="L245">
            <v>0</v>
          </cell>
          <cell r="M245" t="str">
            <v>LA TRINIDAD</v>
          </cell>
          <cell r="T245" t="e">
            <v>#REF!</v>
          </cell>
        </row>
        <row r="246">
          <cell r="A246" t="str">
            <v>LA CANTERA</v>
          </cell>
          <cell r="B246" t="str">
            <v>11ETV0999S</v>
          </cell>
          <cell r="C246" t="str">
            <v>X</v>
          </cell>
          <cell r="E246" t="str">
            <v>TELESECUNDARIA NUM. 999</v>
          </cell>
          <cell r="F246">
            <v>509</v>
          </cell>
          <cell r="G246">
            <v>2</v>
          </cell>
          <cell r="H246" t="str">
            <v>Dolores Hidalgo Cuna de la Independencia Nacional</v>
          </cell>
          <cell r="I246">
            <v>85000</v>
          </cell>
          <cell r="J246" t="str">
            <v>Completa</v>
          </cell>
          <cell r="K246" t="str">
            <v>LA CANTERA 2</v>
          </cell>
          <cell r="L246">
            <v>0</v>
          </cell>
          <cell r="M246" t="str">
            <v>LA CANTERA</v>
          </cell>
          <cell r="T246" t="e">
            <v>#REF!</v>
          </cell>
        </row>
        <row r="247">
          <cell r="A247" t="str">
            <v>DOLORES HIDALGO CUNA DE LA INDEPENDENCIA NAL.</v>
          </cell>
          <cell r="B247" t="str">
            <v>11DPR2513P</v>
          </cell>
          <cell r="D247" t="str">
            <v>X</v>
          </cell>
          <cell r="E247" t="str">
            <v>FRANCISCO VILLA</v>
          </cell>
          <cell r="F247">
            <v>76</v>
          </cell>
          <cell r="G247">
            <v>15</v>
          </cell>
          <cell r="H247" t="str">
            <v>Dolores Hidalgo Cuna de la Independencia Nacional</v>
          </cell>
          <cell r="I247">
            <v>85000</v>
          </cell>
          <cell r="J247" t="str">
            <v>Completa</v>
          </cell>
          <cell r="K247" t="str">
            <v>AVENIDA HIDALGO NUM. 4</v>
          </cell>
          <cell r="L247" t="str">
            <v>LINDAVISTA</v>
          </cell>
          <cell r="M247" t="str">
            <v>DOLORES HIDALGO CUNA DE LA INDEPENDENCIA NAL.</v>
          </cell>
          <cell r="T247" t="e">
            <v>#REF!</v>
          </cell>
        </row>
        <row r="248">
          <cell r="A248" t="str">
            <v>SANTA BARBARA</v>
          </cell>
          <cell r="B248" t="str">
            <v>11ETV0997U</v>
          </cell>
          <cell r="C248" t="str">
            <v>X</v>
          </cell>
          <cell r="E248" t="str">
            <v>TELESECUNDARIA NUM. 997</v>
          </cell>
          <cell r="F248">
            <v>509</v>
          </cell>
          <cell r="G248">
            <v>2</v>
          </cell>
          <cell r="H248" t="str">
            <v>Dolores Hidalgo Cuna de la Independencia Nacional</v>
          </cell>
          <cell r="I248">
            <v>85000</v>
          </cell>
          <cell r="J248" t="str">
            <v>Completa</v>
          </cell>
          <cell r="K248" t="str">
            <v>SANTA BARBARA</v>
          </cell>
          <cell r="L248">
            <v>0</v>
          </cell>
          <cell r="M248" t="str">
            <v>SANTA BARBARA</v>
          </cell>
          <cell r="T248" t="e">
            <v>#REF!</v>
          </cell>
        </row>
        <row r="249">
          <cell r="A249" t="str">
            <v>DELGADILLO</v>
          </cell>
          <cell r="B249" t="str">
            <v>11EJN0712J</v>
          </cell>
          <cell r="D249" t="str">
            <v>X</v>
          </cell>
          <cell r="E249" t="str">
            <v>CUAUTITLAN</v>
          </cell>
          <cell r="F249">
            <v>519</v>
          </cell>
          <cell r="G249">
            <v>7</v>
          </cell>
          <cell r="H249" t="str">
            <v>Dolores Hidalgo Cuna de la Independencia Nacional</v>
          </cell>
          <cell r="I249">
            <v>30000</v>
          </cell>
          <cell r="J249" t="str">
            <v>Multigrado</v>
          </cell>
          <cell r="K249" t="str">
            <v>DELGADILLO</v>
          </cell>
          <cell r="L249">
            <v>0</v>
          </cell>
          <cell r="M249" t="str">
            <v>DELGADILLO</v>
          </cell>
          <cell r="T249" t="e">
            <v>#REF!</v>
          </cell>
        </row>
        <row r="250">
          <cell r="A250" t="str">
            <v>EL REFUGIO DE TRANCAS</v>
          </cell>
          <cell r="B250" t="str">
            <v>11ETV0517W</v>
          </cell>
          <cell r="D250" t="str">
            <v>X</v>
          </cell>
          <cell r="E250" t="str">
            <v>TELESECUNDARIA NUM. 501</v>
          </cell>
          <cell r="F250">
            <v>509</v>
          </cell>
          <cell r="G250">
            <v>2</v>
          </cell>
          <cell r="H250" t="str">
            <v>Dolores Hidalgo Cuna de la Independencia Nacional</v>
          </cell>
          <cell r="I250">
            <v>85000</v>
          </cell>
          <cell r="J250" t="str">
            <v>Completa</v>
          </cell>
          <cell r="K250" t="str">
            <v>EL REFUGIO</v>
          </cell>
          <cell r="L250">
            <v>0</v>
          </cell>
          <cell r="M250" t="str">
            <v>EL REFUGIO DE TRANCAS</v>
          </cell>
          <cell r="T250" t="e">
            <v>#REF!</v>
          </cell>
        </row>
        <row r="251">
          <cell r="A251" t="str">
            <v>EL GALLINERO</v>
          </cell>
          <cell r="B251" t="str">
            <v>11DPR2662X</v>
          </cell>
          <cell r="C251" t="str">
            <v>X</v>
          </cell>
          <cell r="E251" t="str">
            <v>FRANCISCO JAVIER MINA</v>
          </cell>
          <cell r="F251">
            <v>76</v>
          </cell>
          <cell r="G251">
            <v>15</v>
          </cell>
          <cell r="H251" t="str">
            <v>Dolores Hidalgo Cuna de la Independencia Nacional</v>
          </cell>
          <cell r="I251">
            <v>30000</v>
          </cell>
          <cell r="J251" t="str">
            <v>Multigrado</v>
          </cell>
          <cell r="K251" t="str">
            <v>SAN ANTONIO DEL GALLINERO</v>
          </cell>
          <cell r="L251">
            <v>0</v>
          </cell>
          <cell r="M251" t="str">
            <v>EL GALLINERO</v>
          </cell>
          <cell r="T251" t="e">
            <v>#REF!</v>
          </cell>
        </row>
        <row r="252">
          <cell r="A252" t="str">
            <v>OJO DE AGUA DE CERVANTES</v>
          </cell>
          <cell r="B252" t="str">
            <v>11ETV0953X</v>
          </cell>
          <cell r="C252" t="str">
            <v>X</v>
          </cell>
          <cell r="E252" t="str">
            <v>TELESECUNDARIA</v>
          </cell>
          <cell r="F252">
            <v>509</v>
          </cell>
          <cell r="G252">
            <v>2</v>
          </cell>
          <cell r="H252" t="str">
            <v>Dolores Hidalgo Cuna de la Independencia Nacional</v>
          </cell>
          <cell r="I252">
            <v>85000</v>
          </cell>
          <cell r="J252" t="str">
            <v>Completa</v>
          </cell>
          <cell r="K252" t="str">
            <v>OJO DE AGUA DE CERVANTES</v>
          </cell>
          <cell r="L252">
            <v>0</v>
          </cell>
          <cell r="M252" t="str">
            <v>OJO DE AGUA DE CERVANTES</v>
          </cell>
          <cell r="T252" t="e">
            <v>#REF!</v>
          </cell>
        </row>
        <row r="253">
          <cell r="A253" t="str">
            <v>LAS YERBAS</v>
          </cell>
          <cell r="B253" t="str">
            <v>11DPR1656F</v>
          </cell>
          <cell r="C253" t="str">
            <v>X</v>
          </cell>
          <cell r="E253" t="str">
            <v>PEDRO MORENO</v>
          </cell>
          <cell r="F253">
            <v>76</v>
          </cell>
          <cell r="G253">
            <v>15</v>
          </cell>
          <cell r="H253" t="str">
            <v>Dolores Hidalgo Cuna de la Independencia Nacional</v>
          </cell>
          <cell r="I253">
            <v>85000</v>
          </cell>
          <cell r="J253" t="str">
            <v>Completa</v>
          </cell>
          <cell r="K253" t="str">
            <v>LAS YERBAS</v>
          </cell>
          <cell r="L253">
            <v>0</v>
          </cell>
          <cell r="M253" t="str">
            <v>LAS YERBAS</v>
          </cell>
          <cell r="T253" t="e">
            <v>#REF!</v>
          </cell>
        </row>
        <row r="254">
          <cell r="A254" t="str">
            <v>LA PIEDRA</v>
          </cell>
          <cell r="B254" t="str">
            <v>11EJN1218P</v>
          </cell>
          <cell r="D254" t="str">
            <v>X</v>
          </cell>
          <cell r="E254" t="str">
            <v>JARDIN DE NIÑOS</v>
          </cell>
          <cell r="F254">
            <v>519</v>
          </cell>
          <cell r="G254">
            <v>7</v>
          </cell>
          <cell r="H254" t="str">
            <v>Dolores Hidalgo Cuna de la Independencia Nacional</v>
          </cell>
          <cell r="I254">
            <v>30000</v>
          </cell>
          <cell r="J254" t="str">
            <v>Multigrado</v>
          </cell>
          <cell r="K254" t="str">
            <v>LA PIEDRA</v>
          </cell>
          <cell r="L254">
            <v>0</v>
          </cell>
          <cell r="M254" t="str">
            <v>LA PIEDRA</v>
          </cell>
          <cell r="T254" t="e">
            <v>#REF!</v>
          </cell>
        </row>
        <row r="255">
          <cell r="A255" t="str">
            <v>SAN CRISTOBAL</v>
          </cell>
          <cell r="B255" t="str">
            <v>11ETV0484V</v>
          </cell>
          <cell r="C255" t="str">
            <v>X</v>
          </cell>
          <cell r="E255" t="str">
            <v>TELESECUNDARIA NUM. 467</v>
          </cell>
          <cell r="F255">
            <v>509</v>
          </cell>
          <cell r="G255">
            <v>2</v>
          </cell>
          <cell r="H255" t="str">
            <v>Dolores Hidalgo Cuna de la Independencia Nacional</v>
          </cell>
          <cell r="I255">
            <v>85000</v>
          </cell>
          <cell r="J255" t="str">
            <v>Completa</v>
          </cell>
          <cell r="K255" t="str">
            <v>SAN CRISTOBAL</v>
          </cell>
          <cell r="L255">
            <v>0</v>
          </cell>
          <cell r="M255" t="str">
            <v>SAN CRISTOBAL</v>
          </cell>
          <cell r="T255" t="e">
            <v>#REF!</v>
          </cell>
        </row>
        <row r="256">
          <cell r="A256" t="str">
            <v>LA CANTERA</v>
          </cell>
          <cell r="B256" t="str">
            <v>11ETV0633M</v>
          </cell>
          <cell r="D256" t="str">
            <v>X</v>
          </cell>
          <cell r="E256" t="str">
            <v>TELESECUNDARIA NUM. 642</v>
          </cell>
          <cell r="F256">
            <v>509</v>
          </cell>
          <cell r="G256">
            <v>2</v>
          </cell>
          <cell r="H256" t="str">
            <v>Dolores Hidalgo Cuna de la Independencia Nacional</v>
          </cell>
          <cell r="I256">
            <v>85000</v>
          </cell>
          <cell r="J256" t="str">
            <v>Completa</v>
          </cell>
          <cell r="K256" t="str">
            <v>LA CANTERA 1</v>
          </cell>
          <cell r="L256">
            <v>0</v>
          </cell>
          <cell r="M256" t="str">
            <v>LA CANTERA</v>
          </cell>
          <cell r="T256" t="e">
            <v>#REF!</v>
          </cell>
        </row>
        <row r="257">
          <cell r="A257" t="str">
            <v>EL TECOLOTE</v>
          </cell>
          <cell r="B257" t="str">
            <v>11ETV0818S</v>
          </cell>
          <cell r="D257" t="str">
            <v>X</v>
          </cell>
          <cell r="E257" t="str">
            <v>TELESECUNDARIA NUM. 818</v>
          </cell>
          <cell r="F257">
            <v>509</v>
          </cell>
          <cell r="G257">
            <v>2</v>
          </cell>
          <cell r="H257" t="str">
            <v>Dolores Hidalgo Cuna de la Independencia Nacional</v>
          </cell>
          <cell r="I257">
            <v>30000</v>
          </cell>
          <cell r="J257" t="str">
            <v>Multigrado</v>
          </cell>
          <cell r="K257" t="str">
            <v>EL TECOLOTE</v>
          </cell>
          <cell r="L257">
            <v>0</v>
          </cell>
          <cell r="M257" t="str">
            <v>EL TECOLOTE</v>
          </cell>
          <cell r="T257" t="e">
            <v>#REF!</v>
          </cell>
        </row>
        <row r="258">
          <cell r="A258" t="str">
            <v>LOS QUIOTES</v>
          </cell>
          <cell r="B258" t="str">
            <v>11ETV0952Y</v>
          </cell>
          <cell r="D258" t="str">
            <v>X</v>
          </cell>
          <cell r="E258" t="str">
            <v>TELESECUNDARIA</v>
          </cell>
          <cell r="F258">
            <v>509</v>
          </cell>
          <cell r="G258">
            <v>2</v>
          </cell>
          <cell r="H258" t="str">
            <v>Dolores Hidalgo Cuna de la Independencia Nacional</v>
          </cell>
          <cell r="I258">
            <v>30000</v>
          </cell>
          <cell r="J258" t="str">
            <v>Multigrado</v>
          </cell>
          <cell r="K258" t="str">
            <v>LOS QUIOTES</v>
          </cell>
          <cell r="L258">
            <v>0</v>
          </cell>
          <cell r="M258" t="str">
            <v>LOS QUIOTES</v>
          </cell>
          <cell r="T258" t="e">
            <v>#REF!</v>
          </cell>
        </row>
        <row r="259">
          <cell r="A259" t="str">
            <v>DOLORES HIDALGO CUNA DE LA INDEPENDENCIA NAL.</v>
          </cell>
          <cell r="B259" t="str">
            <v>11EJN0197M</v>
          </cell>
          <cell r="C259" t="str">
            <v>X</v>
          </cell>
          <cell r="E259" t="str">
            <v>VIRGINIA SOTO RODRIGUEZ</v>
          </cell>
          <cell r="F259">
            <v>519</v>
          </cell>
          <cell r="G259">
            <v>7</v>
          </cell>
          <cell r="H259" t="str">
            <v>Dolores Hidalgo Cuna de la Independencia Nacional</v>
          </cell>
          <cell r="I259">
            <v>85000</v>
          </cell>
          <cell r="J259" t="str">
            <v>Completa</v>
          </cell>
          <cell r="K259" t="str">
            <v>GUANAJUATO NUM. 10</v>
          </cell>
          <cell r="L259">
            <v>0</v>
          </cell>
          <cell r="M259" t="str">
            <v>DOLORES HIDALGO CUNA DE LA INDEPENDENCIA NAL.</v>
          </cell>
          <cell r="T259" t="e">
            <v>#REF!</v>
          </cell>
        </row>
        <row r="260">
          <cell r="A260" t="str">
            <v>PAREDONES</v>
          </cell>
          <cell r="B260" t="str">
            <v>11ETV0816U</v>
          </cell>
          <cell r="D260" t="str">
            <v>X</v>
          </cell>
          <cell r="E260" t="str">
            <v>TELESECUNDARIA NUM. 816</v>
          </cell>
          <cell r="F260">
            <v>509</v>
          </cell>
          <cell r="G260">
            <v>2</v>
          </cell>
          <cell r="H260" t="str">
            <v>Dolores Hidalgo Cuna de la Independencia Nacional</v>
          </cell>
          <cell r="I260">
            <v>85000</v>
          </cell>
          <cell r="J260" t="str">
            <v>Completa</v>
          </cell>
          <cell r="K260" t="str">
            <v>PAREDONES</v>
          </cell>
          <cell r="L260">
            <v>0</v>
          </cell>
          <cell r="M260" t="str">
            <v>PAREDONES</v>
          </cell>
          <cell r="T260" t="e">
            <v>#REF!</v>
          </cell>
        </row>
        <row r="261">
          <cell r="A261" t="str">
            <v>SAN MARTIN DE TERREROS (SAN MARTIN)</v>
          </cell>
          <cell r="B261" t="str">
            <v>11ETV1028N</v>
          </cell>
          <cell r="D261" t="str">
            <v>X</v>
          </cell>
          <cell r="E261" t="str">
            <v>TELESECUNDARIA NUM. 1028</v>
          </cell>
          <cell r="F261">
            <v>509</v>
          </cell>
          <cell r="G261">
            <v>2</v>
          </cell>
          <cell r="H261" t="str">
            <v>Dolores Hidalgo Cuna de la Independencia Nacional</v>
          </cell>
          <cell r="I261">
            <v>85000</v>
          </cell>
          <cell r="J261" t="str">
            <v>Completa</v>
          </cell>
          <cell r="K261" t="str">
            <v>SAN MARTIN DE TERREROS</v>
          </cell>
          <cell r="L261">
            <v>0</v>
          </cell>
          <cell r="M261" t="str">
            <v>SAN MARTIN DE TERREROS (SAN MARTIN)</v>
          </cell>
          <cell r="T261" t="e">
            <v>#REF!</v>
          </cell>
        </row>
        <row r="262">
          <cell r="A262" t="str">
            <v>EL RINCON (RINCON DEL ESTAÑO)</v>
          </cell>
          <cell r="B262" t="str">
            <v>11ETV1041H</v>
          </cell>
          <cell r="D262" t="str">
            <v>X</v>
          </cell>
          <cell r="E262" t="str">
            <v>TELESECUNDARIA NUM. 1041</v>
          </cell>
          <cell r="F262">
            <v>509</v>
          </cell>
          <cell r="G262">
            <v>2</v>
          </cell>
          <cell r="H262" t="str">
            <v>Dolores Hidalgo Cuna de la Independencia Nacional</v>
          </cell>
          <cell r="I262">
            <v>30000</v>
          </cell>
          <cell r="J262" t="str">
            <v>Multigrado</v>
          </cell>
          <cell r="K262" t="str">
            <v>EL RINCON</v>
          </cell>
          <cell r="L262">
            <v>0</v>
          </cell>
          <cell r="M262" t="str">
            <v>EL RINCON (RINCON DEL ESTAÑO)</v>
          </cell>
          <cell r="T262" t="e">
            <v>#REF!</v>
          </cell>
        </row>
        <row r="263">
          <cell r="A263" t="str">
            <v>GUANAJUATO</v>
          </cell>
          <cell r="B263" t="str">
            <v>11DPR0557Z</v>
          </cell>
          <cell r="C263" t="str">
            <v>X</v>
          </cell>
          <cell r="E263" t="str">
            <v>VICENTE GUERRERO</v>
          </cell>
          <cell r="F263">
            <v>30</v>
          </cell>
          <cell r="G263">
            <v>1</v>
          </cell>
          <cell r="H263" t="str">
            <v>Guanajuato</v>
          </cell>
          <cell r="I263">
            <v>30000</v>
          </cell>
          <cell r="J263" t="str">
            <v>Multigrado</v>
          </cell>
          <cell r="K263" t="str">
            <v>CAMINO CARRETERO NUM. 18-BIS</v>
          </cell>
          <cell r="L263">
            <v>0</v>
          </cell>
          <cell r="M263" t="str">
            <v>GUANAJUATO</v>
          </cell>
          <cell r="T263" t="e">
            <v>#REF!</v>
          </cell>
        </row>
        <row r="264">
          <cell r="A264" t="str">
            <v>GUANAJUATO</v>
          </cell>
          <cell r="B264" t="str">
            <v>11DPR1626L</v>
          </cell>
          <cell r="C264" t="str">
            <v>X</v>
          </cell>
          <cell r="E264" t="str">
            <v>MARIANO JIMENEZ</v>
          </cell>
          <cell r="F264">
            <v>75</v>
          </cell>
          <cell r="G264">
            <v>1</v>
          </cell>
          <cell r="H264" t="str">
            <v>Guanajuato</v>
          </cell>
          <cell r="I264">
            <v>20000</v>
          </cell>
          <cell r="J264" t="str">
            <v>Multigrado</v>
          </cell>
          <cell r="K264" t="str">
            <v>MINERAL DE MELLADO</v>
          </cell>
          <cell r="L264">
            <v>0</v>
          </cell>
          <cell r="M264" t="str">
            <v>GUANAJUATO</v>
          </cell>
          <cell r="T264" t="e">
            <v>#REF!</v>
          </cell>
        </row>
        <row r="265">
          <cell r="A265" t="str">
            <v>GUANAJUATO</v>
          </cell>
          <cell r="B265" t="str">
            <v>11DPR1827I</v>
          </cell>
          <cell r="C265" t="str">
            <v>X</v>
          </cell>
          <cell r="E265" t="str">
            <v>INSURGENTE PIPILA</v>
          </cell>
          <cell r="F265">
            <v>75</v>
          </cell>
          <cell r="G265">
            <v>1</v>
          </cell>
          <cell r="H265" t="str">
            <v>Guanajuato</v>
          </cell>
          <cell r="I265">
            <v>85000</v>
          </cell>
          <cell r="J265" t="str">
            <v>Completa</v>
          </cell>
          <cell r="K265" t="str">
            <v>PUEBLITO DE ROCHA NUM. 54-BIS</v>
          </cell>
          <cell r="L265">
            <v>0</v>
          </cell>
          <cell r="M265" t="str">
            <v>GUANAJUATO</v>
          </cell>
          <cell r="T265" t="e">
            <v>#REF!</v>
          </cell>
        </row>
        <row r="266">
          <cell r="A266" t="str">
            <v>GUANAJUATO</v>
          </cell>
          <cell r="B266" t="str">
            <v>11DPR2234E</v>
          </cell>
          <cell r="C266" t="str">
            <v>X</v>
          </cell>
          <cell r="E266" t="str">
            <v>GREGORIO TORRES QUINTERO</v>
          </cell>
          <cell r="F266">
            <v>75</v>
          </cell>
          <cell r="G266">
            <v>1</v>
          </cell>
          <cell r="H266" t="str">
            <v>Guanajuato</v>
          </cell>
          <cell r="I266">
            <v>85000</v>
          </cell>
          <cell r="J266" t="str">
            <v>Completa</v>
          </cell>
          <cell r="K266" t="str">
            <v>PUEBLITO DE ROCHA NUM. 54-BIS</v>
          </cell>
          <cell r="L266">
            <v>0</v>
          </cell>
          <cell r="M266" t="str">
            <v>GUANAJUATO</v>
          </cell>
          <cell r="T266" t="e">
            <v>#REF!</v>
          </cell>
        </row>
        <row r="267">
          <cell r="A267" t="str">
            <v>EL TEJABAN</v>
          </cell>
          <cell r="B267" t="str">
            <v>11DPR1667L</v>
          </cell>
          <cell r="C267" t="str">
            <v>X</v>
          </cell>
          <cell r="E267" t="str">
            <v>HEROES DE CHAPULTEPEC</v>
          </cell>
          <cell r="F267">
            <v>1</v>
          </cell>
          <cell r="G267">
            <v>1</v>
          </cell>
          <cell r="H267" t="str">
            <v>Guanajuato</v>
          </cell>
          <cell r="I267">
            <v>70000</v>
          </cell>
          <cell r="J267" t="str">
            <v>Completa</v>
          </cell>
          <cell r="K267" t="str">
            <v>EL TEJABAN</v>
          </cell>
          <cell r="L267">
            <v>0</v>
          </cell>
          <cell r="M267" t="str">
            <v>EL TEJABAN</v>
          </cell>
          <cell r="T267" t="e">
            <v>#REF!</v>
          </cell>
        </row>
        <row r="268">
          <cell r="A268" t="str">
            <v>MINERAL DEL CUBO (EL CUBO)</v>
          </cell>
          <cell r="B268" t="str">
            <v>11DPR0977I</v>
          </cell>
          <cell r="D268" t="str">
            <v>X</v>
          </cell>
          <cell r="E268" t="str">
            <v>MIGUEL HIDALGO</v>
          </cell>
          <cell r="F268">
            <v>75</v>
          </cell>
          <cell r="G268">
            <v>1</v>
          </cell>
          <cell r="H268" t="str">
            <v>Guanajuato</v>
          </cell>
          <cell r="I268">
            <v>20000</v>
          </cell>
          <cell r="J268" t="str">
            <v>Multigrado</v>
          </cell>
          <cell r="K268" t="str">
            <v>MINERAL DEL CUBO</v>
          </cell>
          <cell r="L268">
            <v>0</v>
          </cell>
          <cell r="M268" t="str">
            <v>MINERAL DEL CUBO (EL CUBO)</v>
          </cell>
          <cell r="T268" t="e">
            <v>#REF!</v>
          </cell>
        </row>
        <row r="269">
          <cell r="A269" t="str">
            <v>LA SAUCEDA (SANTA FE DE GUADALUPE)</v>
          </cell>
          <cell r="B269" t="str">
            <v>11DPR1677S</v>
          </cell>
          <cell r="C269" t="str">
            <v>X</v>
          </cell>
          <cell r="E269" t="str">
            <v>AURELIANO ESQUIVEL</v>
          </cell>
          <cell r="F269">
            <v>75</v>
          </cell>
          <cell r="G269">
            <v>1</v>
          </cell>
          <cell r="H269" t="str">
            <v>Guanajuato</v>
          </cell>
          <cell r="I269">
            <v>85000</v>
          </cell>
          <cell r="J269" t="str">
            <v>Completa</v>
          </cell>
          <cell r="K269" t="str">
            <v>LA SAUCEDA</v>
          </cell>
          <cell r="L269">
            <v>0</v>
          </cell>
          <cell r="M269" t="str">
            <v>LA SAUCEDA (SANTA FE DE GUADALUPE)</v>
          </cell>
          <cell r="T269" t="e">
            <v>#REF!</v>
          </cell>
        </row>
        <row r="270">
          <cell r="A270" t="str">
            <v>ROSA DE CASTILLA</v>
          </cell>
          <cell r="B270" t="str">
            <v>11DPR1931U</v>
          </cell>
          <cell r="C270" t="str">
            <v>X</v>
          </cell>
          <cell r="E270" t="str">
            <v>JUAN ALDAMA</v>
          </cell>
          <cell r="F270">
            <v>75</v>
          </cell>
          <cell r="G270">
            <v>1</v>
          </cell>
          <cell r="H270" t="str">
            <v>Guanajuato</v>
          </cell>
          <cell r="I270">
            <v>20000</v>
          </cell>
          <cell r="J270" t="str">
            <v>Multigrado</v>
          </cell>
          <cell r="K270" t="str">
            <v>ROSA DE CASTILLA</v>
          </cell>
          <cell r="L270">
            <v>0</v>
          </cell>
          <cell r="M270" t="str">
            <v>ROSA DE CASTILLA</v>
          </cell>
          <cell r="T270" t="e">
            <v>#REF!</v>
          </cell>
        </row>
        <row r="271">
          <cell r="A271" t="str">
            <v>LOS NICOLASES</v>
          </cell>
          <cell r="B271" t="str">
            <v>11DPR1960P</v>
          </cell>
          <cell r="D271" t="str">
            <v>X</v>
          </cell>
          <cell r="E271" t="str">
            <v>CATALINA D ERZELL</v>
          </cell>
          <cell r="F271">
            <v>30</v>
          </cell>
          <cell r="G271">
            <v>1</v>
          </cell>
          <cell r="H271" t="str">
            <v>Guanajuato</v>
          </cell>
          <cell r="I271">
            <v>85000</v>
          </cell>
          <cell r="J271" t="str">
            <v>Completa</v>
          </cell>
          <cell r="K271" t="str">
            <v>LOS NICOLASES</v>
          </cell>
          <cell r="L271">
            <v>0</v>
          </cell>
          <cell r="M271" t="str">
            <v>LOS NICOLASES</v>
          </cell>
          <cell r="T271" t="e">
            <v>#REF!</v>
          </cell>
        </row>
        <row r="272">
          <cell r="A272" t="str">
            <v>GUANAJUATO</v>
          </cell>
          <cell r="B272" t="str">
            <v>11EJN0094Q</v>
          </cell>
          <cell r="C272" t="str">
            <v>X</v>
          </cell>
          <cell r="E272" t="str">
            <v>MARIA MONTESSORI</v>
          </cell>
          <cell r="F272">
            <v>507</v>
          </cell>
          <cell r="G272">
            <v>5</v>
          </cell>
          <cell r="H272" t="str">
            <v>Guanajuato</v>
          </cell>
          <cell r="I272">
            <v>85000</v>
          </cell>
          <cell r="J272" t="str">
            <v>Completa</v>
          </cell>
          <cell r="K272" t="str">
            <v>ANTIGUO CAMINO MINERO S/N</v>
          </cell>
          <cell r="L272">
            <v>0</v>
          </cell>
          <cell r="M272" t="str">
            <v>GUANAJUATO</v>
          </cell>
          <cell r="T272" t="e">
            <v>#REF!</v>
          </cell>
        </row>
        <row r="273">
          <cell r="A273" t="str">
            <v>SANTA TERESA</v>
          </cell>
          <cell r="B273" t="str">
            <v>11DJN0042L</v>
          </cell>
          <cell r="D273" t="str">
            <v>X</v>
          </cell>
          <cell r="E273" t="str">
            <v>ENRIQUE C. REBSAMEN</v>
          </cell>
          <cell r="F273">
            <v>96</v>
          </cell>
          <cell r="G273">
            <v>1</v>
          </cell>
          <cell r="H273" t="str">
            <v>Guanajuato</v>
          </cell>
          <cell r="I273">
            <v>85000</v>
          </cell>
          <cell r="J273" t="str">
            <v>Completa</v>
          </cell>
          <cell r="K273" t="str">
            <v>SANTA TERESA</v>
          </cell>
          <cell r="L273">
            <v>0</v>
          </cell>
          <cell r="M273" t="str">
            <v>SANTA TERESA</v>
          </cell>
          <cell r="T273" t="e">
            <v>#REF!</v>
          </cell>
        </row>
        <row r="274">
          <cell r="A274" t="str">
            <v>CALDERONES</v>
          </cell>
          <cell r="B274" t="str">
            <v>11DPR2056S</v>
          </cell>
          <cell r="C274" t="str">
            <v>X</v>
          </cell>
          <cell r="E274" t="str">
            <v>PIPILA</v>
          </cell>
          <cell r="F274">
            <v>75</v>
          </cell>
          <cell r="G274">
            <v>1</v>
          </cell>
          <cell r="H274" t="str">
            <v>Guanajuato</v>
          </cell>
          <cell r="I274">
            <v>85000</v>
          </cell>
          <cell r="J274" t="str">
            <v>Completa</v>
          </cell>
          <cell r="K274" t="str">
            <v>CALDERONES</v>
          </cell>
          <cell r="L274">
            <v>0</v>
          </cell>
          <cell r="M274" t="str">
            <v>CALDERONES</v>
          </cell>
          <cell r="T274" t="e">
            <v>#REF!</v>
          </cell>
        </row>
        <row r="275">
          <cell r="A275" t="str">
            <v>LA SAUCEDA (SANTA FE DE GUADALUPE)</v>
          </cell>
          <cell r="B275" t="str">
            <v>11DPR3507L</v>
          </cell>
          <cell r="C275" t="str">
            <v>X</v>
          </cell>
          <cell r="E275" t="str">
            <v>BENITO JUAREZ</v>
          </cell>
          <cell r="F275">
            <v>75</v>
          </cell>
          <cell r="G275">
            <v>1</v>
          </cell>
          <cell r="H275" t="str">
            <v>Guanajuato</v>
          </cell>
          <cell r="I275">
            <v>85000</v>
          </cell>
          <cell r="J275" t="str">
            <v>Completa</v>
          </cell>
          <cell r="K275" t="str">
            <v>LA SAUCEDA</v>
          </cell>
          <cell r="L275">
            <v>0</v>
          </cell>
          <cell r="M275" t="str">
            <v>LA SAUCEDA (SANTA FE DE GUADALUPE)</v>
          </cell>
          <cell r="T275" t="e">
            <v>#REF!</v>
          </cell>
        </row>
        <row r="276">
          <cell r="A276" t="str">
            <v>GUANAJUATO</v>
          </cell>
          <cell r="B276" t="str">
            <v>11EJN0211P</v>
          </cell>
          <cell r="D276" t="str">
            <v>X</v>
          </cell>
          <cell r="E276" t="str">
            <v>PIERRE FAURE</v>
          </cell>
          <cell r="F276">
            <v>507</v>
          </cell>
          <cell r="G276">
            <v>5</v>
          </cell>
          <cell r="H276" t="str">
            <v>Guanajuato</v>
          </cell>
          <cell r="I276">
            <v>85000</v>
          </cell>
          <cell r="J276" t="str">
            <v>Completa</v>
          </cell>
          <cell r="K276" t="str">
            <v>NORIA ALTA S/N SECCION 6 EDIFICIO 29-A</v>
          </cell>
          <cell r="L276" t="str">
            <v>NORIA ALTA</v>
          </cell>
          <cell r="M276" t="str">
            <v>GUANAJUATO</v>
          </cell>
          <cell r="T276" t="e">
            <v>#REF!</v>
          </cell>
        </row>
        <row r="277">
          <cell r="A277" t="str">
            <v>EL CEDRO (MINERAL DEL CEDRO)</v>
          </cell>
          <cell r="B277" t="str">
            <v>11DPR2201N</v>
          </cell>
          <cell r="C277" t="str">
            <v>X</v>
          </cell>
          <cell r="E277" t="str">
            <v>CUAUHTEMOC</v>
          </cell>
          <cell r="F277">
            <v>75</v>
          </cell>
          <cell r="G277">
            <v>1</v>
          </cell>
          <cell r="H277" t="str">
            <v>Guanajuato</v>
          </cell>
          <cell r="I277">
            <v>20000</v>
          </cell>
          <cell r="J277" t="str">
            <v>Multigrado</v>
          </cell>
          <cell r="K277" t="str">
            <v>MINERAL EL CEDRO</v>
          </cell>
          <cell r="L277">
            <v>0</v>
          </cell>
          <cell r="M277" t="str">
            <v>EL CEDRO (MINERAL DEL CEDRO)</v>
          </cell>
          <cell r="T277" t="e">
            <v>#REF!</v>
          </cell>
        </row>
        <row r="278">
          <cell r="A278" t="str">
            <v>SANGRE DE CRISTO</v>
          </cell>
          <cell r="B278" t="str">
            <v>11EJN0368P</v>
          </cell>
          <cell r="C278" t="str">
            <v>X</v>
          </cell>
          <cell r="E278" t="str">
            <v>ARTURO SIERRA</v>
          </cell>
          <cell r="F278">
            <v>507</v>
          </cell>
          <cell r="G278">
            <v>5</v>
          </cell>
          <cell r="H278" t="str">
            <v>Guanajuato</v>
          </cell>
          <cell r="I278">
            <v>25000</v>
          </cell>
          <cell r="J278" t="str">
            <v>Multigrado</v>
          </cell>
          <cell r="K278" t="str">
            <v>SANGRE DE CRISTO</v>
          </cell>
          <cell r="L278">
            <v>0</v>
          </cell>
          <cell r="M278" t="str">
            <v>SANGRE DE CRISTO</v>
          </cell>
          <cell r="T278" t="e">
            <v>#REF!</v>
          </cell>
        </row>
        <row r="279">
          <cell r="A279" t="str">
            <v>ROSA DE CASTILLA</v>
          </cell>
          <cell r="B279" t="str">
            <v>11EJN0321V</v>
          </cell>
          <cell r="C279" t="str">
            <v>X</v>
          </cell>
          <cell r="E279" t="str">
            <v>LIC. AGUSTIN LANUZA</v>
          </cell>
          <cell r="F279">
            <v>507</v>
          </cell>
          <cell r="G279">
            <v>5</v>
          </cell>
          <cell r="H279" t="str">
            <v>Guanajuato</v>
          </cell>
          <cell r="I279">
            <v>30000</v>
          </cell>
          <cell r="J279" t="str">
            <v>Multigrado</v>
          </cell>
          <cell r="K279" t="str">
            <v>ROSA DE CASTILLA</v>
          </cell>
          <cell r="L279">
            <v>0</v>
          </cell>
          <cell r="M279" t="str">
            <v>ROSA DE CASTILLA</v>
          </cell>
          <cell r="T279" t="e">
            <v>#REF!</v>
          </cell>
        </row>
        <row r="280">
          <cell r="A280" t="str">
            <v>GUANAJUATO</v>
          </cell>
          <cell r="B280" t="str">
            <v>11DJN0260Z</v>
          </cell>
          <cell r="D280" t="str">
            <v>X</v>
          </cell>
          <cell r="E280" t="str">
            <v>DIEGO RIVERA</v>
          </cell>
          <cell r="F280">
            <v>19</v>
          </cell>
          <cell r="G280">
            <v>1</v>
          </cell>
          <cell r="H280" t="str">
            <v>Guanajuato</v>
          </cell>
          <cell r="I280">
            <v>85000</v>
          </cell>
          <cell r="J280" t="str">
            <v>Completa</v>
          </cell>
          <cell r="K280" t="str">
            <v>CERRO TROZADO NUM. 54</v>
          </cell>
          <cell r="L280" t="str">
            <v>PUEBLITO DE ROCHA</v>
          </cell>
          <cell r="M280" t="str">
            <v>GUANAJUATO</v>
          </cell>
          <cell r="T280" t="e">
            <v>#REF!</v>
          </cell>
        </row>
        <row r="281">
          <cell r="A281" t="str">
            <v>GUANAJUATO</v>
          </cell>
          <cell r="B281" t="str">
            <v>11EJN0210Q</v>
          </cell>
          <cell r="C281" t="str">
            <v>X</v>
          </cell>
          <cell r="E281" t="str">
            <v>FEDERICO FROEBEL</v>
          </cell>
          <cell r="F281">
            <v>507</v>
          </cell>
          <cell r="G281">
            <v>5</v>
          </cell>
          <cell r="H281" t="str">
            <v>Guanajuato</v>
          </cell>
          <cell r="I281">
            <v>85000</v>
          </cell>
          <cell r="J281" t="str">
            <v>Completa</v>
          </cell>
          <cell r="K281" t="str">
            <v>MODELO CERRO DEL CUARTO NUM. 17</v>
          </cell>
          <cell r="L281">
            <v>0</v>
          </cell>
          <cell r="M281" t="str">
            <v>GUANAJUATO</v>
          </cell>
          <cell r="T281" t="e">
            <v>#REF!</v>
          </cell>
        </row>
        <row r="282">
          <cell r="A282" t="str">
            <v>CAÑADA DE BUSTOS</v>
          </cell>
          <cell r="B282" t="str">
            <v>11DJN0608Z</v>
          </cell>
          <cell r="C282" t="str">
            <v>X</v>
          </cell>
          <cell r="E282" t="str">
            <v>LEONA VICARIO</v>
          </cell>
          <cell r="F282">
            <v>19</v>
          </cell>
          <cell r="G282">
            <v>1</v>
          </cell>
          <cell r="H282" t="str">
            <v>Guanajuato</v>
          </cell>
          <cell r="I282">
            <v>85000</v>
          </cell>
          <cell r="J282" t="str">
            <v>Completa</v>
          </cell>
          <cell r="K282" t="str">
            <v>CAÑADA DE BUSTOS</v>
          </cell>
          <cell r="L282">
            <v>0</v>
          </cell>
          <cell r="M282" t="str">
            <v>CAÑADA DE BUSTOS</v>
          </cell>
          <cell r="T282" t="e">
            <v>#REF!</v>
          </cell>
        </row>
        <row r="283">
          <cell r="A283" t="str">
            <v>GUANAJUATO</v>
          </cell>
          <cell r="B283" t="str">
            <v>11DPR3808H</v>
          </cell>
          <cell r="D283" t="str">
            <v>X</v>
          </cell>
          <cell r="E283" t="str">
            <v>JUAN BAUTISTA MORALES</v>
          </cell>
          <cell r="F283">
            <v>131</v>
          </cell>
          <cell r="G283">
            <v>1</v>
          </cell>
          <cell r="H283" t="str">
            <v>Guanajuato</v>
          </cell>
          <cell r="I283">
            <v>45000</v>
          </cell>
          <cell r="J283" t="str">
            <v>Completa</v>
          </cell>
          <cell r="K283" t="str">
            <v>NAPOLEON GOMEZ SADA S/N</v>
          </cell>
          <cell r="L283" t="str">
            <v>MARTIRES 22 DE ABRIL</v>
          </cell>
          <cell r="M283" t="str">
            <v>GUANAJUATO</v>
          </cell>
          <cell r="T283" t="e">
            <v>#REF!</v>
          </cell>
        </row>
        <row r="284">
          <cell r="A284" t="str">
            <v>GUANAJUATO</v>
          </cell>
          <cell r="B284" t="str">
            <v>11DPR1554I</v>
          </cell>
          <cell r="C284" t="str">
            <v>X</v>
          </cell>
          <cell r="E284" t="str">
            <v>AMADO NERVO</v>
          </cell>
          <cell r="F284">
            <v>152</v>
          </cell>
          <cell r="G284">
            <v>1</v>
          </cell>
          <cell r="H284" t="str">
            <v>Guanajuato</v>
          </cell>
          <cell r="I284">
            <v>30000</v>
          </cell>
          <cell r="J284" t="str">
            <v>Multigrado</v>
          </cell>
          <cell r="K284" t="str">
            <v>VALENCIANA</v>
          </cell>
          <cell r="L284">
            <v>0</v>
          </cell>
          <cell r="M284" t="str">
            <v>GUANAJUATO</v>
          </cell>
          <cell r="T284" t="e">
            <v>#REF!</v>
          </cell>
        </row>
        <row r="285">
          <cell r="A285" t="str">
            <v>SANTA ROSA DE LIMA (SANTA ROSA)</v>
          </cell>
          <cell r="B285" t="str">
            <v>11DPR1699D</v>
          </cell>
          <cell r="C285" t="str">
            <v>X</v>
          </cell>
          <cell r="E285" t="str">
            <v>MIGUEL HIDALGO</v>
          </cell>
          <cell r="F285">
            <v>152</v>
          </cell>
          <cell r="G285">
            <v>1</v>
          </cell>
          <cell r="H285" t="str">
            <v>Guanajuato</v>
          </cell>
          <cell r="I285">
            <v>65000</v>
          </cell>
          <cell r="J285" t="str">
            <v>Completa</v>
          </cell>
          <cell r="K285" t="str">
            <v>CAMINO REAL S/N</v>
          </cell>
          <cell r="L285">
            <v>0</v>
          </cell>
          <cell r="M285" t="str">
            <v>SANTA ROSA DE LIMA (SANTA ROSA)</v>
          </cell>
          <cell r="T285" t="e">
            <v>#REF!</v>
          </cell>
        </row>
        <row r="286">
          <cell r="A286" t="str">
            <v>LA ESTANCIA DE COMANJILLA (LA ESTANCIA)</v>
          </cell>
          <cell r="B286" t="str">
            <v>11DPR1282H</v>
          </cell>
          <cell r="C286" t="str">
            <v>X</v>
          </cell>
          <cell r="E286" t="str">
            <v>ALFREDO VLADIMIR BONFIL</v>
          </cell>
          <cell r="F286">
            <v>131</v>
          </cell>
          <cell r="G286">
            <v>1</v>
          </cell>
          <cell r="H286" t="str">
            <v>Guanajuato</v>
          </cell>
          <cell r="I286">
            <v>20000</v>
          </cell>
          <cell r="J286" t="str">
            <v>Multigrado</v>
          </cell>
          <cell r="K286" t="str">
            <v>ESTANCIA DE COMANJILLA</v>
          </cell>
          <cell r="L286">
            <v>0</v>
          </cell>
          <cell r="M286" t="str">
            <v>LA ESTANCIA DE COMANJILLA (LA ESTANCIA)</v>
          </cell>
          <cell r="T286" t="e">
            <v>#REF!</v>
          </cell>
        </row>
        <row r="287">
          <cell r="A287" t="str">
            <v>LOS LORENZOS</v>
          </cell>
          <cell r="B287" t="str">
            <v>11DPR1962N</v>
          </cell>
          <cell r="D287" t="str">
            <v>X</v>
          </cell>
          <cell r="E287" t="str">
            <v>CESAREO B. ACOSTA</v>
          </cell>
          <cell r="F287">
            <v>131</v>
          </cell>
          <cell r="G287">
            <v>1</v>
          </cell>
          <cell r="H287" t="str">
            <v>Guanajuato</v>
          </cell>
          <cell r="I287">
            <v>45000</v>
          </cell>
          <cell r="J287" t="str">
            <v>Completa</v>
          </cell>
          <cell r="K287" t="str">
            <v>LOS LORENZOS</v>
          </cell>
          <cell r="L287">
            <v>0</v>
          </cell>
          <cell r="M287" t="str">
            <v>LOS LORENZOS</v>
          </cell>
          <cell r="T287" t="e">
            <v>#REF!</v>
          </cell>
        </row>
        <row r="288">
          <cell r="A288" t="str">
            <v>EL TERRERO</v>
          </cell>
          <cell r="B288" t="str">
            <v>11ETV1074Z</v>
          </cell>
          <cell r="C288" t="str">
            <v>X</v>
          </cell>
          <cell r="E288" t="str">
            <v>TELESECUNDARIA NUM. 1074</v>
          </cell>
          <cell r="F288">
            <v>510</v>
          </cell>
          <cell r="G288">
            <v>5</v>
          </cell>
          <cell r="H288" t="str">
            <v>Guanajuato</v>
          </cell>
          <cell r="I288">
            <v>25000</v>
          </cell>
          <cell r="J288" t="str">
            <v>Multigrado</v>
          </cell>
          <cell r="K288" t="str">
            <v>EL TERRERO</v>
          </cell>
          <cell r="L288">
            <v>0</v>
          </cell>
          <cell r="M288" t="str">
            <v>EL TERRERO</v>
          </cell>
          <cell r="T288" t="e">
            <v>#REF!</v>
          </cell>
        </row>
        <row r="289">
          <cell r="A289" t="str">
            <v>GUANAJUATO</v>
          </cell>
          <cell r="B289" t="str">
            <v>11DJN0304F</v>
          </cell>
          <cell r="C289" t="str">
            <v>X</v>
          </cell>
          <cell r="E289" t="str">
            <v>LIC. JOSE AGUILAR Y MAYA</v>
          </cell>
          <cell r="F289">
            <v>54</v>
          </cell>
          <cell r="G289">
            <v>1</v>
          </cell>
          <cell r="H289" t="str">
            <v>Guanajuato</v>
          </cell>
          <cell r="I289">
            <v>85000</v>
          </cell>
          <cell r="J289" t="str">
            <v>Completa</v>
          </cell>
          <cell r="K289" t="str">
            <v>CALLEJON DE LA SEPULTURA NUM. 57</v>
          </cell>
          <cell r="L289">
            <v>0</v>
          </cell>
          <cell r="M289" t="str">
            <v>GUANAJUATO</v>
          </cell>
          <cell r="T289" t="e">
            <v>#REF!</v>
          </cell>
        </row>
        <row r="290">
          <cell r="A290" t="str">
            <v>MINERAL DE LA LUZ (LA LUZ)</v>
          </cell>
          <cell r="B290" t="str">
            <v>11DJN2417W</v>
          </cell>
          <cell r="D290" t="str">
            <v>X</v>
          </cell>
          <cell r="E290" t="str">
            <v>JUAN DE DIOS PEZA</v>
          </cell>
          <cell r="F290">
            <v>54</v>
          </cell>
          <cell r="G290">
            <v>1</v>
          </cell>
          <cell r="H290" t="str">
            <v>Guanajuato</v>
          </cell>
          <cell r="I290">
            <v>30000</v>
          </cell>
          <cell r="J290" t="str">
            <v>Multigrado</v>
          </cell>
          <cell r="K290" t="str">
            <v>MINERAL LA LUZ</v>
          </cell>
          <cell r="L290">
            <v>0</v>
          </cell>
          <cell r="M290" t="str">
            <v>MINERAL DE LA LUZ (LA LUZ)</v>
          </cell>
          <cell r="T290" t="e">
            <v>#REF!</v>
          </cell>
        </row>
        <row r="291">
          <cell r="A291" t="str">
            <v>YERBABUENA</v>
          </cell>
          <cell r="B291" t="str">
            <v>11DPR0086Z</v>
          </cell>
          <cell r="C291" t="str">
            <v>X</v>
          </cell>
          <cell r="E291" t="str">
            <v>NARCISO MENDOZA</v>
          </cell>
          <cell r="F291">
            <v>1</v>
          </cell>
          <cell r="G291">
            <v>1</v>
          </cell>
          <cell r="H291" t="str">
            <v>Guanajuato</v>
          </cell>
          <cell r="I291">
            <v>85000</v>
          </cell>
          <cell r="J291" t="str">
            <v>Completa</v>
          </cell>
          <cell r="K291" t="str">
            <v>YERBABUENA</v>
          </cell>
          <cell r="L291">
            <v>0</v>
          </cell>
          <cell r="M291" t="str">
            <v>YERBABUENA</v>
          </cell>
          <cell r="T291" t="e">
            <v>#REF!</v>
          </cell>
        </row>
        <row r="292">
          <cell r="A292" t="str">
            <v>CUESTECITA DE SAN JUAN</v>
          </cell>
          <cell r="B292" t="str">
            <v>11DPR2596O</v>
          </cell>
          <cell r="C292" t="str">
            <v>X</v>
          </cell>
          <cell r="E292" t="str">
            <v>NARCISO MENDOZA</v>
          </cell>
          <cell r="F292">
            <v>131</v>
          </cell>
          <cell r="G292">
            <v>1</v>
          </cell>
          <cell r="H292" t="str">
            <v>Guanajuato</v>
          </cell>
          <cell r="I292">
            <v>20000</v>
          </cell>
          <cell r="J292" t="str">
            <v>Multigrado</v>
          </cell>
          <cell r="K292" t="str">
            <v>CUESTECITA DE SAN JUAN</v>
          </cell>
          <cell r="L292">
            <v>0</v>
          </cell>
          <cell r="M292" t="str">
            <v>CUESTECITA DE SAN JUAN</v>
          </cell>
          <cell r="T292" t="e">
            <v>#REF!</v>
          </cell>
        </row>
        <row r="293">
          <cell r="A293" t="str">
            <v>GUANAJUATO</v>
          </cell>
          <cell r="B293" t="str">
            <v>11DPR3868W</v>
          </cell>
          <cell r="D293" t="str">
            <v>X</v>
          </cell>
          <cell r="E293" t="str">
            <v>ESCUELA PRIMARIA</v>
          </cell>
          <cell r="F293">
            <v>131</v>
          </cell>
          <cell r="G293">
            <v>1</v>
          </cell>
          <cell r="H293" t="str">
            <v>Guanajuato</v>
          </cell>
          <cell r="I293">
            <v>20000</v>
          </cell>
          <cell r="J293" t="str">
            <v>Multigrado</v>
          </cell>
          <cell r="K293" t="str">
            <v>NAPOLEON GOMEZ SADA S/N</v>
          </cell>
          <cell r="L293" t="str">
            <v>MARTIRES 22 DE ABRIL</v>
          </cell>
          <cell r="M293" t="str">
            <v>GUANAJUATO</v>
          </cell>
          <cell r="T293" t="e">
            <v>#REF!</v>
          </cell>
        </row>
        <row r="294">
          <cell r="A294" t="str">
            <v>MARFIL</v>
          </cell>
          <cell r="B294" t="str">
            <v>11DJN3105A</v>
          </cell>
          <cell r="C294" t="str">
            <v>X</v>
          </cell>
          <cell r="E294" t="str">
            <v>PROFRA. BEATRIZ ORDOÑEZ ACUÑA</v>
          </cell>
          <cell r="F294">
            <v>96</v>
          </cell>
          <cell r="G294">
            <v>1</v>
          </cell>
          <cell r="H294" t="str">
            <v>Guanajuato</v>
          </cell>
          <cell r="I294">
            <v>85000</v>
          </cell>
          <cell r="J294" t="str">
            <v>Completa</v>
          </cell>
          <cell r="K294" t="str">
            <v>LAS TERESAS</v>
          </cell>
          <cell r="L294">
            <v>0</v>
          </cell>
          <cell r="M294" t="str">
            <v>MARFIL</v>
          </cell>
          <cell r="T294" t="e">
            <v>#REF!</v>
          </cell>
        </row>
        <row r="295">
          <cell r="A295" t="str">
            <v>SAN JOSE DEL RODEO (EL RODEO)</v>
          </cell>
          <cell r="B295" t="str">
            <v>11DPR1929F</v>
          </cell>
          <cell r="C295" t="str">
            <v>X</v>
          </cell>
          <cell r="E295" t="str">
            <v>TIERRA Y LIBERTAD</v>
          </cell>
          <cell r="F295">
            <v>1</v>
          </cell>
          <cell r="G295">
            <v>1</v>
          </cell>
          <cell r="H295" t="str">
            <v>Guanajuato</v>
          </cell>
          <cell r="I295">
            <v>61000</v>
          </cell>
          <cell r="J295" t="str">
            <v>Completa</v>
          </cell>
          <cell r="K295" t="str">
            <v>SAN JOSE DEL RODEO</v>
          </cell>
          <cell r="L295">
            <v>0</v>
          </cell>
          <cell r="M295" t="str">
            <v>SAN JOSE DEL RODEO (EL RODEO)</v>
          </cell>
          <cell r="T295" t="e">
            <v>#REF!</v>
          </cell>
        </row>
        <row r="296">
          <cell r="A296" t="str">
            <v>GUANAJUATO</v>
          </cell>
          <cell r="B296" t="str">
            <v>11DJN0305E</v>
          </cell>
          <cell r="C296" t="str">
            <v>X</v>
          </cell>
          <cell r="E296" t="str">
            <v>EDUARDO CLAPAREDE</v>
          </cell>
          <cell r="F296">
            <v>54</v>
          </cell>
          <cell r="G296">
            <v>1</v>
          </cell>
          <cell r="H296" t="str">
            <v>Guanajuato</v>
          </cell>
          <cell r="I296">
            <v>30000</v>
          </cell>
          <cell r="J296" t="str">
            <v>Multigrado</v>
          </cell>
          <cell r="K296" t="str">
            <v>BOULEVARD CONJUNTO ADMINISTRATIVO POZUELOS S/N A UN LADO DE LA MEGA PO</v>
          </cell>
          <cell r="L296" t="str">
            <v>POZUELOS</v>
          </cell>
          <cell r="M296" t="str">
            <v>GUANAJUATO</v>
          </cell>
          <cell r="T296" t="e">
            <v>#REF!</v>
          </cell>
        </row>
        <row r="297">
          <cell r="A297" t="str">
            <v>GUANAJUATO</v>
          </cell>
          <cell r="B297" t="str">
            <v>11DPR2687F</v>
          </cell>
          <cell r="D297" t="str">
            <v>X</v>
          </cell>
          <cell r="E297" t="str">
            <v>DIEGO RIVERA</v>
          </cell>
          <cell r="F297">
            <v>1</v>
          </cell>
          <cell r="G297">
            <v>1</v>
          </cell>
          <cell r="H297" t="str">
            <v>Guanajuato</v>
          </cell>
          <cell r="I297">
            <v>85000</v>
          </cell>
          <cell r="J297" t="str">
            <v>Completa</v>
          </cell>
          <cell r="K297" t="str">
            <v>JARDIN EMBAJADORAS S/N</v>
          </cell>
          <cell r="L297">
            <v>0</v>
          </cell>
          <cell r="M297" t="str">
            <v>GUANAJUATO</v>
          </cell>
          <cell r="T297" t="e">
            <v>#REF!</v>
          </cell>
        </row>
        <row r="298">
          <cell r="A298" t="str">
            <v>SAN JOSE DE CERVERA (CERVERA)</v>
          </cell>
          <cell r="B298" t="str">
            <v>11ETV0865C</v>
          </cell>
          <cell r="C298" t="str">
            <v>X</v>
          </cell>
          <cell r="E298" t="str">
            <v>TELESECUNDARIA NUM. 865</v>
          </cell>
          <cell r="F298">
            <v>510</v>
          </cell>
          <cell r="G298">
            <v>5</v>
          </cell>
          <cell r="H298" t="str">
            <v>Guanajuato</v>
          </cell>
          <cell r="I298">
            <v>85000</v>
          </cell>
          <cell r="J298" t="str">
            <v>Completa</v>
          </cell>
          <cell r="K298" t="str">
            <v>SAN JOSE DE CERVERA</v>
          </cell>
          <cell r="L298">
            <v>0</v>
          </cell>
          <cell r="M298" t="str">
            <v>SAN JOSE DE CERVERA (CERVERA)</v>
          </cell>
          <cell r="T298" t="e">
            <v>#REF!</v>
          </cell>
        </row>
        <row r="299">
          <cell r="A299" t="str">
            <v>GUANAJUATO</v>
          </cell>
          <cell r="B299" t="str">
            <v>11DJN0268R</v>
          </cell>
          <cell r="D299" t="str">
            <v>X</v>
          </cell>
          <cell r="E299" t="str">
            <v>PROFRA. ELISA LOPEZ LOPEZ</v>
          </cell>
          <cell r="F299">
            <v>54</v>
          </cell>
          <cell r="G299">
            <v>1</v>
          </cell>
          <cell r="H299" t="str">
            <v>Guanajuato</v>
          </cell>
          <cell r="I299">
            <v>85000</v>
          </cell>
          <cell r="J299" t="str">
            <v>Completa</v>
          </cell>
          <cell r="K299" t="str">
            <v>BOULEVARD CONJUNTO ADMINISTRATIVO POZUELOS S/N A UN LADO DE LA MEGA PO</v>
          </cell>
          <cell r="L299" t="str">
            <v>POZUELOS</v>
          </cell>
          <cell r="M299" t="str">
            <v>GUANAJUATO</v>
          </cell>
          <cell r="T299" t="e">
            <v>#REF!</v>
          </cell>
        </row>
        <row r="300">
          <cell r="A300" t="str">
            <v>LLANOS DE SANTA ANA</v>
          </cell>
          <cell r="B300" t="str">
            <v>11DJN0609Y</v>
          </cell>
          <cell r="C300" t="str">
            <v>X</v>
          </cell>
          <cell r="E300" t="str">
            <v>FRANCISCO GABILONDO SOLER</v>
          </cell>
          <cell r="F300">
            <v>54</v>
          </cell>
          <cell r="G300">
            <v>1</v>
          </cell>
          <cell r="H300" t="str">
            <v>Guanajuato</v>
          </cell>
          <cell r="I300">
            <v>20000</v>
          </cell>
          <cell r="J300" t="str">
            <v>Multigrado</v>
          </cell>
          <cell r="K300" t="str">
            <v>LOS LLANOS DE SANTA ANA</v>
          </cell>
          <cell r="L300">
            <v>0</v>
          </cell>
          <cell r="M300" t="str">
            <v>LLANOS DE SANTA ANA</v>
          </cell>
          <cell r="T300" t="e">
            <v>#REF!</v>
          </cell>
        </row>
        <row r="301">
          <cell r="A301" t="str">
            <v>EL CEDRO (MINERAL DEL CEDRO)</v>
          </cell>
          <cell r="B301" t="str">
            <v>11DJN0309A</v>
          </cell>
          <cell r="D301" t="str">
            <v>X</v>
          </cell>
          <cell r="E301" t="str">
            <v>MARIANO JIMENEZ</v>
          </cell>
          <cell r="F301">
            <v>54</v>
          </cell>
          <cell r="G301">
            <v>1</v>
          </cell>
          <cell r="H301" t="str">
            <v>Guanajuato</v>
          </cell>
          <cell r="I301">
            <v>20000</v>
          </cell>
          <cell r="J301" t="str">
            <v>Multigrado</v>
          </cell>
          <cell r="K301" t="str">
            <v>EL CEDRO</v>
          </cell>
          <cell r="L301">
            <v>0</v>
          </cell>
          <cell r="M301" t="str">
            <v>EL CEDRO (MINERAL DEL CEDRO)</v>
          </cell>
          <cell r="T301" t="e">
            <v>#REF!</v>
          </cell>
        </row>
        <row r="302">
          <cell r="A302" t="str">
            <v>MINERAL DEL CUBO (EL CUBO)</v>
          </cell>
          <cell r="B302" t="str">
            <v>11DJN0307C</v>
          </cell>
          <cell r="C302" t="str">
            <v>X</v>
          </cell>
          <cell r="E302" t="str">
            <v>SOR JUANA INES DE LA CRUZ</v>
          </cell>
          <cell r="F302">
            <v>54</v>
          </cell>
          <cell r="G302">
            <v>1</v>
          </cell>
          <cell r="H302" t="str">
            <v>Guanajuato</v>
          </cell>
          <cell r="I302">
            <v>30000</v>
          </cell>
          <cell r="J302" t="str">
            <v>Multigrado</v>
          </cell>
          <cell r="K302" t="str">
            <v>MINERAL DEL CUBO</v>
          </cell>
          <cell r="L302">
            <v>0</v>
          </cell>
          <cell r="M302" t="str">
            <v>MINERAL DEL CUBO (EL CUBO)</v>
          </cell>
          <cell r="T302" t="e">
            <v>#REF!</v>
          </cell>
        </row>
        <row r="303">
          <cell r="A303" t="str">
            <v>SANTA ROSA DE LIMA (SANTA ROSA)</v>
          </cell>
          <cell r="B303" t="str">
            <v>11ETV0090J</v>
          </cell>
          <cell r="D303" t="str">
            <v>X</v>
          </cell>
          <cell r="E303" t="str">
            <v>TELESECUNDARIA NUM. 98</v>
          </cell>
          <cell r="F303">
            <v>510</v>
          </cell>
          <cell r="G303">
            <v>5</v>
          </cell>
          <cell r="H303" t="str">
            <v>Guanajuato</v>
          </cell>
          <cell r="I303">
            <v>46000</v>
          </cell>
          <cell r="J303" t="str">
            <v>Completa</v>
          </cell>
          <cell r="K303" t="str">
            <v>SANTA ROSA</v>
          </cell>
          <cell r="L303">
            <v>0</v>
          </cell>
          <cell r="M303" t="str">
            <v>SANTA ROSA DE LIMA (SANTA ROSA)</v>
          </cell>
          <cell r="T303" t="e">
            <v>#REF!</v>
          </cell>
        </row>
        <row r="304">
          <cell r="A304" t="str">
            <v>SAN JOSE DE CERVERA (CERVERA)</v>
          </cell>
          <cell r="B304" t="str">
            <v>11DPR1636S</v>
          </cell>
          <cell r="D304" t="str">
            <v>X</v>
          </cell>
          <cell r="E304" t="str">
            <v>MIGUEL HIDALGO</v>
          </cell>
          <cell r="F304">
            <v>131</v>
          </cell>
          <cell r="G304">
            <v>1</v>
          </cell>
          <cell r="H304" t="str">
            <v>Guanajuato</v>
          </cell>
          <cell r="I304">
            <v>45000</v>
          </cell>
          <cell r="J304" t="str">
            <v>Completa</v>
          </cell>
          <cell r="K304" t="str">
            <v>SAN JOSE DE CERVERA</v>
          </cell>
          <cell r="L304">
            <v>0</v>
          </cell>
          <cell r="M304" t="str">
            <v>SAN JOSE DE CERVERA (CERVERA)</v>
          </cell>
          <cell r="T304" t="e">
            <v>#REF!</v>
          </cell>
        </row>
        <row r="305">
          <cell r="A305" t="str">
            <v>SANTA ANA (SANTANA)</v>
          </cell>
          <cell r="B305" t="str">
            <v>11DJN0615I</v>
          </cell>
          <cell r="C305" t="str">
            <v>X</v>
          </cell>
          <cell r="E305" t="str">
            <v>PROFR. LUIS CHAVEZ OROZCO</v>
          </cell>
          <cell r="F305">
            <v>54</v>
          </cell>
          <cell r="G305">
            <v>1</v>
          </cell>
          <cell r="H305" t="str">
            <v>Guanajuato</v>
          </cell>
          <cell r="I305">
            <v>20000</v>
          </cell>
          <cell r="J305" t="str">
            <v>Multigrado</v>
          </cell>
          <cell r="K305" t="str">
            <v>SANTA ANA</v>
          </cell>
          <cell r="L305">
            <v>0</v>
          </cell>
          <cell r="M305" t="str">
            <v>SANTA ANA (SANTANA)</v>
          </cell>
          <cell r="T305" t="e">
            <v>#REF!</v>
          </cell>
        </row>
        <row r="306">
          <cell r="A306" t="str">
            <v>LLANOS DE LA FRAGUA</v>
          </cell>
          <cell r="B306" t="str">
            <v>11ETV0871N</v>
          </cell>
          <cell r="C306" t="str">
            <v>X</v>
          </cell>
          <cell r="E306" t="str">
            <v>TELESECUNDARIA NUM. 871</v>
          </cell>
          <cell r="F306">
            <v>510</v>
          </cell>
          <cell r="G306">
            <v>5</v>
          </cell>
          <cell r="H306" t="str">
            <v>Guanajuato</v>
          </cell>
          <cell r="I306">
            <v>25000</v>
          </cell>
          <cell r="J306" t="str">
            <v>Multigrado</v>
          </cell>
          <cell r="K306" t="str">
            <v>LLANOS DE LA FRAGUA</v>
          </cell>
          <cell r="L306">
            <v>0</v>
          </cell>
          <cell r="M306" t="str">
            <v>LLANOS DE LA FRAGUA</v>
          </cell>
          <cell r="T306" t="e">
            <v>#REF!</v>
          </cell>
        </row>
        <row r="307">
          <cell r="A307" t="str">
            <v>CALDERONES</v>
          </cell>
          <cell r="B307" t="str">
            <v>11DJN0869K</v>
          </cell>
          <cell r="D307" t="str">
            <v>X</v>
          </cell>
          <cell r="E307" t="str">
            <v>MANUEL FLORES</v>
          </cell>
          <cell r="F307">
            <v>54</v>
          </cell>
          <cell r="G307">
            <v>1</v>
          </cell>
          <cell r="H307" t="str">
            <v>Guanajuato</v>
          </cell>
          <cell r="I307">
            <v>30000</v>
          </cell>
          <cell r="J307" t="str">
            <v>Multigrado</v>
          </cell>
          <cell r="K307" t="str">
            <v>CALDERONES</v>
          </cell>
          <cell r="L307">
            <v>0</v>
          </cell>
          <cell r="M307" t="str">
            <v>CALDERONES</v>
          </cell>
          <cell r="T307" t="e">
            <v>#REF!</v>
          </cell>
        </row>
        <row r="308">
          <cell r="A308" t="str">
            <v>OJO DE AGUA</v>
          </cell>
          <cell r="B308" t="str">
            <v>11DPR1378U</v>
          </cell>
          <cell r="C308" t="str">
            <v>X</v>
          </cell>
          <cell r="E308" t="str">
            <v>NACIONES UNIDAS</v>
          </cell>
          <cell r="F308">
            <v>1</v>
          </cell>
          <cell r="G308">
            <v>1</v>
          </cell>
          <cell r="H308" t="str">
            <v>Guanajuato</v>
          </cell>
          <cell r="I308">
            <v>20000</v>
          </cell>
          <cell r="J308" t="str">
            <v>Multigrado</v>
          </cell>
          <cell r="K308" t="str">
            <v>OJO DE AGUA</v>
          </cell>
          <cell r="L308" t="str">
            <v>OJO DE AGUA</v>
          </cell>
          <cell r="M308" t="str">
            <v>OJO DE AGUA</v>
          </cell>
          <cell r="T308" t="e">
            <v>#REF!</v>
          </cell>
        </row>
        <row r="309">
          <cell r="A309" t="str">
            <v>MINERAL DE MEXIAMORA (MEXIAMORA)</v>
          </cell>
          <cell r="B309" t="str">
            <v>11DJN1043R</v>
          </cell>
          <cell r="C309" t="str">
            <v>X</v>
          </cell>
          <cell r="E309" t="str">
            <v>IGNACIO ALTAMIRANO</v>
          </cell>
          <cell r="F309">
            <v>54</v>
          </cell>
          <cell r="G309">
            <v>1</v>
          </cell>
          <cell r="H309" t="str">
            <v>Guanajuato</v>
          </cell>
          <cell r="I309">
            <v>20000</v>
          </cell>
          <cell r="J309" t="str">
            <v>Multigrado</v>
          </cell>
          <cell r="K309" t="str">
            <v>MEXIAMORA</v>
          </cell>
          <cell r="L309">
            <v>0</v>
          </cell>
          <cell r="M309" t="str">
            <v>MINERAL DE MEXIAMORA (MEXIAMORA)</v>
          </cell>
          <cell r="T309" t="e">
            <v>#REF!</v>
          </cell>
        </row>
        <row r="310">
          <cell r="A310" t="str">
            <v>MONTE DE SAN NICOLAS (EL MONTE)</v>
          </cell>
          <cell r="B310" t="str">
            <v>11DJN1124B</v>
          </cell>
          <cell r="D310" t="str">
            <v>X</v>
          </cell>
          <cell r="E310" t="str">
            <v>JOAQUIN ARCE PARDAVE</v>
          </cell>
          <cell r="F310">
            <v>54</v>
          </cell>
          <cell r="G310">
            <v>1</v>
          </cell>
          <cell r="H310" t="str">
            <v>Guanajuato</v>
          </cell>
          <cell r="I310">
            <v>20000</v>
          </cell>
          <cell r="J310" t="str">
            <v>Multigrado</v>
          </cell>
          <cell r="K310" t="str">
            <v>MONTE DE SAN NICOLAS</v>
          </cell>
          <cell r="L310">
            <v>0</v>
          </cell>
          <cell r="M310" t="str">
            <v>MONTE DE SAN NICOLAS (EL MONTE)</v>
          </cell>
          <cell r="T310" t="e">
            <v>#REF!</v>
          </cell>
        </row>
        <row r="311">
          <cell r="A311" t="str">
            <v>SAN JOSE DE LLANOS</v>
          </cell>
          <cell r="B311" t="str">
            <v>11DPR1563Q</v>
          </cell>
          <cell r="C311" t="str">
            <v>X</v>
          </cell>
          <cell r="E311" t="str">
            <v>INTIMACION</v>
          </cell>
          <cell r="F311">
            <v>30</v>
          </cell>
          <cell r="G311">
            <v>1</v>
          </cell>
          <cell r="H311" t="str">
            <v>Guanajuato</v>
          </cell>
          <cell r="I311">
            <v>85000</v>
          </cell>
          <cell r="J311" t="str">
            <v>Completa</v>
          </cell>
          <cell r="K311" t="str">
            <v>SAN JOSE DE LLANOS</v>
          </cell>
          <cell r="L311">
            <v>0</v>
          </cell>
          <cell r="M311" t="str">
            <v>SAN JOSE DE LLANOS</v>
          </cell>
          <cell r="T311" t="e">
            <v>#REF!</v>
          </cell>
        </row>
        <row r="312">
          <cell r="A312" t="str">
            <v>SAN JOSE DE LLANOS</v>
          </cell>
          <cell r="B312" t="str">
            <v>11DPR0084A</v>
          </cell>
          <cell r="C312" t="str">
            <v>X</v>
          </cell>
          <cell r="E312" t="str">
            <v>JOSEFA ORTIZ DE DOMINGUEZ</v>
          </cell>
          <cell r="F312">
            <v>30</v>
          </cell>
          <cell r="G312">
            <v>1</v>
          </cell>
          <cell r="H312" t="str">
            <v>Guanajuato</v>
          </cell>
          <cell r="I312">
            <v>85000</v>
          </cell>
          <cell r="J312" t="str">
            <v>Completa</v>
          </cell>
          <cell r="K312" t="str">
            <v>SAN JOSE DE LLANOS</v>
          </cell>
          <cell r="L312">
            <v>0</v>
          </cell>
          <cell r="M312" t="str">
            <v>SAN JOSE DE LLANOS</v>
          </cell>
          <cell r="T312" t="e">
            <v>#REF!</v>
          </cell>
        </row>
        <row r="313">
          <cell r="A313" t="str">
            <v>ZANGARRO (ZANGARRO NUEVO)</v>
          </cell>
          <cell r="B313" t="str">
            <v>11DPR1083I</v>
          </cell>
          <cell r="C313" t="str">
            <v>X</v>
          </cell>
          <cell r="E313" t="str">
            <v>BENITO JUAREZ</v>
          </cell>
          <cell r="F313">
            <v>1</v>
          </cell>
          <cell r="G313">
            <v>1</v>
          </cell>
          <cell r="H313" t="str">
            <v>Guanajuato</v>
          </cell>
          <cell r="I313">
            <v>85000</v>
          </cell>
          <cell r="J313" t="str">
            <v>Completa</v>
          </cell>
          <cell r="K313" t="str">
            <v>ZANGARRO NUEVO</v>
          </cell>
          <cell r="L313">
            <v>0</v>
          </cell>
          <cell r="M313" t="str">
            <v>ZANGARRO (ZANGARRO NUEVO)</v>
          </cell>
          <cell r="T313" t="e">
            <v>#REF!</v>
          </cell>
        </row>
        <row r="314">
          <cell r="A314" t="str">
            <v>SAN ISIDRO</v>
          </cell>
          <cell r="B314" t="str">
            <v>11DPR3207O</v>
          </cell>
          <cell r="D314" t="str">
            <v>X</v>
          </cell>
          <cell r="E314" t="str">
            <v>ALVARO OBREGON</v>
          </cell>
          <cell r="F314">
            <v>1</v>
          </cell>
          <cell r="G314">
            <v>1</v>
          </cell>
          <cell r="H314" t="str">
            <v>Guanajuato</v>
          </cell>
          <cell r="I314">
            <v>20000</v>
          </cell>
          <cell r="J314" t="str">
            <v>Multigrado</v>
          </cell>
          <cell r="K314" t="str">
            <v>SAN ISIDRO</v>
          </cell>
          <cell r="L314">
            <v>0</v>
          </cell>
          <cell r="M314" t="str">
            <v>SAN ISIDRO</v>
          </cell>
          <cell r="T314" t="e">
            <v>#REF!</v>
          </cell>
        </row>
        <row r="315">
          <cell r="A315" t="str">
            <v>HUANIMARO</v>
          </cell>
          <cell r="B315" t="str">
            <v>11EPR0778I</v>
          </cell>
          <cell r="C315" t="str">
            <v>X</v>
          </cell>
          <cell r="E315" t="str">
            <v>CUAUHTEMOC</v>
          </cell>
          <cell r="F315">
            <v>554</v>
          </cell>
          <cell r="G315">
            <v>3</v>
          </cell>
          <cell r="H315" t="str">
            <v>Huanímaro</v>
          </cell>
          <cell r="I315">
            <v>80000</v>
          </cell>
          <cell r="J315" t="str">
            <v>Completa</v>
          </cell>
          <cell r="K315" t="str">
            <v>AGUSTIN TELLEZ CRUCES NUM. 10</v>
          </cell>
          <cell r="L315" t="str">
            <v>ZONA CENTRO</v>
          </cell>
          <cell r="M315" t="str">
            <v>HUANIMARO</v>
          </cell>
          <cell r="T315" t="e">
            <v>#REF!</v>
          </cell>
        </row>
        <row r="316">
          <cell r="A316" t="str">
            <v>LA LOBERA (EL RIÑON)</v>
          </cell>
          <cell r="B316" t="str">
            <v>11DJN0576X</v>
          </cell>
          <cell r="C316" t="str">
            <v>X</v>
          </cell>
          <cell r="E316" t="str">
            <v>NICOLAS BRAVO</v>
          </cell>
          <cell r="F316">
            <v>77</v>
          </cell>
          <cell r="G316">
            <v>19</v>
          </cell>
          <cell r="H316" t="str">
            <v>Huanímaro</v>
          </cell>
          <cell r="I316">
            <v>85000</v>
          </cell>
          <cell r="J316" t="str">
            <v>Completa</v>
          </cell>
          <cell r="K316" t="str">
            <v>LA LOBERA</v>
          </cell>
          <cell r="L316">
            <v>0</v>
          </cell>
          <cell r="M316" t="str">
            <v>LA LOBERA (EL RIÑON)</v>
          </cell>
          <cell r="T316" t="e">
            <v>#REF!</v>
          </cell>
        </row>
        <row r="317">
          <cell r="A317" t="str">
            <v>ZAPOTE DE AGUIRRE</v>
          </cell>
          <cell r="B317" t="str">
            <v>11DPR2556N</v>
          </cell>
          <cell r="C317" t="str">
            <v>X</v>
          </cell>
          <cell r="E317" t="str">
            <v>JOSE MA MORELOS Y PAVON</v>
          </cell>
          <cell r="F317">
            <v>45</v>
          </cell>
          <cell r="G317">
            <v>7</v>
          </cell>
          <cell r="H317" t="str">
            <v>Huanímaro</v>
          </cell>
          <cell r="I317">
            <v>20000</v>
          </cell>
          <cell r="J317" t="str">
            <v>Multigrado</v>
          </cell>
          <cell r="K317" t="str">
            <v>ZAPOTE DE AGUIRRE</v>
          </cell>
          <cell r="L317">
            <v>0</v>
          </cell>
          <cell r="M317" t="str">
            <v>ZAPOTE DE AGUIRRE</v>
          </cell>
          <cell r="T317" t="e">
            <v>#REF!</v>
          </cell>
        </row>
        <row r="318">
          <cell r="A318" t="str">
            <v>LA GRANJA (LA GATA)</v>
          </cell>
          <cell r="B318" t="str">
            <v>11EJN0382I</v>
          </cell>
          <cell r="C318" t="str">
            <v>X</v>
          </cell>
          <cell r="E318" t="str">
            <v>BENITO JUAREZ</v>
          </cell>
          <cell r="F318">
            <v>521</v>
          </cell>
          <cell r="G318">
            <v>4</v>
          </cell>
          <cell r="H318" t="str">
            <v>Huanímaro</v>
          </cell>
          <cell r="I318">
            <v>25000</v>
          </cell>
          <cell r="J318" t="str">
            <v>Multigrado</v>
          </cell>
          <cell r="K318" t="str">
            <v>LA GRANJA</v>
          </cell>
          <cell r="L318">
            <v>0</v>
          </cell>
          <cell r="M318" t="str">
            <v>LA GRANJA (LA GATA)</v>
          </cell>
          <cell r="T318" t="e">
            <v>#REF!</v>
          </cell>
        </row>
        <row r="319">
          <cell r="A319" t="str">
            <v>MONTE BLANCO</v>
          </cell>
          <cell r="B319" t="str">
            <v>11EJN0315K</v>
          </cell>
          <cell r="C319" t="str">
            <v>X</v>
          </cell>
          <cell r="E319" t="str">
            <v>SOR JUANA INES DE LA CRUZ</v>
          </cell>
          <cell r="F319">
            <v>521</v>
          </cell>
          <cell r="G319">
            <v>4</v>
          </cell>
          <cell r="H319" t="str">
            <v>Huanímaro</v>
          </cell>
          <cell r="I319">
            <v>30000</v>
          </cell>
          <cell r="J319" t="str">
            <v>Multigrado</v>
          </cell>
          <cell r="K319" t="str">
            <v>MONTE BLANCO</v>
          </cell>
          <cell r="L319">
            <v>0</v>
          </cell>
          <cell r="M319" t="str">
            <v>MONTE BLANCO</v>
          </cell>
          <cell r="T319" t="e">
            <v>#REF!</v>
          </cell>
        </row>
        <row r="320">
          <cell r="A320" t="str">
            <v>JOROCHES (JOROCHES NUEVO)</v>
          </cell>
          <cell r="B320" t="str">
            <v>11DJN0575Y</v>
          </cell>
          <cell r="C320" t="str">
            <v>X</v>
          </cell>
          <cell r="E320" t="str">
            <v>JARDIN DE NIÑOS</v>
          </cell>
          <cell r="F320">
            <v>77</v>
          </cell>
          <cell r="G320">
            <v>19</v>
          </cell>
          <cell r="H320" t="str">
            <v>Huanímaro</v>
          </cell>
          <cell r="I320">
            <v>30000</v>
          </cell>
          <cell r="J320" t="str">
            <v>Multigrado</v>
          </cell>
          <cell r="K320" t="str">
            <v>JOROCHES</v>
          </cell>
          <cell r="L320">
            <v>0</v>
          </cell>
          <cell r="M320" t="str">
            <v>JOROCHES (JOROCHES NUEVO)</v>
          </cell>
          <cell r="T320" t="e">
            <v>#REF!</v>
          </cell>
        </row>
        <row r="321">
          <cell r="A321" t="str">
            <v>PASO DE CARRETAS</v>
          </cell>
          <cell r="B321" t="str">
            <v>11EJN0383H</v>
          </cell>
          <cell r="C321" t="str">
            <v>X</v>
          </cell>
          <cell r="E321" t="str">
            <v>LAZARO CARDENAS DEL RIO</v>
          </cell>
          <cell r="F321">
            <v>521</v>
          </cell>
          <cell r="G321">
            <v>4</v>
          </cell>
          <cell r="H321" t="str">
            <v>Huanímaro</v>
          </cell>
          <cell r="I321">
            <v>25000</v>
          </cell>
          <cell r="J321" t="str">
            <v>Multigrado</v>
          </cell>
          <cell r="K321" t="str">
            <v>PASO DE CARRETAS</v>
          </cell>
          <cell r="L321">
            <v>0</v>
          </cell>
          <cell r="M321" t="str">
            <v>PASO DE CARRETAS</v>
          </cell>
          <cell r="T321" t="e">
            <v>#REF!</v>
          </cell>
        </row>
        <row r="322">
          <cell r="A322" t="str">
            <v>SAN JOSE DE AYALA</v>
          </cell>
          <cell r="B322" t="str">
            <v>11ETV0320L</v>
          </cell>
          <cell r="D322" t="str">
            <v>X</v>
          </cell>
          <cell r="E322" t="str">
            <v>TELESECUNDARIA NUM. 324</v>
          </cell>
          <cell r="F322">
            <v>501</v>
          </cell>
          <cell r="G322">
            <v>3</v>
          </cell>
          <cell r="H322" t="str">
            <v>Huanímaro</v>
          </cell>
          <cell r="I322">
            <v>85000</v>
          </cell>
          <cell r="J322" t="str">
            <v>Completa</v>
          </cell>
          <cell r="K322" t="str">
            <v>SAN JOSE DE AYALA</v>
          </cell>
          <cell r="L322">
            <v>0</v>
          </cell>
          <cell r="M322" t="str">
            <v>SAN JOSE DE AYALA</v>
          </cell>
          <cell r="T322" t="e">
            <v>#REF!</v>
          </cell>
        </row>
        <row r="323">
          <cell r="A323" t="str">
            <v>SAN CRISTOBAL DE AYALA (SAN CRISTOBAL)</v>
          </cell>
          <cell r="B323" t="str">
            <v>11EJN0323T</v>
          </cell>
          <cell r="C323" t="str">
            <v>X</v>
          </cell>
          <cell r="E323" t="str">
            <v>MANUEL LOPEZ COTILLA</v>
          </cell>
          <cell r="F323">
            <v>521</v>
          </cell>
          <cell r="G323">
            <v>4</v>
          </cell>
          <cell r="H323" t="str">
            <v>Huanímaro</v>
          </cell>
          <cell r="I323">
            <v>30000</v>
          </cell>
          <cell r="J323" t="str">
            <v>Multigrado</v>
          </cell>
          <cell r="K323" t="str">
            <v>SAN CRISTOBAL</v>
          </cell>
          <cell r="L323">
            <v>0</v>
          </cell>
          <cell r="M323" t="str">
            <v>SAN CRISTOBAL DE AYALA (SAN CRISTOBAL)</v>
          </cell>
          <cell r="T323" t="e">
            <v>#REF!</v>
          </cell>
        </row>
        <row r="324">
          <cell r="A324" t="str">
            <v>CERRITO ALTO NUEVO</v>
          </cell>
          <cell r="B324" t="str">
            <v>11DJN1082T</v>
          </cell>
          <cell r="C324" t="str">
            <v>X</v>
          </cell>
          <cell r="E324" t="str">
            <v>JOSE DIAZ COVARRUBIAS</v>
          </cell>
          <cell r="F324">
            <v>77</v>
          </cell>
          <cell r="G324">
            <v>19</v>
          </cell>
          <cell r="H324" t="str">
            <v>Huanímaro</v>
          </cell>
          <cell r="I324">
            <v>30000</v>
          </cell>
          <cell r="J324" t="str">
            <v>Multigrado</v>
          </cell>
          <cell r="K324" t="str">
            <v>CERRITO ALTO NUEVO</v>
          </cell>
          <cell r="L324">
            <v>0</v>
          </cell>
          <cell r="M324" t="str">
            <v>CERRITO ALTO NUEVO</v>
          </cell>
          <cell r="T324" t="e">
            <v>#REF!</v>
          </cell>
        </row>
        <row r="325">
          <cell r="A325" t="str">
            <v>OJOS DE AGUA</v>
          </cell>
          <cell r="B325" t="str">
            <v>11DJN1080V</v>
          </cell>
          <cell r="C325" t="str">
            <v>X</v>
          </cell>
          <cell r="E325" t="str">
            <v>BENITO JUAREZ</v>
          </cell>
          <cell r="F325">
            <v>77</v>
          </cell>
          <cell r="G325">
            <v>19</v>
          </cell>
          <cell r="H325" t="str">
            <v>Huanímaro</v>
          </cell>
          <cell r="I325">
            <v>30000</v>
          </cell>
          <cell r="J325" t="str">
            <v>Multigrado</v>
          </cell>
          <cell r="K325" t="str">
            <v>OJOS DE AGUA</v>
          </cell>
          <cell r="L325">
            <v>0</v>
          </cell>
          <cell r="M325" t="str">
            <v>OJOS DE AGUA</v>
          </cell>
          <cell r="T325" t="e">
            <v>#REF!</v>
          </cell>
        </row>
        <row r="326">
          <cell r="A326" t="str">
            <v>SAN JUAN GRANDE</v>
          </cell>
          <cell r="B326" t="str">
            <v>11DJN1081U</v>
          </cell>
          <cell r="C326" t="str">
            <v>X</v>
          </cell>
          <cell r="E326" t="str">
            <v>MANUEL FLORES</v>
          </cell>
          <cell r="F326">
            <v>77</v>
          </cell>
          <cell r="G326">
            <v>19</v>
          </cell>
          <cell r="H326" t="str">
            <v>Huanímaro</v>
          </cell>
          <cell r="I326">
            <v>30000</v>
          </cell>
          <cell r="J326" t="str">
            <v>Multigrado</v>
          </cell>
          <cell r="K326" t="str">
            <v>SAN JUAN GRANDE</v>
          </cell>
          <cell r="L326">
            <v>0</v>
          </cell>
          <cell r="M326" t="str">
            <v>SAN JUAN GRANDE</v>
          </cell>
          <cell r="T326" t="e">
            <v>#REF!</v>
          </cell>
        </row>
        <row r="327">
          <cell r="A327" t="str">
            <v>IRAPUATO</v>
          </cell>
          <cell r="B327" t="str">
            <v>11DJN0352P</v>
          </cell>
          <cell r="D327" t="str">
            <v>X</v>
          </cell>
          <cell r="E327" t="str">
            <v>ANTONIO CASO</v>
          </cell>
          <cell r="F327">
            <v>34</v>
          </cell>
          <cell r="G327">
            <v>17</v>
          </cell>
          <cell r="H327" t="str">
            <v>Irapuato</v>
          </cell>
          <cell r="I327">
            <v>30000</v>
          </cell>
          <cell r="J327" t="str">
            <v>Multigrado</v>
          </cell>
          <cell r="K327" t="str">
            <v>PROLONGACION AVENIDA MORELOS S/N</v>
          </cell>
          <cell r="L327" t="str">
            <v>MORELOS</v>
          </cell>
          <cell r="M327" t="str">
            <v>IRAPUATO</v>
          </cell>
          <cell r="T327" t="e">
            <v>#REF!</v>
          </cell>
        </row>
        <row r="328">
          <cell r="A328" t="str">
            <v>SAN ANTONIO EL RICO</v>
          </cell>
          <cell r="B328" t="str">
            <v>11DJN0362W</v>
          </cell>
          <cell r="C328" t="str">
            <v>X</v>
          </cell>
          <cell r="E328" t="str">
            <v>30 DE ABRIL</v>
          </cell>
          <cell r="F328">
            <v>36</v>
          </cell>
          <cell r="G328">
            <v>4</v>
          </cell>
          <cell r="H328" t="str">
            <v>Irapuato</v>
          </cell>
          <cell r="I328">
            <v>85000</v>
          </cell>
          <cell r="J328" t="str">
            <v>Completa</v>
          </cell>
          <cell r="K328" t="str">
            <v>SAN ANTONIO EL RICO</v>
          </cell>
          <cell r="L328">
            <v>0</v>
          </cell>
          <cell r="M328" t="str">
            <v>SAN ANTONIO EL RICO</v>
          </cell>
          <cell r="T328" t="e">
            <v>#REF!</v>
          </cell>
        </row>
        <row r="329">
          <cell r="A329" t="str">
            <v>LA TRINIDAD DE TEMASCATIO</v>
          </cell>
          <cell r="B329" t="str">
            <v>11DJN2608M</v>
          </cell>
          <cell r="D329" t="str">
            <v>X</v>
          </cell>
          <cell r="E329" t="str">
            <v>PEDRO MORENO</v>
          </cell>
          <cell r="F329">
            <v>34</v>
          </cell>
          <cell r="G329">
            <v>17</v>
          </cell>
          <cell r="H329" t="str">
            <v>Irapuato</v>
          </cell>
          <cell r="I329">
            <v>30000</v>
          </cell>
          <cell r="J329" t="str">
            <v>Multigrado</v>
          </cell>
          <cell r="K329" t="str">
            <v>TRINIDAD TEMASCATIO</v>
          </cell>
          <cell r="L329">
            <v>0</v>
          </cell>
          <cell r="M329" t="str">
            <v>LA TRINIDAD DE TEMASCATIO</v>
          </cell>
          <cell r="T329" t="e">
            <v>#REF!</v>
          </cell>
        </row>
        <row r="330">
          <cell r="A330" t="str">
            <v>IRAPUATO</v>
          </cell>
          <cell r="B330" t="str">
            <v>11DJN3661O</v>
          </cell>
          <cell r="C330" t="str">
            <v>X</v>
          </cell>
          <cell r="E330" t="str">
            <v>JACINTO CANEK</v>
          </cell>
          <cell r="F330">
            <v>34</v>
          </cell>
          <cell r="G330">
            <v>17</v>
          </cell>
          <cell r="H330" t="str">
            <v>Irapuato</v>
          </cell>
          <cell r="I330">
            <v>75000</v>
          </cell>
          <cell r="J330" t="str">
            <v>Completa</v>
          </cell>
          <cell r="K330" t="str">
            <v>NARVARTE NUM. 708</v>
          </cell>
          <cell r="L330">
            <v>0</v>
          </cell>
          <cell r="M330" t="str">
            <v>IRAPUATO</v>
          </cell>
          <cell r="T330" t="e">
            <v>#REF!</v>
          </cell>
        </row>
        <row r="331">
          <cell r="A331" t="str">
            <v>EL CARRIZALITO</v>
          </cell>
          <cell r="B331" t="str">
            <v>11DJN4487E</v>
          </cell>
          <cell r="D331" t="str">
            <v>X</v>
          </cell>
          <cell r="E331" t="str">
            <v>JOAQUÌN BARANDA</v>
          </cell>
          <cell r="F331">
            <v>34</v>
          </cell>
          <cell r="G331">
            <v>17</v>
          </cell>
          <cell r="H331" t="str">
            <v>Irapuato</v>
          </cell>
          <cell r="I331">
            <v>28000</v>
          </cell>
          <cell r="J331" t="str">
            <v>Multigrado</v>
          </cell>
          <cell r="K331" t="str">
            <v>MIGUEL HIDALGO NUM. 32</v>
          </cell>
          <cell r="L331" t="str">
            <v>EL CARRIZALITO</v>
          </cell>
          <cell r="M331" t="str">
            <v>EL CARRIZALITO</v>
          </cell>
          <cell r="T331" t="e">
            <v>#REF!</v>
          </cell>
        </row>
        <row r="332">
          <cell r="A332" t="str">
            <v>IRAPUATO</v>
          </cell>
          <cell r="B332" t="str">
            <v>11DPR0951A</v>
          </cell>
          <cell r="C332" t="str">
            <v>X</v>
          </cell>
          <cell r="E332" t="str">
            <v>DR. JOSE MARIA LUIS MORA</v>
          </cell>
          <cell r="F332">
            <v>134</v>
          </cell>
          <cell r="G332">
            <v>6</v>
          </cell>
          <cell r="H332" t="str">
            <v>Irapuato</v>
          </cell>
          <cell r="I332">
            <v>85000</v>
          </cell>
          <cell r="J332" t="str">
            <v>Completa</v>
          </cell>
          <cell r="K332" t="str">
            <v>ABUNDIO GOMEZ Y JUAN CANO NUM. 340</v>
          </cell>
          <cell r="L332">
            <v>0</v>
          </cell>
          <cell r="M332" t="str">
            <v>IRAPUATO</v>
          </cell>
          <cell r="T332" t="e">
            <v>#REF!</v>
          </cell>
        </row>
        <row r="333">
          <cell r="A333" t="str">
            <v>IRAPUATO</v>
          </cell>
          <cell r="B333" t="str">
            <v>11DPR2170K</v>
          </cell>
          <cell r="C333" t="str">
            <v>X</v>
          </cell>
          <cell r="E333" t="str">
            <v>MARTIRES DE RIO BLANCO</v>
          </cell>
          <cell r="F333">
            <v>134</v>
          </cell>
          <cell r="G333">
            <v>6</v>
          </cell>
          <cell r="H333" t="str">
            <v>Irapuato</v>
          </cell>
          <cell r="I333">
            <v>85000</v>
          </cell>
          <cell r="J333" t="str">
            <v>Completa</v>
          </cell>
          <cell r="K333" t="str">
            <v>JUSTICIA SOCIAL NUM. 1271</v>
          </cell>
          <cell r="L333" t="str">
            <v>ESFUERZO OBRERO</v>
          </cell>
          <cell r="M333" t="str">
            <v>IRAPUATO</v>
          </cell>
          <cell r="T333" t="e">
            <v>#REF!</v>
          </cell>
        </row>
        <row r="334">
          <cell r="A334" t="str">
            <v>IRAPUATO</v>
          </cell>
          <cell r="B334" t="str">
            <v>11DPR3582S</v>
          </cell>
          <cell r="D334" t="str">
            <v>X</v>
          </cell>
          <cell r="E334" t="str">
            <v>SENTIMIENTOS DE LA NACION</v>
          </cell>
          <cell r="F334">
            <v>134</v>
          </cell>
          <cell r="G334">
            <v>6</v>
          </cell>
          <cell r="H334" t="str">
            <v>Irapuato</v>
          </cell>
          <cell r="I334">
            <v>85000</v>
          </cell>
          <cell r="J334" t="str">
            <v>Completa</v>
          </cell>
          <cell r="K334" t="str">
            <v>NOVA NUM. 44</v>
          </cell>
          <cell r="L334">
            <v>0</v>
          </cell>
          <cell r="M334" t="str">
            <v>IRAPUATO</v>
          </cell>
          <cell r="T334" t="e">
            <v>#REF!</v>
          </cell>
        </row>
        <row r="335">
          <cell r="A335" t="str">
            <v>IRAPUATO</v>
          </cell>
          <cell r="B335" t="str">
            <v>11EJN0061Z</v>
          </cell>
          <cell r="C335" t="str">
            <v>X</v>
          </cell>
          <cell r="E335" t="str">
            <v>PROFRA. ENEDINA RAMIREZ</v>
          </cell>
          <cell r="F335">
            <v>512</v>
          </cell>
          <cell r="G335">
            <v>4</v>
          </cell>
          <cell r="H335" t="str">
            <v>Irapuato</v>
          </cell>
          <cell r="I335">
            <v>85000</v>
          </cell>
          <cell r="J335" t="str">
            <v>Completa</v>
          </cell>
          <cell r="K335" t="str">
            <v>FRANCISCO SARABIA NUM. 502</v>
          </cell>
          <cell r="L335" t="str">
            <v>SANTA JULIA</v>
          </cell>
          <cell r="M335" t="str">
            <v>IRAPUATO</v>
          </cell>
          <cell r="T335" t="e">
            <v>#REF!</v>
          </cell>
        </row>
        <row r="336">
          <cell r="A336" t="str">
            <v>ALDAMA</v>
          </cell>
          <cell r="B336" t="str">
            <v>11EPR0456Z</v>
          </cell>
          <cell r="C336" t="str">
            <v>X</v>
          </cell>
          <cell r="E336" t="str">
            <v>MAURILIO CASTORENA</v>
          </cell>
          <cell r="F336">
            <v>547</v>
          </cell>
          <cell r="G336">
            <v>3</v>
          </cell>
          <cell r="H336" t="str">
            <v>Irapuato</v>
          </cell>
          <cell r="I336">
            <v>85000</v>
          </cell>
          <cell r="J336" t="str">
            <v>Completa</v>
          </cell>
          <cell r="K336" t="str">
            <v>MORELOS NUM. 55</v>
          </cell>
          <cell r="L336">
            <v>0</v>
          </cell>
          <cell r="M336" t="str">
            <v>ALDAMA</v>
          </cell>
          <cell r="T336" t="e">
            <v>#REF!</v>
          </cell>
        </row>
        <row r="337">
          <cell r="A337" t="str">
            <v>RANCHO NUEVO DE DOLORES (EL CUERO)</v>
          </cell>
          <cell r="B337" t="str">
            <v>11EPR0819S</v>
          </cell>
          <cell r="D337" t="str">
            <v>X</v>
          </cell>
          <cell r="E337" t="str">
            <v>EMILIANO ZAPATA</v>
          </cell>
          <cell r="F337">
            <v>547</v>
          </cell>
          <cell r="G337">
            <v>3</v>
          </cell>
          <cell r="H337" t="str">
            <v>Irapuato</v>
          </cell>
          <cell r="I337">
            <v>84000</v>
          </cell>
          <cell r="J337" t="str">
            <v>Completa</v>
          </cell>
          <cell r="K337" t="str">
            <v>RANCHO NUEVO DE DOLORES S/N</v>
          </cell>
          <cell r="L337">
            <v>0</v>
          </cell>
          <cell r="M337" t="str">
            <v>RANCHO NUEVO DE DOLORES (EL CUERO)</v>
          </cell>
          <cell r="T337" t="e">
            <v>#REF!</v>
          </cell>
        </row>
        <row r="338">
          <cell r="A338" t="str">
            <v>IRAPUATO</v>
          </cell>
          <cell r="B338" t="str">
            <v>11DPR1267P</v>
          </cell>
          <cell r="D338" t="str">
            <v>X</v>
          </cell>
          <cell r="E338" t="str">
            <v>ALFREDO V BONFIL</v>
          </cell>
          <cell r="F338">
            <v>31</v>
          </cell>
          <cell r="G338">
            <v>24</v>
          </cell>
          <cell r="H338" t="str">
            <v>Irapuato</v>
          </cell>
          <cell r="I338">
            <v>85000</v>
          </cell>
          <cell r="J338" t="str">
            <v>Completa</v>
          </cell>
          <cell r="K338" t="str">
            <v>ABELARDO RODRIGUEZ NUM. 290</v>
          </cell>
          <cell r="L338" t="str">
            <v>LOS PRESIDENTES</v>
          </cell>
          <cell r="M338" t="str">
            <v>IRAPUATO</v>
          </cell>
          <cell r="T338" t="e">
            <v>#REF!</v>
          </cell>
        </row>
        <row r="339">
          <cell r="A339" t="str">
            <v>SAN LUIS DEL JANAMO (EL MORADO)</v>
          </cell>
          <cell r="B339" t="str">
            <v>11DPR1780E</v>
          </cell>
          <cell r="C339" t="str">
            <v>X</v>
          </cell>
          <cell r="E339" t="str">
            <v>GENERAL LAZARO CARDENAS</v>
          </cell>
          <cell r="F339">
            <v>5</v>
          </cell>
          <cell r="G339">
            <v>24</v>
          </cell>
          <cell r="H339" t="str">
            <v>Irapuato</v>
          </cell>
          <cell r="I339">
            <v>85000</v>
          </cell>
          <cell r="J339" t="str">
            <v>Completa</v>
          </cell>
          <cell r="K339" t="str">
            <v>SAN LUIS DEL JANAMO</v>
          </cell>
          <cell r="L339">
            <v>0</v>
          </cell>
          <cell r="M339" t="str">
            <v>SAN LUIS DEL JANAMO (EL MORADO)</v>
          </cell>
          <cell r="T339" t="e">
            <v>#REF!</v>
          </cell>
        </row>
        <row r="340">
          <cell r="A340" t="str">
            <v>IRAPUATO</v>
          </cell>
          <cell r="B340" t="str">
            <v>11DJN2767A</v>
          </cell>
          <cell r="D340" t="str">
            <v>X</v>
          </cell>
          <cell r="E340" t="str">
            <v>JAIME TORRES BODET</v>
          </cell>
          <cell r="F340">
            <v>34</v>
          </cell>
          <cell r="G340">
            <v>17</v>
          </cell>
          <cell r="H340" t="str">
            <v>Irapuato</v>
          </cell>
          <cell r="I340">
            <v>85000</v>
          </cell>
          <cell r="J340" t="str">
            <v>Completa</v>
          </cell>
          <cell r="K340" t="str">
            <v>AVENIDA MIGUEL HIDALGO S/N</v>
          </cell>
          <cell r="L340" t="str">
            <v>CONSTITUCION DE APATZINGAN</v>
          </cell>
          <cell r="M340" t="str">
            <v>IRAPUATO</v>
          </cell>
          <cell r="T340" t="e">
            <v>#REF!</v>
          </cell>
        </row>
        <row r="341">
          <cell r="A341" t="str">
            <v>IRAPUATO</v>
          </cell>
          <cell r="B341" t="str">
            <v>11DJN4339W</v>
          </cell>
          <cell r="C341" t="str">
            <v>X</v>
          </cell>
          <cell r="E341" t="str">
            <v>30 DE ABRIL</v>
          </cell>
          <cell r="F341">
            <v>3</v>
          </cell>
          <cell r="G341">
            <v>4</v>
          </cell>
          <cell r="H341" t="str">
            <v>Irapuato</v>
          </cell>
          <cell r="I341">
            <v>85000</v>
          </cell>
          <cell r="J341" t="str">
            <v>Completa</v>
          </cell>
          <cell r="K341" t="str">
            <v>CASTILLO BRETON S/N</v>
          </cell>
          <cell r="L341" t="str">
            <v>MODERNA</v>
          </cell>
          <cell r="M341" t="str">
            <v>IRAPUATO</v>
          </cell>
          <cell r="T341" t="e">
            <v>#REF!</v>
          </cell>
        </row>
        <row r="342">
          <cell r="A342" t="str">
            <v>IRAPUATO</v>
          </cell>
          <cell r="B342" t="str">
            <v>11DPR3326B</v>
          </cell>
          <cell r="C342" t="str">
            <v>X</v>
          </cell>
          <cell r="E342" t="str">
            <v>FERNANDO MONTES DE OCA</v>
          </cell>
          <cell r="F342">
            <v>114</v>
          </cell>
          <cell r="G342">
            <v>6</v>
          </cell>
          <cell r="H342" t="str">
            <v>Irapuato</v>
          </cell>
          <cell r="I342">
            <v>45000</v>
          </cell>
          <cell r="J342" t="str">
            <v>Completa</v>
          </cell>
          <cell r="K342" t="str">
            <v>REY SOL Y REY AHUIZOTL S/N</v>
          </cell>
          <cell r="L342">
            <v>0</v>
          </cell>
          <cell r="M342" t="str">
            <v>IRAPUATO</v>
          </cell>
          <cell r="T342" t="e">
            <v>#REF!</v>
          </cell>
        </row>
        <row r="343">
          <cell r="A343" t="str">
            <v>IRAPUATO</v>
          </cell>
          <cell r="B343" t="str">
            <v>11EJN0375Z</v>
          </cell>
          <cell r="C343" t="str">
            <v>X</v>
          </cell>
          <cell r="E343" t="str">
            <v>JEAN PIAJET</v>
          </cell>
          <cell r="F343">
            <v>508</v>
          </cell>
          <cell r="G343">
            <v>4</v>
          </cell>
          <cell r="H343" t="str">
            <v>Irapuato</v>
          </cell>
          <cell r="I343">
            <v>85000</v>
          </cell>
          <cell r="J343" t="str">
            <v>Completa</v>
          </cell>
          <cell r="K343" t="str">
            <v>BAMBU NUM. 521</v>
          </cell>
          <cell r="L343" t="str">
            <v>LOS FRESNOS</v>
          </cell>
          <cell r="M343" t="str">
            <v>IRAPUATO</v>
          </cell>
          <cell r="T343" t="e">
            <v>#REF!</v>
          </cell>
        </row>
        <row r="344">
          <cell r="A344" t="str">
            <v>SAN ROQUE</v>
          </cell>
          <cell r="B344" t="str">
            <v>11DJN0361X</v>
          </cell>
          <cell r="C344" t="str">
            <v>X</v>
          </cell>
          <cell r="E344" t="str">
            <v>EVERARDO HERNANDEZ</v>
          </cell>
          <cell r="F344">
            <v>34</v>
          </cell>
          <cell r="G344">
            <v>17</v>
          </cell>
          <cell r="H344" t="str">
            <v>Irapuato</v>
          </cell>
          <cell r="I344">
            <v>85000</v>
          </cell>
          <cell r="J344" t="str">
            <v>Completa</v>
          </cell>
          <cell r="K344" t="str">
            <v>VICENTE GUERRERO</v>
          </cell>
          <cell r="L344" t="str">
            <v>SAN ROQUE</v>
          </cell>
          <cell r="M344" t="str">
            <v>SAN ROQUE</v>
          </cell>
          <cell r="T344" t="e">
            <v>#REF!</v>
          </cell>
        </row>
        <row r="345">
          <cell r="A345" t="str">
            <v>IRAPUATO</v>
          </cell>
          <cell r="B345" t="str">
            <v>11DPR2074H</v>
          </cell>
          <cell r="C345" t="str">
            <v>X</v>
          </cell>
          <cell r="E345" t="str">
            <v>MAESTRO DAVID ALFARO SIQUEIROS</v>
          </cell>
          <cell r="F345">
            <v>31</v>
          </cell>
          <cell r="G345">
            <v>24</v>
          </cell>
          <cell r="H345" t="str">
            <v>Irapuato</v>
          </cell>
          <cell r="I345">
            <v>85000</v>
          </cell>
          <cell r="J345" t="str">
            <v>Completa</v>
          </cell>
          <cell r="K345" t="str">
            <v>PROLONGACION ABASOLO S/N</v>
          </cell>
          <cell r="L345" t="str">
            <v>SAN MIGUELITO</v>
          </cell>
          <cell r="M345" t="str">
            <v>IRAPUATO</v>
          </cell>
          <cell r="T345" t="e">
            <v>#REF!</v>
          </cell>
        </row>
        <row r="346">
          <cell r="A346" t="str">
            <v>PROVIDENCIA DE PEREZ (EL GUANTON)</v>
          </cell>
          <cell r="B346" t="str">
            <v>11DPR1419D</v>
          </cell>
          <cell r="D346" t="str">
            <v>X</v>
          </cell>
          <cell r="E346" t="str">
            <v>LIC. BENITO JUAREZ</v>
          </cell>
          <cell r="F346">
            <v>31</v>
          </cell>
          <cell r="G346">
            <v>24</v>
          </cell>
          <cell r="H346" t="str">
            <v>Irapuato</v>
          </cell>
          <cell r="I346">
            <v>85000</v>
          </cell>
          <cell r="J346" t="str">
            <v>Completa</v>
          </cell>
          <cell r="K346" t="str">
            <v>PROVIDENCIA DE PEREZ</v>
          </cell>
          <cell r="L346">
            <v>0</v>
          </cell>
          <cell r="M346" t="str">
            <v>PROVIDENCIA DE PEREZ (EL GUANTON)</v>
          </cell>
          <cell r="T346" t="e">
            <v>#REF!</v>
          </cell>
        </row>
        <row r="347">
          <cell r="A347" t="str">
            <v>IRAPUATO</v>
          </cell>
          <cell r="B347" t="str">
            <v>11DPR3850X</v>
          </cell>
          <cell r="D347" t="str">
            <v>X</v>
          </cell>
          <cell r="E347" t="str">
            <v>ESCUELA PRIMARIA</v>
          </cell>
          <cell r="F347">
            <v>31</v>
          </cell>
          <cell r="G347">
            <v>24</v>
          </cell>
          <cell r="H347" t="str">
            <v>Irapuato</v>
          </cell>
          <cell r="I347">
            <v>85000</v>
          </cell>
          <cell r="J347" t="str">
            <v>Completa</v>
          </cell>
          <cell r="K347" t="str">
            <v>VALLE VERDE</v>
          </cell>
          <cell r="L347">
            <v>0</v>
          </cell>
          <cell r="M347" t="str">
            <v>IRAPUATO</v>
          </cell>
          <cell r="T347" t="e">
            <v>#REF!</v>
          </cell>
        </row>
        <row r="348">
          <cell r="A348" t="str">
            <v>IRAPUATO</v>
          </cell>
          <cell r="B348" t="str">
            <v>11EJN0018K</v>
          </cell>
          <cell r="C348" t="str">
            <v>X</v>
          </cell>
          <cell r="E348" t="str">
            <v>MIGUEL HIDALGO Y COSTILLA</v>
          </cell>
          <cell r="F348">
            <v>512</v>
          </cell>
          <cell r="G348">
            <v>4</v>
          </cell>
          <cell r="H348" t="str">
            <v>Irapuato</v>
          </cell>
          <cell r="I348">
            <v>85000</v>
          </cell>
          <cell r="J348" t="str">
            <v>Completa</v>
          </cell>
          <cell r="K348" t="str">
            <v>FRANCISCO VILLA</v>
          </cell>
          <cell r="L348">
            <v>0</v>
          </cell>
          <cell r="M348" t="str">
            <v>IRAPUATO</v>
          </cell>
          <cell r="T348" t="e">
            <v>#REF!</v>
          </cell>
        </row>
        <row r="349">
          <cell r="A349" t="str">
            <v>IRAPUATO</v>
          </cell>
          <cell r="B349" t="str">
            <v>11EJN0339U</v>
          </cell>
          <cell r="C349" t="str">
            <v>X</v>
          </cell>
          <cell r="E349" t="str">
            <v>GABRIELA MISTRAL</v>
          </cell>
          <cell r="F349">
            <v>508</v>
          </cell>
          <cell r="G349">
            <v>4</v>
          </cell>
          <cell r="H349" t="str">
            <v>Irapuato</v>
          </cell>
          <cell r="I349">
            <v>85000</v>
          </cell>
          <cell r="J349" t="str">
            <v>Completa</v>
          </cell>
          <cell r="K349" t="str">
            <v>JAVIER MINA S/N</v>
          </cell>
          <cell r="L349" t="str">
            <v>LUIS ALONSO GONZALEZ</v>
          </cell>
          <cell r="M349" t="str">
            <v>IRAPUATO</v>
          </cell>
          <cell r="T349" t="e">
            <v>#REF!</v>
          </cell>
        </row>
        <row r="350">
          <cell r="A350" t="str">
            <v>IRAPUATO</v>
          </cell>
          <cell r="B350" t="str">
            <v>11DJN4047H</v>
          </cell>
          <cell r="C350" t="str">
            <v>X</v>
          </cell>
          <cell r="E350" t="str">
            <v>LIBERTAD</v>
          </cell>
          <cell r="F350">
            <v>22</v>
          </cell>
          <cell r="G350">
            <v>17</v>
          </cell>
          <cell r="H350" t="str">
            <v>Irapuato</v>
          </cell>
          <cell r="I350">
            <v>85000</v>
          </cell>
          <cell r="J350" t="str">
            <v>Completa</v>
          </cell>
          <cell r="K350" t="str">
            <v>SALTILLO NUM. 210</v>
          </cell>
          <cell r="L350" t="str">
            <v>TERCERA SECCION SAN MIGUELITO</v>
          </cell>
          <cell r="M350" t="str">
            <v>IRAPUATO</v>
          </cell>
          <cell r="T350" t="e">
            <v>#REF!</v>
          </cell>
        </row>
        <row r="351">
          <cell r="A351" t="str">
            <v>EJIDO DE MALVAS (LA ARGOLLA)</v>
          </cell>
          <cell r="B351" t="str">
            <v>11ETV0104W</v>
          </cell>
          <cell r="C351" t="str">
            <v>X</v>
          </cell>
          <cell r="E351" t="str">
            <v>TELESECUNDARIA NUM. 116</v>
          </cell>
          <cell r="F351">
            <v>511</v>
          </cell>
          <cell r="G351">
            <v>3</v>
          </cell>
          <cell r="H351" t="str">
            <v>Irapuato</v>
          </cell>
          <cell r="I351">
            <v>85000</v>
          </cell>
          <cell r="J351" t="str">
            <v>Completa</v>
          </cell>
          <cell r="K351" t="str">
            <v>LAS MALVAS</v>
          </cell>
          <cell r="L351">
            <v>0</v>
          </cell>
          <cell r="M351" t="str">
            <v>EJIDO DE MALVAS (LA ARGOLLA)</v>
          </cell>
          <cell r="T351" t="e">
            <v>#REF!</v>
          </cell>
        </row>
        <row r="352">
          <cell r="A352" t="str">
            <v>IRAPUATO</v>
          </cell>
          <cell r="B352" t="str">
            <v>11DPR2694P</v>
          </cell>
          <cell r="C352" t="str">
            <v>X</v>
          </cell>
          <cell r="E352" t="str">
            <v>PRIMERO DE MAYO</v>
          </cell>
          <cell r="F352">
            <v>113</v>
          </cell>
          <cell r="G352">
            <v>24</v>
          </cell>
          <cell r="H352" t="str">
            <v>Irapuato</v>
          </cell>
          <cell r="I352">
            <v>85000</v>
          </cell>
          <cell r="J352" t="str">
            <v>Completa</v>
          </cell>
          <cell r="K352" t="str">
            <v>LEY DEL SEGURO SOCIAL S/N</v>
          </cell>
          <cell r="L352" t="str">
            <v>1 DE MAYO</v>
          </cell>
          <cell r="M352" t="str">
            <v>IRAPUATO</v>
          </cell>
          <cell r="T352" t="e">
            <v>#REF!</v>
          </cell>
        </row>
        <row r="353">
          <cell r="A353" t="str">
            <v>SAN JOSE DE CRUCES</v>
          </cell>
          <cell r="B353" t="str">
            <v>11EJN0356K</v>
          </cell>
          <cell r="C353" t="str">
            <v>X</v>
          </cell>
          <cell r="E353" t="str">
            <v>BELISARIO DOMINGUEZ</v>
          </cell>
          <cell r="F353">
            <v>508</v>
          </cell>
          <cell r="G353">
            <v>4</v>
          </cell>
          <cell r="H353" t="str">
            <v>Irapuato</v>
          </cell>
          <cell r="I353">
            <v>30000</v>
          </cell>
          <cell r="J353" t="str">
            <v>Multigrado</v>
          </cell>
          <cell r="K353" t="str">
            <v>SAN JOSE DE CRUCES</v>
          </cell>
          <cell r="L353">
            <v>0</v>
          </cell>
          <cell r="M353" t="str">
            <v>SAN JOSE DE CRUCES</v>
          </cell>
          <cell r="T353" t="e">
            <v>#REF!</v>
          </cell>
        </row>
        <row r="354">
          <cell r="A354" t="str">
            <v>IRAPUATO</v>
          </cell>
          <cell r="B354" t="str">
            <v>11ETV0402V</v>
          </cell>
          <cell r="C354" t="str">
            <v>X</v>
          </cell>
          <cell r="E354" t="str">
            <v>TELESECUNDARIA NUM. 239</v>
          </cell>
          <cell r="F354">
            <v>511</v>
          </cell>
          <cell r="G354">
            <v>3</v>
          </cell>
          <cell r="H354" t="str">
            <v>Irapuato</v>
          </cell>
          <cell r="I354">
            <v>85000</v>
          </cell>
          <cell r="J354" t="str">
            <v>Completa</v>
          </cell>
          <cell r="K354" t="str">
            <v>ZARAGOZA NUM. 381</v>
          </cell>
          <cell r="L354">
            <v>0</v>
          </cell>
          <cell r="M354" t="str">
            <v>IRAPUATO</v>
          </cell>
          <cell r="T354" t="e">
            <v>#REF!</v>
          </cell>
        </row>
        <row r="355">
          <cell r="A355" t="str">
            <v>RIVERA DE GUADALUPE</v>
          </cell>
          <cell r="B355" t="str">
            <v>11DJN0559G</v>
          </cell>
          <cell r="C355" t="str">
            <v>X</v>
          </cell>
          <cell r="E355" t="str">
            <v>JAIME TORRES BODET</v>
          </cell>
          <cell r="F355">
            <v>22</v>
          </cell>
          <cell r="G355">
            <v>17</v>
          </cell>
          <cell r="H355" t="str">
            <v>Irapuato</v>
          </cell>
          <cell r="I355">
            <v>30000</v>
          </cell>
          <cell r="J355" t="str">
            <v>Multigrado</v>
          </cell>
          <cell r="K355" t="str">
            <v>GENERACION 84-85 S/N</v>
          </cell>
          <cell r="L355">
            <v>0</v>
          </cell>
          <cell r="M355" t="str">
            <v>RIVERA DE GUADALUPE</v>
          </cell>
          <cell r="T355" t="e">
            <v>#REF!</v>
          </cell>
        </row>
        <row r="356">
          <cell r="A356" t="str">
            <v>IRAPUATO</v>
          </cell>
          <cell r="B356" t="str">
            <v>11DJN2764D</v>
          </cell>
          <cell r="D356" t="str">
            <v>X</v>
          </cell>
          <cell r="E356" t="str">
            <v>LEONA VICARIO</v>
          </cell>
          <cell r="F356">
            <v>3</v>
          </cell>
          <cell r="G356">
            <v>4</v>
          </cell>
          <cell r="H356" t="str">
            <v>Irapuato</v>
          </cell>
          <cell r="I356">
            <v>45000</v>
          </cell>
          <cell r="J356" t="str">
            <v>Completa</v>
          </cell>
          <cell r="K356" t="str">
            <v>AZUCENA S/N</v>
          </cell>
          <cell r="L356" t="str">
            <v>SEGUNDA SECCION LAS HERAS</v>
          </cell>
          <cell r="M356" t="str">
            <v>IRAPUATO</v>
          </cell>
          <cell r="T356" t="e">
            <v>#REF!</v>
          </cell>
        </row>
        <row r="357">
          <cell r="A357" t="str">
            <v>VISTA HERMOSA</v>
          </cell>
          <cell r="B357" t="str">
            <v>11DPR0120P</v>
          </cell>
          <cell r="C357" t="str">
            <v>X</v>
          </cell>
          <cell r="E357" t="str">
            <v>VICENTE GUERRERO</v>
          </cell>
          <cell r="F357">
            <v>113</v>
          </cell>
          <cell r="G357">
            <v>24</v>
          </cell>
          <cell r="H357" t="str">
            <v>Irapuato</v>
          </cell>
          <cell r="I357">
            <v>85000</v>
          </cell>
          <cell r="J357" t="str">
            <v>Completa</v>
          </cell>
          <cell r="K357" t="str">
            <v>VISTA HERMOSA</v>
          </cell>
          <cell r="L357">
            <v>0</v>
          </cell>
          <cell r="M357" t="str">
            <v>VISTA HERMOSA</v>
          </cell>
          <cell r="T357" t="e">
            <v>#REF!</v>
          </cell>
        </row>
        <row r="358">
          <cell r="A358" t="str">
            <v>SAN IGNACIO DE RIVERA (OJO DE AGUA)</v>
          </cell>
          <cell r="B358" t="str">
            <v>11DPR1503B</v>
          </cell>
          <cell r="C358" t="str">
            <v>X</v>
          </cell>
          <cell r="E358" t="str">
            <v>VICENTE GUERRERO</v>
          </cell>
          <cell r="F358">
            <v>31</v>
          </cell>
          <cell r="G358">
            <v>24</v>
          </cell>
          <cell r="H358" t="str">
            <v>Irapuato</v>
          </cell>
          <cell r="I358">
            <v>30000</v>
          </cell>
          <cell r="J358" t="str">
            <v>Multigrado</v>
          </cell>
          <cell r="K358" t="str">
            <v>SAN IGNACIO DE RIVERA</v>
          </cell>
          <cell r="L358">
            <v>0</v>
          </cell>
          <cell r="M358" t="str">
            <v>SAN IGNACIO DE RIVERA (OJO DE AGUA)</v>
          </cell>
          <cell r="T358" t="e">
            <v>#REF!</v>
          </cell>
        </row>
        <row r="359">
          <cell r="A359" t="str">
            <v>CUCHICUATO</v>
          </cell>
          <cell r="B359" t="str">
            <v>11DJN0357K</v>
          </cell>
          <cell r="C359" t="str">
            <v>X</v>
          </cell>
          <cell r="E359" t="str">
            <v>VASCO DE QUIROGA</v>
          </cell>
          <cell r="F359">
            <v>3</v>
          </cell>
          <cell r="G359">
            <v>4</v>
          </cell>
          <cell r="H359" t="str">
            <v>Irapuato</v>
          </cell>
          <cell r="I359">
            <v>61000</v>
          </cell>
          <cell r="J359" t="str">
            <v>Completa</v>
          </cell>
          <cell r="K359" t="str">
            <v>CUCHICUATO</v>
          </cell>
          <cell r="L359">
            <v>0</v>
          </cell>
          <cell r="M359" t="str">
            <v>CUCHICUATO</v>
          </cell>
          <cell r="T359" t="e">
            <v>#REF!</v>
          </cell>
        </row>
        <row r="360">
          <cell r="A360" t="str">
            <v>EL CARRIZAL GRANDE</v>
          </cell>
          <cell r="B360" t="str">
            <v>11ETV0684T</v>
          </cell>
          <cell r="C360" t="str">
            <v>X</v>
          </cell>
          <cell r="E360" t="str">
            <v>TELESECUNDARIA NUM. 645</v>
          </cell>
          <cell r="F360">
            <v>511</v>
          </cell>
          <cell r="G360">
            <v>3</v>
          </cell>
          <cell r="H360" t="str">
            <v>Irapuato</v>
          </cell>
          <cell r="I360">
            <v>70000</v>
          </cell>
          <cell r="J360" t="str">
            <v>Completa</v>
          </cell>
          <cell r="K360" t="str">
            <v>EL CARRIZAL GRANDE</v>
          </cell>
          <cell r="L360">
            <v>0</v>
          </cell>
          <cell r="M360" t="str">
            <v>EL CARRIZAL GRANDE</v>
          </cell>
          <cell r="T360" t="e">
            <v>#REF!</v>
          </cell>
        </row>
        <row r="361">
          <cell r="A361" t="str">
            <v>SAN NICOLAS TEMASCATIO</v>
          </cell>
          <cell r="B361" t="str">
            <v>11DJN2609L</v>
          </cell>
          <cell r="C361" t="str">
            <v>X</v>
          </cell>
          <cell r="E361" t="str">
            <v>FRAY PEDRO DE GANTE</v>
          </cell>
          <cell r="F361">
            <v>34</v>
          </cell>
          <cell r="G361">
            <v>17</v>
          </cell>
          <cell r="H361" t="str">
            <v>Irapuato</v>
          </cell>
          <cell r="I361">
            <v>30000</v>
          </cell>
          <cell r="J361" t="str">
            <v>Multigrado</v>
          </cell>
          <cell r="K361" t="str">
            <v>SAN NICOLAS TEMASCATIO</v>
          </cell>
          <cell r="L361">
            <v>0</v>
          </cell>
          <cell r="M361" t="str">
            <v>SAN NICOLAS TEMASCATIO</v>
          </cell>
          <cell r="T361" t="e">
            <v>#REF!</v>
          </cell>
        </row>
        <row r="362">
          <cell r="A362" t="str">
            <v>IRAPUATO</v>
          </cell>
          <cell r="B362" t="str">
            <v>11DJN4046I</v>
          </cell>
          <cell r="C362" t="str">
            <v>X</v>
          </cell>
          <cell r="E362" t="str">
            <v>GABRIELA BRIMMER</v>
          </cell>
          <cell r="F362">
            <v>49</v>
          </cell>
          <cell r="G362">
            <v>17</v>
          </cell>
          <cell r="H362" t="str">
            <v>Irapuato</v>
          </cell>
          <cell r="I362">
            <v>80000</v>
          </cell>
          <cell r="J362" t="str">
            <v>Completa</v>
          </cell>
          <cell r="K362" t="str">
            <v>CAMALEON NUM. 30</v>
          </cell>
          <cell r="L362" t="str">
            <v>FACCIONAMIENTO VALLE DEL SOL</v>
          </cell>
          <cell r="M362" t="str">
            <v>IRAPUATO</v>
          </cell>
          <cell r="T362" t="e">
            <v>#REF!</v>
          </cell>
        </row>
        <row r="363">
          <cell r="A363" t="str">
            <v>IRAPUATO</v>
          </cell>
          <cell r="B363" t="str">
            <v>11DPR3402R</v>
          </cell>
          <cell r="C363" t="str">
            <v>X</v>
          </cell>
          <cell r="E363" t="str">
            <v>15 DE SEPTIEMBRE</v>
          </cell>
          <cell r="F363">
            <v>31</v>
          </cell>
          <cell r="G363">
            <v>24</v>
          </cell>
          <cell r="H363" t="str">
            <v>Irapuato</v>
          </cell>
          <cell r="I363">
            <v>85000</v>
          </cell>
          <cell r="J363" t="str">
            <v>Completa</v>
          </cell>
          <cell r="K363" t="str">
            <v>AVELLANA S/N</v>
          </cell>
          <cell r="L363" t="str">
            <v>FRESNOS</v>
          </cell>
          <cell r="M363" t="str">
            <v>IRAPUATO</v>
          </cell>
          <cell r="T363" t="e">
            <v>#REF!</v>
          </cell>
        </row>
        <row r="364">
          <cell r="A364" t="str">
            <v>IRAPUATO</v>
          </cell>
          <cell r="B364" t="str">
            <v>11DJN4408B</v>
          </cell>
          <cell r="D364" t="str">
            <v>X</v>
          </cell>
          <cell r="E364" t="str">
            <v>LAURO AGUIRRE</v>
          </cell>
          <cell r="F364">
            <v>22</v>
          </cell>
          <cell r="G364">
            <v>17</v>
          </cell>
          <cell r="H364" t="str">
            <v>Irapuato</v>
          </cell>
          <cell r="I364">
            <v>30000</v>
          </cell>
          <cell r="J364" t="str">
            <v>Multigrado</v>
          </cell>
          <cell r="K364" t="str">
            <v>ZAPOTE DEL MILAGRO</v>
          </cell>
          <cell r="L364">
            <v>0</v>
          </cell>
          <cell r="M364" t="str">
            <v>IRAPUATO</v>
          </cell>
          <cell r="T364" t="e">
            <v>#REF!</v>
          </cell>
        </row>
        <row r="365">
          <cell r="A365" t="str">
            <v>NUEVA COLONIA COPALILLO (EL ATORON)</v>
          </cell>
          <cell r="B365" t="str">
            <v>11DPR0570T</v>
          </cell>
          <cell r="D365" t="str">
            <v>X</v>
          </cell>
          <cell r="E365" t="str">
            <v>MELCHOR OCAMPO</v>
          </cell>
          <cell r="F365">
            <v>135</v>
          </cell>
          <cell r="G365">
            <v>24</v>
          </cell>
          <cell r="H365" t="str">
            <v>Irapuato</v>
          </cell>
          <cell r="I365">
            <v>85000</v>
          </cell>
          <cell r="J365" t="str">
            <v>Completa</v>
          </cell>
          <cell r="K365" t="str">
            <v>EL LLANO</v>
          </cell>
          <cell r="L365" t="str">
            <v>EL LLANO</v>
          </cell>
          <cell r="M365" t="str">
            <v>NUEVA COLONIA COPALILLO (EL ATORON)</v>
          </cell>
          <cell r="T365" t="e">
            <v>#REF!</v>
          </cell>
        </row>
        <row r="366">
          <cell r="A366" t="str">
            <v>IRAPUATO</v>
          </cell>
          <cell r="B366" t="str">
            <v>11EJN0374Z</v>
          </cell>
          <cell r="D366" t="str">
            <v>X</v>
          </cell>
          <cell r="E366" t="str">
            <v>ROBERTO OWEN</v>
          </cell>
          <cell r="F366">
            <v>508</v>
          </cell>
          <cell r="G366">
            <v>4</v>
          </cell>
          <cell r="H366" t="str">
            <v>Irapuato</v>
          </cell>
          <cell r="I366">
            <v>85000</v>
          </cell>
          <cell r="J366" t="str">
            <v>Completa</v>
          </cell>
          <cell r="K366" t="str">
            <v>GARDENIA NUM. 1180</v>
          </cell>
          <cell r="L366">
            <v>0</v>
          </cell>
          <cell r="M366" t="str">
            <v>IRAPUATO</v>
          </cell>
          <cell r="T366" t="e">
            <v>#REF!</v>
          </cell>
        </row>
        <row r="367">
          <cell r="A367" t="str">
            <v>IRAPUATO</v>
          </cell>
          <cell r="B367" t="str">
            <v>11EJN0396L</v>
          </cell>
          <cell r="C367" t="str">
            <v>X</v>
          </cell>
          <cell r="E367" t="str">
            <v>DIEGO RIVERA</v>
          </cell>
          <cell r="F367">
            <v>512</v>
          </cell>
          <cell r="G367">
            <v>4</v>
          </cell>
          <cell r="H367" t="str">
            <v>Irapuato</v>
          </cell>
          <cell r="I367">
            <v>85000</v>
          </cell>
          <cell r="J367" t="str">
            <v>Completa</v>
          </cell>
          <cell r="K367" t="str">
            <v>DIF NUM. 100</v>
          </cell>
          <cell r="L367" t="str">
            <v>FRACCIONAMIENTO COLON</v>
          </cell>
          <cell r="M367" t="str">
            <v>IRAPUATO</v>
          </cell>
          <cell r="T367" t="e">
            <v>#REF!</v>
          </cell>
        </row>
        <row r="368">
          <cell r="A368" t="str">
            <v>SANTA ELENA DE LA CRUZ</v>
          </cell>
          <cell r="B368" t="str">
            <v>11DPR1488Z</v>
          </cell>
          <cell r="D368" t="str">
            <v>X</v>
          </cell>
          <cell r="E368" t="str">
            <v>NARCISO MENDOZA</v>
          </cell>
          <cell r="F368">
            <v>65</v>
          </cell>
          <cell r="G368">
            <v>24</v>
          </cell>
          <cell r="H368" t="str">
            <v>Irapuato</v>
          </cell>
          <cell r="I368">
            <v>85000</v>
          </cell>
          <cell r="J368" t="str">
            <v>Completa</v>
          </cell>
          <cell r="K368" t="str">
            <v>SANTA ELENA</v>
          </cell>
          <cell r="L368">
            <v>0</v>
          </cell>
          <cell r="M368" t="str">
            <v>SANTA ELENA DE LA CRUZ</v>
          </cell>
          <cell r="T368" t="e">
            <v>#REF!</v>
          </cell>
        </row>
        <row r="369">
          <cell r="A369" t="str">
            <v>IRAPUATO</v>
          </cell>
          <cell r="B369" t="str">
            <v>11DJN1055W</v>
          </cell>
          <cell r="C369" t="str">
            <v>X</v>
          </cell>
          <cell r="E369" t="str">
            <v>MOISES SAENZ GARZA</v>
          </cell>
          <cell r="F369">
            <v>22</v>
          </cell>
          <cell r="G369">
            <v>17</v>
          </cell>
          <cell r="H369" t="str">
            <v>Irapuato</v>
          </cell>
          <cell r="I369">
            <v>70000</v>
          </cell>
          <cell r="J369" t="str">
            <v>Completa</v>
          </cell>
          <cell r="K369" t="str">
            <v>CAMINO VIEJO A IRAPUATO S/N</v>
          </cell>
          <cell r="L369">
            <v>0</v>
          </cell>
          <cell r="M369" t="str">
            <v>IRAPUATO</v>
          </cell>
          <cell r="T369" t="e">
            <v>#REF!</v>
          </cell>
        </row>
        <row r="370">
          <cell r="A370" t="str">
            <v>EL CARRIZALITO</v>
          </cell>
          <cell r="B370" t="str">
            <v>11DJN0355M</v>
          </cell>
          <cell r="C370" t="str">
            <v>X</v>
          </cell>
          <cell r="E370" t="str">
            <v>GREGORIO TORRES QUINTERO</v>
          </cell>
          <cell r="F370">
            <v>34</v>
          </cell>
          <cell r="G370">
            <v>17</v>
          </cell>
          <cell r="H370" t="str">
            <v>Irapuato</v>
          </cell>
          <cell r="I370">
            <v>30000</v>
          </cell>
          <cell r="J370" t="str">
            <v>Multigrado</v>
          </cell>
          <cell r="K370" t="str">
            <v>MIGUEL HIDALGO NUM. 32</v>
          </cell>
          <cell r="L370" t="str">
            <v>EL CARRIZALITO</v>
          </cell>
          <cell r="M370" t="str">
            <v>EL CARRIZALITO</v>
          </cell>
          <cell r="T370" t="e">
            <v>#REF!</v>
          </cell>
        </row>
        <row r="371">
          <cell r="A371" t="str">
            <v>PURISIMA DE COVARRUBIAS</v>
          </cell>
          <cell r="B371" t="str">
            <v>11DJN2696X</v>
          </cell>
          <cell r="D371" t="str">
            <v>X</v>
          </cell>
          <cell r="E371" t="str">
            <v>MIGUEL HIDALGO Y COSTILLA</v>
          </cell>
          <cell r="F371">
            <v>22</v>
          </cell>
          <cell r="G371">
            <v>17</v>
          </cell>
          <cell r="H371" t="str">
            <v>Irapuato</v>
          </cell>
          <cell r="I371">
            <v>27000</v>
          </cell>
          <cell r="J371" t="str">
            <v>Multigrado</v>
          </cell>
          <cell r="K371" t="str">
            <v>PURISIMA DE COVARRUBIAS</v>
          </cell>
          <cell r="L371">
            <v>0</v>
          </cell>
          <cell r="M371" t="str">
            <v>PURISIMA DE COVARRUBIAS</v>
          </cell>
          <cell r="T371" t="e">
            <v>#REF!</v>
          </cell>
        </row>
        <row r="372">
          <cell r="A372" t="str">
            <v>SAN AGUSTIN DE LOS TORDOS (SAN AGUSTIN)</v>
          </cell>
          <cell r="B372" t="str">
            <v>11DPR1516F</v>
          </cell>
          <cell r="C372" t="str">
            <v>X</v>
          </cell>
          <cell r="E372" t="str">
            <v>SALVADOR DIAZ MIRON</v>
          </cell>
          <cell r="F372">
            <v>135</v>
          </cell>
          <cell r="G372">
            <v>24</v>
          </cell>
          <cell r="H372" t="str">
            <v>Irapuato</v>
          </cell>
          <cell r="I372">
            <v>85000</v>
          </cell>
          <cell r="J372" t="str">
            <v>Completa</v>
          </cell>
          <cell r="K372" t="str">
            <v>SAN AGUSTIN</v>
          </cell>
          <cell r="L372">
            <v>0</v>
          </cell>
          <cell r="M372" t="str">
            <v>SAN AGUSTIN DE LOS TORDOS (SAN AGUSTIN)</v>
          </cell>
          <cell r="T372" t="e">
            <v>#REF!</v>
          </cell>
        </row>
        <row r="373">
          <cell r="A373" t="str">
            <v>LAGUNA LARGA</v>
          </cell>
          <cell r="B373" t="str">
            <v>11DJN0720T</v>
          </cell>
          <cell r="D373" t="str">
            <v>X</v>
          </cell>
          <cell r="E373" t="str">
            <v>SIMON BOLIVAR</v>
          </cell>
          <cell r="F373">
            <v>22</v>
          </cell>
          <cell r="G373">
            <v>17</v>
          </cell>
          <cell r="H373" t="str">
            <v>Irapuato</v>
          </cell>
          <cell r="I373">
            <v>30000</v>
          </cell>
          <cell r="J373" t="str">
            <v>Multigrado</v>
          </cell>
          <cell r="K373" t="str">
            <v>LAGUNA LARGA</v>
          </cell>
          <cell r="L373">
            <v>0</v>
          </cell>
          <cell r="M373" t="str">
            <v>LAGUNA LARGA</v>
          </cell>
          <cell r="T373" t="e">
            <v>#REF!</v>
          </cell>
        </row>
        <row r="374">
          <cell r="A374" t="str">
            <v>EX-HACIENDA DEL COPAL (EL COPAL)</v>
          </cell>
          <cell r="B374" t="str">
            <v>11DPR1421S</v>
          </cell>
          <cell r="C374" t="str">
            <v>X</v>
          </cell>
          <cell r="E374" t="str">
            <v>MEXICO</v>
          </cell>
          <cell r="F374">
            <v>97</v>
          </cell>
          <cell r="G374">
            <v>6</v>
          </cell>
          <cell r="H374" t="str">
            <v>Irapuato</v>
          </cell>
          <cell r="I374">
            <v>85000</v>
          </cell>
          <cell r="J374" t="str">
            <v>Completa</v>
          </cell>
          <cell r="K374" t="str">
            <v>EL COPAL</v>
          </cell>
          <cell r="L374">
            <v>0</v>
          </cell>
          <cell r="M374" t="str">
            <v>EX-HACIENDA DEL COPAL (EL COPAL)</v>
          </cell>
          <cell r="T374" t="e">
            <v>#REF!</v>
          </cell>
        </row>
        <row r="375">
          <cell r="A375" t="str">
            <v>SAN LUIS DEL JANAMO (EL MORADO)</v>
          </cell>
          <cell r="B375" t="str">
            <v>11DJN2617U</v>
          </cell>
          <cell r="C375" t="str">
            <v>X</v>
          </cell>
          <cell r="E375" t="str">
            <v>JOSE JOAQUIN FERNANDEZ DE LIZARDI</v>
          </cell>
          <cell r="F375">
            <v>22</v>
          </cell>
          <cell r="G375">
            <v>17</v>
          </cell>
          <cell r="H375" t="str">
            <v>Irapuato</v>
          </cell>
          <cell r="I375">
            <v>25000</v>
          </cell>
          <cell r="J375" t="str">
            <v>Multigrado</v>
          </cell>
          <cell r="K375" t="str">
            <v>SAN LUIS DEL JANAMO</v>
          </cell>
          <cell r="L375">
            <v>0</v>
          </cell>
          <cell r="M375" t="str">
            <v>SAN LUIS DEL JANAMO (EL MORADO)</v>
          </cell>
          <cell r="T375" t="e">
            <v>#REF!</v>
          </cell>
        </row>
        <row r="376">
          <cell r="A376" t="str">
            <v>IRAPUATO</v>
          </cell>
          <cell r="B376" t="str">
            <v>11DPR3361H</v>
          </cell>
          <cell r="C376" t="str">
            <v>X</v>
          </cell>
          <cell r="E376" t="str">
            <v>18 DE MARZO</v>
          </cell>
          <cell r="F376">
            <v>135</v>
          </cell>
          <cell r="G376">
            <v>24</v>
          </cell>
          <cell r="H376" t="str">
            <v>Irapuato</v>
          </cell>
          <cell r="I376">
            <v>75000</v>
          </cell>
          <cell r="J376" t="str">
            <v>Completa</v>
          </cell>
          <cell r="K376" t="str">
            <v>18 DE MARZO NUM. 240</v>
          </cell>
          <cell r="L376" t="str">
            <v>LAS HERAS</v>
          </cell>
          <cell r="M376" t="str">
            <v>IRAPUATO</v>
          </cell>
          <cell r="T376" t="e">
            <v>#REF!</v>
          </cell>
        </row>
        <row r="377">
          <cell r="A377" t="str">
            <v>IRAPUATO</v>
          </cell>
          <cell r="B377" t="str">
            <v>11EJN1197T</v>
          </cell>
          <cell r="C377" t="str">
            <v>X</v>
          </cell>
          <cell r="E377" t="str">
            <v>JOSE VASCONCELOS CALDERON</v>
          </cell>
          <cell r="F377">
            <v>512</v>
          </cell>
          <cell r="G377">
            <v>4</v>
          </cell>
          <cell r="H377" t="str">
            <v>Irapuato</v>
          </cell>
          <cell r="I377">
            <v>85000</v>
          </cell>
          <cell r="J377" t="str">
            <v>Completa</v>
          </cell>
          <cell r="K377" t="str">
            <v>FLORESTA S/N</v>
          </cell>
          <cell r="L377" t="str">
            <v>FLORESTA</v>
          </cell>
          <cell r="M377" t="str">
            <v>IRAPUATO</v>
          </cell>
          <cell r="T377" t="e">
            <v>#REF!</v>
          </cell>
        </row>
        <row r="378">
          <cell r="A378" t="str">
            <v>SAN JOSE DE BERNALEJO (EL GUAYABO)</v>
          </cell>
          <cell r="B378" t="str">
            <v>11EJN0311O</v>
          </cell>
          <cell r="C378" t="str">
            <v>X</v>
          </cell>
          <cell r="E378" t="str">
            <v>JOSE MARTI</v>
          </cell>
          <cell r="F378">
            <v>512</v>
          </cell>
          <cell r="G378">
            <v>4</v>
          </cell>
          <cell r="H378" t="str">
            <v>Irapuato</v>
          </cell>
          <cell r="I378">
            <v>30000</v>
          </cell>
          <cell r="J378" t="str">
            <v>Multigrado</v>
          </cell>
          <cell r="K378" t="str">
            <v>EL GUAYABO</v>
          </cell>
          <cell r="L378">
            <v>0</v>
          </cell>
          <cell r="M378" t="str">
            <v>SAN JOSE DE BERNALEJO (EL GUAYABO)</v>
          </cell>
          <cell r="T378" t="e">
            <v>#REF!</v>
          </cell>
        </row>
        <row r="379">
          <cell r="A379" t="str">
            <v>IRAPUATO</v>
          </cell>
          <cell r="B379" t="str">
            <v>11DJN4486F</v>
          </cell>
          <cell r="D379" t="str">
            <v>X</v>
          </cell>
          <cell r="E379" t="str">
            <v>JARDIN DE NIÑOS</v>
          </cell>
          <cell r="F379">
            <v>22</v>
          </cell>
          <cell r="G379">
            <v>17</v>
          </cell>
          <cell r="H379" t="str">
            <v>Irapuato</v>
          </cell>
          <cell r="I379">
            <v>30000</v>
          </cell>
          <cell r="J379" t="str">
            <v>Multigrado</v>
          </cell>
          <cell r="K379" t="str">
            <v>AZUCENA NUM. 422</v>
          </cell>
          <cell r="L379" t="str">
            <v>PURISIMA DEL JARDIN</v>
          </cell>
          <cell r="M379" t="str">
            <v>IRAPUATO</v>
          </cell>
          <cell r="T379" t="e">
            <v>#REF!</v>
          </cell>
        </row>
        <row r="380">
          <cell r="A380" t="str">
            <v>IRAPUATO</v>
          </cell>
          <cell r="B380" t="str">
            <v>11EJN0223U</v>
          </cell>
          <cell r="C380" t="str">
            <v>X</v>
          </cell>
          <cell r="E380" t="str">
            <v>ESTHER BARRON RANGEL</v>
          </cell>
          <cell r="F380">
            <v>508</v>
          </cell>
          <cell r="G380">
            <v>4</v>
          </cell>
          <cell r="H380" t="str">
            <v>Irapuato</v>
          </cell>
          <cell r="I380">
            <v>85000</v>
          </cell>
          <cell r="J380" t="str">
            <v>Completa</v>
          </cell>
          <cell r="K380" t="str">
            <v>16 DE DICIEMBRE S/N</v>
          </cell>
          <cell r="L380" t="str">
            <v>JUAREZ</v>
          </cell>
          <cell r="M380" t="str">
            <v>IRAPUATO</v>
          </cell>
          <cell r="T380" t="e">
            <v>#REF!</v>
          </cell>
        </row>
        <row r="381">
          <cell r="A381" t="str">
            <v>LA GARRIDA</v>
          </cell>
          <cell r="B381" t="str">
            <v>11EPR0151H</v>
          </cell>
          <cell r="C381" t="str">
            <v>X</v>
          </cell>
          <cell r="E381" t="str">
            <v>FRANCISCO MARQUEZ</v>
          </cell>
          <cell r="F381">
            <v>528</v>
          </cell>
          <cell r="G381">
            <v>3</v>
          </cell>
          <cell r="H381" t="str">
            <v>Irapuato</v>
          </cell>
          <cell r="I381">
            <v>85000</v>
          </cell>
          <cell r="J381" t="str">
            <v>Completa</v>
          </cell>
          <cell r="K381" t="str">
            <v>LA GARRIDA</v>
          </cell>
          <cell r="L381">
            <v>0</v>
          </cell>
          <cell r="M381" t="str">
            <v>LA GARRIDA</v>
          </cell>
          <cell r="T381" t="e">
            <v>#REF!</v>
          </cell>
        </row>
        <row r="382">
          <cell r="A382" t="str">
            <v>IRAPUATO</v>
          </cell>
          <cell r="B382" t="str">
            <v>11DJN0876U</v>
          </cell>
          <cell r="D382" t="str">
            <v>X</v>
          </cell>
          <cell r="E382" t="str">
            <v>GENERAL ALVARO OBREGON</v>
          </cell>
          <cell r="F382">
            <v>22</v>
          </cell>
          <cell r="G382">
            <v>17</v>
          </cell>
          <cell r="H382" t="str">
            <v>Irapuato</v>
          </cell>
          <cell r="I382">
            <v>85000</v>
          </cell>
          <cell r="J382" t="str">
            <v>Completa</v>
          </cell>
          <cell r="K382" t="str">
            <v>MANUEL ACUNA Y MARIANO ARISTA S/N</v>
          </cell>
          <cell r="L382">
            <v>0</v>
          </cell>
          <cell r="M382" t="str">
            <v>IRAPUATO</v>
          </cell>
          <cell r="T382" t="e">
            <v>#REF!</v>
          </cell>
        </row>
        <row r="383">
          <cell r="A383" t="str">
            <v>LA GARRIDA</v>
          </cell>
          <cell r="B383" t="str">
            <v>11EJN0224T</v>
          </cell>
          <cell r="C383" t="str">
            <v>X</v>
          </cell>
          <cell r="E383" t="str">
            <v>AMADO NERVO</v>
          </cell>
          <cell r="F383">
            <v>512</v>
          </cell>
          <cell r="G383">
            <v>4</v>
          </cell>
          <cell r="H383" t="str">
            <v>Irapuato</v>
          </cell>
          <cell r="I383">
            <v>30000</v>
          </cell>
          <cell r="J383" t="str">
            <v>Multigrado</v>
          </cell>
          <cell r="K383" t="str">
            <v>BUENOS AIRES</v>
          </cell>
          <cell r="L383">
            <v>0</v>
          </cell>
          <cell r="M383" t="str">
            <v>LA GARRIDA</v>
          </cell>
          <cell r="T383" t="e">
            <v>#REF!</v>
          </cell>
        </row>
        <row r="384">
          <cell r="A384" t="str">
            <v>ALDAMA</v>
          </cell>
          <cell r="B384" t="str">
            <v>11EJN0201I</v>
          </cell>
          <cell r="C384" t="str">
            <v>X</v>
          </cell>
          <cell r="E384" t="str">
            <v>IGNACIO ALDAMA</v>
          </cell>
          <cell r="F384">
            <v>512</v>
          </cell>
          <cell r="G384">
            <v>4</v>
          </cell>
          <cell r="H384" t="str">
            <v>Irapuato</v>
          </cell>
          <cell r="I384">
            <v>85000</v>
          </cell>
          <cell r="J384" t="str">
            <v>Completa</v>
          </cell>
          <cell r="K384" t="str">
            <v>MORELOS NUM. 55 A UN LADO DE LA SEC. DR. MIGUEL GARCIA RODRIGUEZ</v>
          </cell>
          <cell r="L384" t="str">
            <v>NO APLICA</v>
          </cell>
          <cell r="M384" t="str">
            <v>ALDAMA</v>
          </cell>
          <cell r="T384" t="e">
            <v>#REF!</v>
          </cell>
        </row>
        <row r="385">
          <cell r="A385" t="str">
            <v>TARETAN</v>
          </cell>
          <cell r="B385" t="str">
            <v>11EJN0293P</v>
          </cell>
          <cell r="C385" t="str">
            <v>X</v>
          </cell>
          <cell r="E385" t="str">
            <v>ESTEFANIA CASTAÑEDA</v>
          </cell>
          <cell r="F385">
            <v>508</v>
          </cell>
          <cell r="G385">
            <v>4</v>
          </cell>
          <cell r="H385" t="str">
            <v>Irapuato</v>
          </cell>
          <cell r="I385">
            <v>45000</v>
          </cell>
          <cell r="J385" t="str">
            <v>Completa</v>
          </cell>
          <cell r="K385" t="str">
            <v>MADERO S/N</v>
          </cell>
          <cell r="L385">
            <v>0</v>
          </cell>
          <cell r="M385" t="str">
            <v>TARETAN</v>
          </cell>
          <cell r="T385" t="e">
            <v>#REF!</v>
          </cell>
        </row>
        <row r="386">
          <cell r="A386" t="str">
            <v>IRAPUATO</v>
          </cell>
          <cell r="B386" t="str">
            <v>11EJN0385F</v>
          </cell>
          <cell r="C386" t="str">
            <v>X</v>
          </cell>
          <cell r="E386" t="str">
            <v>FRANCISCO GABILONDO SOLER</v>
          </cell>
          <cell r="F386">
            <v>512</v>
          </cell>
          <cell r="G386">
            <v>4</v>
          </cell>
          <cell r="H386" t="str">
            <v>Irapuato</v>
          </cell>
          <cell r="I386">
            <v>30000</v>
          </cell>
          <cell r="J386" t="str">
            <v>Multigrado</v>
          </cell>
          <cell r="K386" t="str">
            <v>LA ARAÑA</v>
          </cell>
          <cell r="L386">
            <v>0</v>
          </cell>
          <cell r="M386" t="str">
            <v>IRAPUATO</v>
          </cell>
          <cell r="T386" t="e">
            <v>#REF!</v>
          </cell>
        </row>
        <row r="387">
          <cell r="A387" t="str">
            <v>IRAPUATO</v>
          </cell>
          <cell r="B387" t="str">
            <v>11DPR3815R</v>
          </cell>
          <cell r="D387" t="str">
            <v>X</v>
          </cell>
          <cell r="E387" t="str">
            <v>ALICIA GARCIA RAMIREZ</v>
          </cell>
          <cell r="F387">
            <v>135</v>
          </cell>
          <cell r="G387">
            <v>24</v>
          </cell>
          <cell r="H387" t="str">
            <v>Irapuato</v>
          </cell>
          <cell r="I387">
            <v>85000</v>
          </cell>
          <cell r="J387" t="str">
            <v>Completa</v>
          </cell>
          <cell r="K387" t="str">
            <v>CASCADA DE AGUA CRISTALINAS NUM. 386</v>
          </cell>
          <cell r="L387" t="str">
            <v>BELLAVISTA</v>
          </cell>
          <cell r="M387" t="str">
            <v>IRAPUATO</v>
          </cell>
          <cell r="T387" t="e">
            <v>#REF!</v>
          </cell>
        </row>
        <row r="388">
          <cell r="A388" t="str">
            <v>ROSARIO DE COVARRUBIAS</v>
          </cell>
          <cell r="B388" t="str">
            <v>11EJN0015N</v>
          </cell>
          <cell r="C388" t="str">
            <v>X</v>
          </cell>
          <cell r="E388" t="str">
            <v>NIÑOS HEROES</v>
          </cell>
          <cell r="F388">
            <v>512</v>
          </cell>
          <cell r="G388">
            <v>4</v>
          </cell>
          <cell r="H388" t="str">
            <v>Irapuato</v>
          </cell>
          <cell r="I388">
            <v>30000</v>
          </cell>
          <cell r="J388" t="str">
            <v>Multigrado</v>
          </cell>
          <cell r="K388" t="str">
            <v>ROSARIO DE COVARRUBIAS</v>
          </cell>
          <cell r="L388">
            <v>0</v>
          </cell>
          <cell r="M388" t="str">
            <v>ROSARIO DE COVARRUBIAS</v>
          </cell>
          <cell r="T388" t="e">
            <v>#REF!</v>
          </cell>
        </row>
        <row r="389">
          <cell r="A389" t="str">
            <v>JARAL DEL PROGRESO</v>
          </cell>
          <cell r="B389" t="str">
            <v>11EJN0248C</v>
          </cell>
          <cell r="C389" t="str">
            <v>X</v>
          </cell>
          <cell r="E389" t="str">
            <v>MARIA MONTESSORI</v>
          </cell>
          <cell r="F389">
            <v>515</v>
          </cell>
          <cell r="G389">
            <v>8</v>
          </cell>
          <cell r="H389" t="str">
            <v>Jaral del Progreso</v>
          </cell>
          <cell r="I389">
            <v>85000</v>
          </cell>
          <cell r="J389" t="str">
            <v>Completa</v>
          </cell>
          <cell r="K389" t="str">
            <v>ADOLFO LOPEZ MATEOS NUM. 102</v>
          </cell>
          <cell r="L389" t="str">
            <v>JOSEFA ORTIZ DE DOMINGUEZ</v>
          </cell>
          <cell r="M389" t="str">
            <v>JARAL DEL PROGRESO</v>
          </cell>
          <cell r="T389" t="e">
            <v>#REF!</v>
          </cell>
        </row>
        <row r="390">
          <cell r="A390" t="e">
            <v>#N/A</v>
          </cell>
          <cell r="B390" t="str">
            <v>11DML0037Z</v>
          </cell>
          <cell r="D390" t="str">
            <v>X</v>
          </cell>
          <cell r="E390" t="str">
            <v>CENTRO DE ATENCION MULTIPLE JOSE VASCONCELOS</v>
          </cell>
          <cell r="F390">
            <v>2</v>
          </cell>
          <cell r="G390">
            <v>88</v>
          </cell>
          <cell r="H390" t="str">
            <v>Jaral del Progreso</v>
          </cell>
          <cell r="I390">
            <v>85000</v>
          </cell>
          <cell r="J390" t="str">
            <v>Completa</v>
          </cell>
          <cell r="K390" t="e">
            <v>#N/A</v>
          </cell>
          <cell r="L390" t="e">
            <v>#N/A</v>
          </cell>
          <cell r="M390" t="e">
            <v>#N/A</v>
          </cell>
          <cell r="T390" t="e">
            <v>#REF!</v>
          </cell>
        </row>
        <row r="391">
          <cell r="A391" t="str">
            <v>JARAL DEL PROGRESO</v>
          </cell>
          <cell r="B391" t="str">
            <v>11DPR1894G</v>
          </cell>
          <cell r="C391" t="str">
            <v>X</v>
          </cell>
          <cell r="E391" t="str">
            <v>GREGORIO TORRES QUINTERO</v>
          </cell>
          <cell r="F391">
            <v>43</v>
          </cell>
          <cell r="G391">
            <v>12</v>
          </cell>
          <cell r="H391" t="str">
            <v>Jaral del Progreso</v>
          </cell>
          <cell r="I391">
            <v>85000</v>
          </cell>
          <cell r="J391" t="str">
            <v>Completa</v>
          </cell>
          <cell r="K391" t="str">
            <v>CAMELIA SUR NUM. 102</v>
          </cell>
          <cell r="L391" t="str">
            <v>DEL VALLE</v>
          </cell>
          <cell r="M391" t="str">
            <v>JARAL DEL PROGRESO</v>
          </cell>
          <cell r="T391" t="e">
            <v>#REF!</v>
          </cell>
        </row>
        <row r="392">
          <cell r="A392" t="str">
            <v>JARAL DEL PROGRESO</v>
          </cell>
          <cell r="B392" t="str">
            <v>11DPR0547S</v>
          </cell>
          <cell r="D392" t="str">
            <v>X</v>
          </cell>
          <cell r="E392" t="str">
            <v>LAZARO CARDENAS DEL RIO</v>
          </cell>
          <cell r="F392">
            <v>43</v>
          </cell>
          <cell r="G392">
            <v>12</v>
          </cell>
          <cell r="H392" t="str">
            <v>Jaral del Progreso</v>
          </cell>
          <cell r="I392">
            <v>85000</v>
          </cell>
          <cell r="J392" t="str">
            <v>Completa</v>
          </cell>
          <cell r="K392" t="str">
            <v>CAMELIA SUR NUM. 102</v>
          </cell>
          <cell r="L392" t="str">
            <v>DEL VALLE</v>
          </cell>
          <cell r="M392" t="str">
            <v>JARAL DEL PROGRESO</v>
          </cell>
          <cell r="T392" t="e">
            <v>#REF!</v>
          </cell>
        </row>
        <row r="393">
          <cell r="A393" t="str">
            <v>ZEMPOALA</v>
          </cell>
          <cell r="B393" t="str">
            <v>11EPR0162N</v>
          </cell>
          <cell r="C393" t="str">
            <v>X</v>
          </cell>
          <cell r="E393" t="str">
            <v>CUAUHTEMOC</v>
          </cell>
          <cell r="F393">
            <v>531</v>
          </cell>
          <cell r="G393">
            <v>6</v>
          </cell>
          <cell r="H393" t="str">
            <v>Jaral del Progreso</v>
          </cell>
          <cell r="I393">
            <v>25000</v>
          </cell>
          <cell r="J393" t="str">
            <v>Multigrado</v>
          </cell>
          <cell r="K393" t="str">
            <v>JUAREZ NUM. 10</v>
          </cell>
          <cell r="L393" t="str">
            <v>NO APLICA</v>
          </cell>
          <cell r="M393" t="str">
            <v>ZEMPOALA</v>
          </cell>
          <cell r="T393" t="e">
            <v>#REF!</v>
          </cell>
        </row>
        <row r="394">
          <cell r="A394" t="str">
            <v>JARAL DEL PROGRESO</v>
          </cell>
          <cell r="B394" t="str">
            <v>11DPR3366C</v>
          </cell>
          <cell r="C394" t="str">
            <v>X</v>
          </cell>
          <cell r="E394" t="str">
            <v>ALFONSO NETZAHUALPILLY URUETA CARRILLO</v>
          </cell>
          <cell r="F394">
            <v>43</v>
          </cell>
          <cell r="G394">
            <v>12</v>
          </cell>
          <cell r="H394" t="str">
            <v>Jaral del Progreso</v>
          </cell>
          <cell r="I394">
            <v>85000</v>
          </cell>
          <cell r="J394" t="str">
            <v>Completa</v>
          </cell>
          <cell r="K394" t="str">
            <v>ROSAURA ZAPATA NUM. 201</v>
          </cell>
          <cell r="L394" t="str">
            <v>JOSEFA ORTIZ DE DOMINGUEZ</v>
          </cell>
          <cell r="M394" t="str">
            <v>JARAL DEL PROGRESO</v>
          </cell>
          <cell r="T394" t="e">
            <v>#REF!</v>
          </cell>
        </row>
        <row r="395">
          <cell r="A395" t="str">
            <v>JARAL DEL PROGRESO</v>
          </cell>
          <cell r="B395" t="str">
            <v>11DJN0074D</v>
          </cell>
          <cell r="C395" t="str">
            <v>X</v>
          </cell>
          <cell r="E395" t="str">
            <v>BERTHA DOMINGUEZ</v>
          </cell>
          <cell r="F395">
            <v>92</v>
          </cell>
          <cell r="G395">
            <v>22</v>
          </cell>
          <cell r="H395" t="str">
            <v>Jaral del Progreso</v>
          </cell>
          <cell r="I395">
            <v>85000</v>
          </cell>
          <cell r="J395" t="str">
            <v>Completa</v>
          </cell>
          <cell r="K395" t="str">
            <v>LECHUGA NUM. 110</v>
          </cell>
          <cell r="L395" t="str">
            <v>FRACCIONAMIENTO PRESIDENCIA</v>
          </cell>
          <cell r="M395" t="str">
            <v>JARAL DEL PROGRESO</v>
          </cell>
          <cell r="T395" t="e">
            <v>#REF!</v>
          </cell>
        </row>
        <row r="396">
          <cell r="A396" t="str">
            <v>SAN JOSE DEL CERRITO DE CAMARGO</v>
          </cell>
          <cell r="B396" t="str">
            <v>11DJN0173D</v>
          </cell>
          <cell r="C396" t="str">
            <v>X</v>
          </cell>
          <cell r="E396" t="str">
            <v>GABINO BARREDA</v>
          </cell>
          <cell r="F396">
            <v>92</v>
          </cell>
          <cell r="G396">
            <v>22</v>
          </cell>
          <cell r="H396" t="str">
            <v>Jaral del Progreso</v>
          </cell>
          <cell r="I396">
            <v>25000</v>
          </cell>
          <cell r="J396" t="str">
            <v>Multigrado</v>
          </cell>
          <cell r="K396" t="str">
            <v>CERRITO DE CAMARGO</v>
          </cell>
          <cell r="L396">
            <v>0</v>
          </cell>
          <cell r="M396" t="str">
            <v>SAN JOSE DEL CERRITO DE CAMARGO</v>
          </cell>
          <cell r="T396" t="e">
            <v>#REF!</v>
          </cell>
        </row>
        <row r="397">
          <cell r="A397" t="str">
            <v>EL MOLINITO</v>
          </cell>
          <cell r="B397" t="str">
            <v>11DJN2362J</v>
          </cell>
          <cell r="D397" t="str">
            <v>X</v>
          </cell>
          <cell r="E397" t="str">
            <v>JUAN DE DIOS PEZA</v>
          </cell>
          <cell r="F397">
            <v>92</v>
          </cell>
          <cell r="G397">
            <v>22</v>
          </cell>
          <cell r="H397" t="str">
            <v>Jaral del Progreso</v>
          </cell>
          <cell r="I397">
            <v>25000</v>
          </cell>
          <cell r="J397" t="str">
            <v>Multigrado</v>
          </cell>
          <cell r="K397" t="str">
            <v>JUAN DE DIOS PEZA</v>
          </cell>
          <cell r="L397" t="str">
            <v>NO APLICA</v>
          </cell>
          <cell r="M397" t="str">
            <v>EL MOLINITO</v>
          </cell>
          <cell r="T397" t="e">
            <v>#REF!</v>
          </cell>
        </row>
        <row r="398">
          <cell r="A398" t="str">
            <v>SAN RAMON</v>
          </cell>
          <cell r="B398" t="str">
            <v>11DPR1331Z</v>
          </cell>
          <cell r="D398" t="str">
            <v>X</v>
          </cell>
          <cell r="E398" t="str">
            <v>GENERAL LAZARO CARDENAS</v>
          </cell>
          <cell r="F398">
            <v>43</v>
          </cell>
          <cell r="G398">
            <v>12</v>
          </cell>
          <cell r="H398" t="str">
            <v>Jaral del Progreso</v>
          </cell>
          <cell r="I398">
            <v>30000</v>
          </cell>
          <cell r="J398" t="str">
            <v>Multigrado</v>
          </cell>
          <cell r="K398" t="str">
            <v>SAN RAMON</v>
          </cell>
          <cell r="L398" t="str">
            <v>NO APLICA</v>
          </cell>
          <cell r="M398" t="str">
            <v>SAN RAMON</v>
          </cell>
          <cell r="T398" t="e">
            <v>#REF!</v>
          </cell>
        </row>
        <row r="399">
          <cell r="A399" t="str">
            <v>HACIENDA DE LA BOLSA (LA BOLSA)</v>
          </cell>
          <cell r="B399" t="str">
            <v>11DJN0429N</v>
          </cell>
          <cell r="C399" t="str">
            <v>X</v>
          </cell>
          <cell r="E399" t="str">
            <v>JOSE VASCONCELOS</v>
          </cell>
          <cell r="F399">
            <v>92</v>
          </cell>
          <cell r="G399">
            <v>22</v>
          </cell>
          <cell r="H399" t="str">
            <v>Jaral del Progreso</v>
          </cell>
          <cell r="I399">
            <v>85000</v>
          </cell>
          <cell r="J399" t="str">
            <v>Completa</v>
          </cell>
          <cell r="K399" t="str">
            <v>LA BOLSA A UN COSTADO DE LA PRIMARIA</v>
          </cell>
          <cell r="L399" t="str">
            <v>NO APLICA</v>
          </cell>
          <cell r="M399" t="str">
            <v>HACIENDA DE LA BOLSA (LA BOLSA)</v>
          </cell>
          <cell r="T399" t="e">
            <v>#REF!</v>
          </cell>
        </row>
        <row r="400">
          <cell r="A400" t="str">
            <v>SAN JOSE DE OJO ZARCO (OJO ZARCO)</v>
          </cell>
          <cell r="B400" t="str">
            <v>11DPR0315B</v>
          </cell>
          <cell r="C400" t="str">
            <v>X</v>
          </cell>
          <cell r="E400" t="str">
            <v>LIC. ADOLFO LOPEZ MATEOS</v>
          </cell>
          <cell r="F400">
            <v>43</v>
          </cell>
          <cell r="G400">
            <v>12</v>
          </cell>
          <cell r="H400" t="str">
            <v>Jaral del Progreso</v>
          </cell>
          <cell r="I400">
            <v>30000</v>
          </cell>
          <cell r="J400" t="str">
            <v>Multigrado</v>
          </cell>
          <cell r="K400" t="str">
            <v>AVENIDA LA PRESA S/N</v>
          </cell>
          <cell r="L400" t="str">
            <v>NO APLICA</v>
          </cell>
          <cell r="M400" t="str">
            <v>SAN JOSE DE OJO ZARCO (OJO ZARCO)</v>
          </cell>
          <cell r="T400" t="e">
            <v>#REF!</v>
          </cell>
        </row>
        <row r="401">
          <cell r="A401" t="str">
            <v>PROVIDENCIA</v>
          </cell>
          <cell r="B401" t="str">
            <v>11DPR1990J</v>
          </cell>
          <cell r="D401" t="str">
            <v>X</v>
          </cell>
          <cell r="E401" t="str">
            <v>JAIME TORRES BODET</v>
          </cell>
          <cell r="F401">
            <v>43</v>
          </cell>
          <cell r="G401">
            <v>12</v>
          </cell>
          <cell r="H401" t="str">
            <v>Jaral del Progreso</v>
          </cell>
          <cell r="I401">
            <v>85000</v>
          </cell>
          <cell r="J401" t="str">
            <v>Completa</v>
          </cell>
          <cell r="K401" t="str">
            <v>BENITO JUAREZ NUM. 100</v>
          </cell>
          <cell r="L401" t="str">
            <v>NO APLICA</v>
          </cell>
          <cell r="M401" t="str">
            <v>PROVIDENCIA</v>
          </cell>
          <cell r="T401" t="e">
            <v>#REF!</v>
          </cell>
        </row>
        <row r="402">
          <cell r="A402" t="str">
            <v>LAS ISLAS</v>
          </cell>
          <cell r="B402" t="str">
            <v>11DPR1338T</v>
          </cell>
          <cell r="C402" t="str">
            <v>X</v>
          </cell>
          <cell r="E402" t="str">
            <v>GUADALUPE VICTORIA</v>
          </cell>
          <cell r="F402">
            <v>43</v>
          </cell>
          <cell r="G402">
            <v>12</v>
          </cell>
          <cell r="H402" t="str">
            <v>Jaral del Progreso</v>
          </cell>
          <cell r="I402">
            <v>30000</v>
          </cell>
          <cell r="J402" t="str">
            <v>Multigrado</v>
          </cell>
          <cell r="K402" t="str">
            <v>LAS ISLAS</v>
          </cell>
          <cell r="L402" t="str">
            <v>NO APLICA</v>
          </cell>
          <cell r="M402" t="str">
            <v>LAS ISLAS</v>
          </cell>
          <cell r="T402" t="e">
            <v>#REF!</v>
          </cell>
        </row>
        <row r="403">
          <cell r="A403" t="str">
            <v>SANTIAGO CAPITIRO</v>
          </cell>
          <cell r="B403" t="str">
            <v>11DJN0138Y</v>
          </cell>
          <cell r="C403" t="str">
            <v>X</v>
          </cell>
          <cell r="E403" t="str">
            <v>JUAN JACOBO ROUSSEAU</v>
          </cell>
          <cell r="F403">
            <v>92</v>
          </cell>
          <cell r="G403">
            <v>22</v>
          </cell>
          <cell r="H403" t="str">
            <v>Jaral del Progreso</v>
          </cell>
          <cell r="I403">
            <v>85000</v>
          </cell>
          <cell r="J403" t="str">
            <v>Completa</v>
          </cell>
          <cell r="K403" t="str">
            <v>JARDIN DE NIÑOS NUM. 311</v>
          </cell>
          <cell r="L403" t="str">
            <v>SANTIAGO CAPITIRO</v>
          </cell>
          <cell r="M403" t="str">
            <v>SANTIAGO CAPITIRO</v>
          </cell>
          <cell r="T403" t="e">
            <v>#REF!</v>
          </cell>
        </row>
        <row r="404">
          <cell r="A404" t="str">
            <v>JARAL DEL PROGRESO</v>
          </cell>
          <cell r="B404" t="str">
            <v>11DJN3767H</v>
          </cell>
          <cell r="C404" t="str">
            <v>X</v>
          </cell>
          <cell r="E404" t="str">
            <v>ESTEFANIA CASTAÑEDA NUÑEZ</v>
          </cell>
          <cell r="F404">
            <v>92</v>
          </cell>
          <cell r="G404">
            <v>22</v>
          </cell>
          <cell r="H404" t="str">
            <v>Jaral del Progreso</v>
          </cell>
          <cell r="I404">
            <v>85000</v>
          </cell>
          <cell r="J404" t="str">
            <v>Completa</v>
          </cell>
          <cell r="K404" t="str">
            <v>PROLONGACION PROLONGACION LA ROSA NUM. 706</v>
          </cell>
          <cell r="L404" t="str">
            <v>DEL RIO</v>
          </cell>
          <cell r="M404" t="str">
            <v>JARAL DEL PROGRESO</v>
          </cell>
          <cell r="T404" t="e">
            <v>#REF!</v>
          </cell>
        </row>
        <row r="405">
          <cell r="A405" t="str">
            <v>SAN PABLO</v>
          </cell>
          <cell r="B405" t="str">
            <v>11EJN0179X</v>
          </cell>
          <cell r="C405" t="str">
            <v>X</v>
          </cell>
          <cell r="E405" t="str">
            <v>LIC. MANUEL DOBLADO</v>
          </cell>
          <cell r="F405">
            <v>528</v>
          </cell>
          <cell r="G405">
            <v>5</v>
          </cell>
          <cell r="H405" t="str">
            <v>Manuel Doblado</v>
          </cell>
          <cell r="I405">
            <v>30000</v>
          </cell>
          <cell r="J405" t="str">
            <v>Multigrado</v>
          </cell>
          <cell r="K405" t="str">
            <v>SAN PABLO</v>
          </cell>
          <cell r="L405">
            <v>0</v>
          </cell>
          <cell r="M405" t="str">
            <v>SAN PABLO</v>
          </cell>
          <cell r="T405" t="e">
            <v>#REF!</v>
          </cell>
        </row>
        <row r="406">
          <cell r="A406" t="str">
            <v>RANCHO NUEVO DEL VENADO</v>
          </cell>
          <cell r="B406" t="str">
            <v>11DPR1425O</v>
          </cell>
          <cell r="C406" t="str">
            <v>X</v>
          </cell>
          <cell r="E406" t="str">
            <v>GENERAL LAZARO CARDENAS</v>
          </cell>
          <cell r="F406">
            <v>27</v>
          </cell>
          <cell r="G406">
            <v>14</v>
          </cell>
          <cell r="H406" t="str">
            <v>Manuel Doblado</v>
          </cell>
          <cell r="I406">
            <v>20000</v>
          </cell>
          <cell r="J406" t="str">
            <v>Multigrado</v>
          </cell>
          <cell r="K406" t="str">
            <v>RANCHO NUEVO DEL VENADO S/N</v>
          </cell>
          <cell r="L406" t="str">
            <v>RANCHO NUEVO DEL VENADO</v>
          </cell>
          <cell r="M406" t="str">
            <v>RANCHO NUEVO DEL VENADO</v>
          </cell>
          <cell r="T406" t="e">
            <v>#REF!</v>
          </cell>
        </row>
        <row r="407">
          <cell r="A407" t="str">
            <v>LA CALZADA DE LA MERCED</v>
          </cell>
          <cell r="B407" t="str">
            <v>11ETV0314A</v>
          </cell>
          <cell r="D407" t="str">
            <v>X</v>
          </cell>
          <cell r="E407" t="str">
            <v>TELESECUNDARIA NUM. 319</v>
          </cell>
          <cell r="F407">
            <v>506</v>
          </cell>
          <cell r="G407">
            <v>5</v>
          </cell>
          <cell r="H407" t="str">
            <v>Manuel Doblado</v>
          </cell>
          <cell r="I407">
            <v>85000</v>
          </cell>
          <cell r="J407" t="str">
            <v>Completa</v>
          </cell>
          <cell r="K407" t="str">
            <v>CALZADA DE LA MERCED S/N</v>
          </cell>
          <cell r="L407">
            <v>0</v>
          </cell>
          <cell r="M407" t="str">
            <v>LA CALZADA DE LA MERCED</v>
          </cell>
          <cell r="T407" t="e">
            <v>#REF!</v>
          </cell>
        </row>
        <row r="408">
          <cell r="A408" t="str">
            <v>CIUDAD MANUEL DOBLADO</v>
          </cell>
          <cell r="B408" t="str">
            <v>11EPR0772O</v>
          </cell>
          <cell r="C408" t="str">
            <v>X</v>
          </cell>
          <cell r="E408" t="str">
            <v>LEYES DE REFORMA</v>
          </cell>
          <cell r="F408">
            <v>543</v>
          </cell>
          <cell r="G408">
            <v>8</v>
          </cell>
          <cell r="H408" t="str">
            <v>Manuel Doblado</v>
          </cell>
          <cell r="I408">
            <v>45000</v>
          </cell>
          <cell r="J408" t="str">
            <v>Completa</v>
          </cell>
          <cell r="K408" t="str">
            <v>ALLENDE NUM. 6 BIS</v>
          </cell>
          <cell r="L408">
            <v>0</v>
          </cell>
          <cell r="M408" t="str">
            <v>CIUDAD MANUEL DOBLADO</v>
          </cell>
          <cell r="T408" t="e">
            <v>#REF!</v>
          </cell>
        </row>
        <row r="409">
          <cell r="A409" t="str">
            <v>CIUDAD MANUEL DOBLADO</v>
          </cell>
          <cell r="B409" t="str">
            <v>11EPR0066K</v>
          </cell>
          <cell r="C409" t="str">
            <v>X</v>
          </cell>
          <cell r="E409" t="str">
            <v>LIC. MANUEL DOBLADO</v>
          </cell>
          <cell r="F409">
            <v>543</v>
          </cell>
          <cell r="G409">
            <v>8</v>
          </cell>
          <cell r="H409" t="str">
            <v>Manuel Doblado</v>
          </cell>
          <cell r="I409">
            <v>85000</v>
          </cell>
          <cell r="J409" t="str">
            <v>Completa</v>
          </cell>
          <cell r="K409" t="str">
            <v>ALLENDE NUM. 6 BIS</v>
          </cell>
          <cell r="L409">
            <v>0</v>
          </cell>
          <cell r="M409" t="str">
            <v>CIUDAD MANUEL DOBLADO</v>
          </cell>
          <cell r="T409" t="e">
            <v>#REF!</v>
          </cell>
        </row>
        <row r="410">
          <cell r="A410" t="str">
            <v>SAN MATIAS</v>
          </cell>
          <cell r="B410" t="str">
            <v>11EPR0685T</v>
          </cell>
          <cell r="C410" t="str">
            <v>X</v>
          </cell>
          <cell r="E410" t="str">
            <v>FORTINO LOPEZ ROBLES</v>
          </cell>
          <cell r="F410">
            <v>543</v>
          </cell>
          <cell r="G410">
            <v>8</v>
          </cell>
          <cell r="H410" t="str">
            <v>Manuel Doblado</v>
          </cell>
          <cell r="I410">
            <v>30000</v>
          </cell>
          <cell r="J410" t="str">
            <v>Multigrado</v>
          </cell>
          <cell r="K410" t="str">
            <v>SAN MATIAS</v>
          </cell>
          <cell r="L410">
            <v>0</v>
          </cell>
          <cell r="M410" t="str">
            <v>SAN MATIAS</v>
          </cell>
          <cell r="T410" t="e">
            <v>#REF!</v>
          </cell>
        </row>
        <row r="411">
          <cell r="A411" t="str">
            <v>LA CALZADA DE LA MERCED</v>
          </cell>
          <cell r="B411" t="str">
            <v>11DJN1013X</v>
          </cell>
          <cell r="C411" t="str">
            <v>X</v>
          </cell>
          <cell r="E411" t="str">
            <v>MANUEL GUTIERREZ NAJERA</v>
          </cell>
          <cell r="F411">
            <v>45</v>
          </cell>
          <cell r="G411">
            <v>18</v>
          </cell>
          <cell r="H411" t="str">
            <v>Manuel Doblado</v>
          </cell>
          <cell r="I411">
            <v>20000</v>
          </cell>
          <cell r="J411" t="str">
            <v>Multigrado</v>
          </cell>
          <cell r="K411" t="str">
            <v>CALZADA LA MERCED S/N</v>
          </cell>
          <cell r="L411">
            <v>0</v>
          </cell>
          <cell r="M411" t="str">
            <v>LA CALZADA DE LA MERCED</v>
          </cell>
          <cell r="T411" t="e">
            <v>#REF!</v>
          </cell>
        </row>
        <row r="412">
          <cell r="A412" t="str">
            <v>LA CALZADA DE LA MERCED</v>
          </cell>
          <cell r="B412" t="str">
            <v>11DPR1971V</v>
          </cell>
          <cell r="D412" t="str">
            <v>X</v>
          </cell>
          <cell r="E412" t="str">
            <v>16 DE SEPTIEMBRE</v>
          </cell>
          <cell r="F412">
            <v>93</v>
          </cell>
          <cell r="G412">
            <v>14</v>
          </cell>
          <cell r="H412" t="str">
            <v>Manuel Doblado</v>
          </cell>
          <cell r="I412">
            <v>45000</v>
          </cell>
          <cell r="J412" t="str">
            <v>Completa</v>
          </cell>
          <cell r="K412" t="str">
            <v>CALZADA DE LA MERCED S/N</v>
          </cell>
          <cell r="L412">
            <v>0</v>
          </cell>
          <cell r="M412" t="str">
            <v>LA CALZADA DE LA MERCED</v>
          </cell>
          <cell r="T412" t="e">
            <v>#REF!</v>
          </cell>
        </row>
        <row r="413">
          <cell r="A413" t="str">
            <v>SAN JUAN DE LA PUERTA</v>
          </cell>
          <cell r="B413" t="str">
            <v>11DJN1017T</v>
          </cell>
          <cell r="C413" t="str">
            <v>X</v>
          </cell>
          <cell r="E413" t="str">
            <v>DON MIGUEL HIDALGO Y COSTILLA</v>
          </cell>
          <cell r="F413">
            <v>45</v>
          </cell>
          <cell r="G413">
            <v>18</v>
          </cell>
          <cell r="H413" t="str">
            <v>Manuel Doblado</v>
          </cell>
          <cell r="I413">
            <v>20000</v>
          </cell>
          <cell r="J413" t="str">
            <v>Multigrado</v>
          </cell>
          <cell r="K413" t="str">
            <v>SAN JUAN DE LA PUERTA</v>
          </cell>
          <cell r="L413">
            <v>0</v>
          </cell>
          <cell r="M413" t="str">
            <v>SAN JUAN DE LA PUERTA</v>
          </cell>
          <cell r="T413" t="e">
            <v>#REF!</v>
          </cell>
        </row>
        <row r="414">
          <cell r="A414" t="str">
            <v>MARAVILLAS</v>
          </cell>
          <cell r="B414" t="str">
            <v>11DJN2414Z</v>
          </cell>
          <cell r="C414" t="str">
            <v>X</v>
          </cell>
          <cell r="E414" t="str">
            <v>ROSA AGAZZY</v>
          </cell>
          <cell r="F414">
            <v>45</v>
          </cell>
          <cell r="G414">
            <v>18</v>
          </cell>
          <cell r="H414" t="str">
            <v>Manuel Doblado</v>
          </cell>
          <cell r="I414">
            <v>20000</v>
          </cell>
          <cell r="J414" t="str">
            <v>Multigrado</v>
          </cell>
          <cell r="K414" t="str">
            <v>MARAVILLAS</v>
          </cell>
          <cell r="L414">
            <v>0</v>
          </cell>
          <cell r="M414" t="str">
            <v>MARAVILLAS</v>
          </cell>
          <cell r="T414" t="e">
            <v>#REF!</v>
          </cell>
        </row>
        <row r="415">
          <cell r="A415" t="str">
            <v>EL TECUAN</v>
          </cell>
          <cell r="B415" t="str">
            <v>11DPR0707P</v>
          </cell>
          <cell r="D415" t="str">
            <v>X</v>
          </cell>
          <cell r="E415" t="str">
            <v>NETZAHUALCOYOTL</v>
          </cell>
          <cell r="F415">
            <v>93</v>
          </cell>
          <cell r="G415">
            <v>14</v>
          </cell>
          <cell r="H415" t="str">
            <v>Manuel Doblado</v>
          </cell>
          <cell r="I415">
            <v>30000</v>
          </cell>
          <cell r="J415" t="str">
            <v>Multigrado</v>
          </cell>
          <cell r="K415" t="str">
            <v>EL TECUAN</v>
          </cell>
          <cell r="L415">
            <v>0</v>
          </cell>
          <cell r="M415" t="str">
            <v>EL TECUAN</v>
          </cell>
          <cell r="T415" t="e">
            <v>#REF!</v>
          </cell>
        </row>
        <row r="416">
          <cell r="A416" t="str">
            <v>VADO DE ZAPIEN</v>
          </cell>
          <cell r="B416" t="str">
            <v>11DPR3114Z</v>
          </cell>
          <cell r="C416" t="str">
            <v>X</v>
          </cell>
          <cell r="E416" t="str">
            <v>HEROES DE LA INDEPENDENCIA</v>
          </cell>
          <cell r="F416">
            <v>27</v>
          </cell>
          <cell r="G416">
            <v>14</v>
          </cell>
          <cell r="H416" t="str">
            <v>Manuel Doblado</v>
          </cell>
          <cell r="I416">
            <v>20000</v>
          </cell>
          <cell r="J416" t="str">
            <v>Multigrado</v>
          </cell>
          <cell r="K416" t="str">
            <v>BORDO DE ZAPIEN</v>
          </cell>
          <cell r="L416" t="str">
            <v>BORDO DE ZAPIEN</v>
          </cell>
          <cell r="M416" t="str">
            <v>VADO DE ZAPIEN</v>
          </cell>
          <cell r="T416" t="e">
            <v>#REF!</v>
          </cell>
        </row>
        <row r="417">
          <cell r="A417" t="str">
            <v>EX-HACIENDA DE ATOTONILQUILLO</v>
          </cell>
          <cell r="B417" t="str">
            <v>11DPR2371H</v>
          </cell>
          <cell r="C417" t="str">
            <v>X</v>
          </cell>
          <cell r="E417" t="str">
            <v>BENITO JUAREZ</v>
          </cell>
          <cell r="F417">
            <v>27</v>
          </cell>
          <cell r="G417">
            <v>14</v>
          </cell>
          <cell r="H417" t="str">
            <v>Manuel Doblado</v>
          </cell>
          <cell r="I417">
            <v>20000</v>
          </cell>
          <cell r="J417" t="str">
            <v>Multigrado</v>
          </cell>
          <cell r="K417" t="str">
            <v>EX-HACIENDA DE ATOTONILQUILLO</v>
          </cell>
          <cell r="L417">
            <v>0</v>
          </cell>
          <cell r="M417" t="str">
            <v>EX-HACIENDA DE ATOTONILQUILLO</v>
          </cell>
          <cell r="T417" t="e">
            <v>#REF!</v>
          </cell>
        </row>
        <row r="418">
          <cell r="A418" t="str">
            <v>CIUDAD MANUEL DOBLADO</v>
          </cell>
          <cell r="B418" t="str">
            <v>11DPR3080Z</v>
          </cell>
          <cell r="C418" t="str">
            <v>X</v>
          </cell>
          <cell r="E418" t="str">
            <v>SOR JUANA INES DE LA CRUZ</v>
          </cell>
          <cell r="F418">
            <v>93</v>
          </cell>
          <cell r="G418">
            <v>14</v>
          </cell>
          <cell r="H418" t="str">
            <v>Manuel Doblado</v>
          </cell>
          <cell r="I418">
            <v>85000</v>
          </cell>
          <cell r="J418" t="str">
            <v>Completa</v>
          </cell>
          <cell r="K418" t="str">
            <v>MARIANO MATAMOROS Y MIGUEL ALEMAN S/N</v>
          </cell>
          <cell r="L418">
            <v>0</v>
          </cell>
          <cell r="M418" t="str">
            <v>CIUDAD MANUEL DOBLADO</v>
          </cell>
          <cell r="T418" t="e">
            <v>#REF!</v>
          </cell>
        </row>
        <row r="419">
          <cell r="A419" t="str">
            <v>HUIZACHE DE SERRANOS</v>
          </cell>
          <cell r="B419" t="str">
            <v>11ETV0559V</v>
          </cell>
          <cell r="C419" t="str">
            <v>X</v>
          </cell>
          <cell r="E419" t="str">
            <v>TELESECUNDARIA NUM. 561</v>
          </cell>
          <cell r="F419">
            <v>506</v>
          </cell>
          <cell r="G419">
            <v>5</v>
          </cell>
          <cell r="H419" t="str">
            <v>Manuel Doblado</v>
          </cell>
          <cell r="I419">
            <v>85000</v>
          </cell>
          <cell r="J419" t="str">
            <v>Completa</v>
          </cell>
          <cell r="K419" t="str">
            <v>EL HUIZACHE</v>
          </cell>
          <cell r="L419">
            <v>0</v>
          </cell>
          <cell r="M419" t="str">
            <v>HUIZACHE DE SERRANOS</v>
          </cell>
          <cell r="T419" t="e">
            <v>#REF!</v>
          </cell>
        </row>
        <row r="420">
          <cell r="A420" t="str">
            <v>CIUDAD MANUEL DOBLADO</v>
          </cell>
          <cell r="B420" t="str">
            <v>11DPR3056Z</v>
          </cell>
          <cell r="C420" t="str">
            <v>X</v>
          </cell>
          <cell r="E420" t="str">
            <v>RUBEN M. CAMPOS</v>
          </cell>
          <cell r="F420">
            <v>27</v>
          </cell>
          <cell r="G420">
            <v>14</v>
          </cell>
          <cell r="H420" t="str">
            <v>Manuel Doblado</v>
          </cell>
          <cell r="I420">
            <v>55200</v>
          </cell>
          <cell r="J420" t="str">
            <v>Completa</v>
          </cell>
          <cell r="K420" t="str">
            <v>PROLONGACION GUERRERO S/N FRENTE A LA FERRETERIA RODRIGUEZ</v>
          </cell>
          <cell r="L420" t="str">
            <v>ZONA CENTRO</v>
          </cell>
          <cell r="M420" t="str">
            <v>CIUDAD MANUEL DOBLADO</v>
          </cell>
          <cell r="T420" t="e">
            <v>#REF!</v>
          </cell>
        </row>
        <row r="421">
          <cell r="A421" t="str">
            <v>SAN JUAN DE LA PUERTA</v>
          </cell>
          <cell r="B421" t="str">
            <v>11EPR0067J</v>
          </cell>
          <cell r="C421" t="str">
            <v>X</v>
          </cell>
          <cell r="E421" t="str">
            <v>EMILIANO ZAPATA</v>
          </cell>
          <cell r="F421">
            <v>543</v>
          </cell>
          <cell r="G421">
            <v>8</v>
          </cell>
          <cell r="H421" t="str">
            <v>Manuel Doblado</v>
          </cell>
          <cell r="I421">
            <v>45000</v>
          </cell>
          <cell r="J421" t="str">
            <v>Completa</v>
          </cell>
          <cell r="K421" t="str">
            <v>SAN JUAN DE LA PUERTA</v>
          </cell>
          <cell r="L421">
            <v>0</v>
          </cell>
          <cell r="M421" t="str">
            <v>SAN JUAN DE LA PUERTA</v>
          </cell>
          <cell r="T421" t="e">
            <v>#REF!</v>
          </cell>
        </row>
        <row r="422">
          <cell r="A422" t="str">
            <v>EL CAPULIN CHICO</v>
          </cell>
          <cell r="B422" t="str">
            <v>11DPR0711B</v>
          </cell>
          <cell r="C422" t="str">
            <v>X</v>
          </cell>
          <cell r="E422" t="str">
            <v>GENERAL VICENTE GUERRERO</v>
          </cell>
          <cell r="F422">
            <v>27</v>
          </cell>
          <cell r="G422">
            <v>14</v>
          </cell>
          <cell r="H422" t="str">
            <v>Manuel Doblado</v>
          </cell>
          <cell r="I422">
            <v>20000</v>
          </cell>
          <cell r="J422" t="str">
            <v>Multigrado</v>
          </cell>
          <cell r="K422" t="str">
            <v>CAPULIN CHICO</v>
          </cell>
          <cell r="L422">
            <v>0</v>
          </cell>
          <cell r="M422" t="str">
            <v>EL CAPULIN CHICO</v>
          </cell>
          <cell r="T422" t="e">
            <v>#REF!</v>
          </cell>
        </row>
        <row r="423">
          <cell r="A423" t="str">
            <v>MARAVILLAS</v>
          </cell>
          <cell r="B423" t="str">
            <v>11DPR1785Z</v>
          </cell>
          <cell r="C423" t="str">
            <v>X</v>
          </cell>
          <cell r="E423" t="str">
            <v>RAYO DEL SUR</v>
          </cell>
          <cell r="F423">
            <v>93</v>
          </cell>
          <cell r="G423">
            <v>14</v>
          </cell>
          <cell r="H423" t="str">
            <v>Manuel Doblado</v>
          </cell>
          <cell r="I423">
            <v>85000</v>
          </cell>
          <cell r="J423" t="str">
            <v>Completa</v>
          </cell>
          <cell r="K423" t="str">
            <v>MARAVILLAS</v>
          </cell>
          <cell r="L423">
            <v>0</v>
          </cell>
          <cell r="M423" t="str">
            <v>MARAVILLAS</v>
          </cell>
          <cell r="T423" t="e">
            <v>#REF!</v>
          </cell>
        </row>
        <row r="424">
          <cell r="A424" t="str">
            <v>RANCHO VIEJO DEL SAUZ</v>
          </cell>
          <cell r="B424" t="str">
            <v>11DPR3542R</v>
          </cell>
          <cell r="C424" t="str">
            <v>X</v>
          </cell>
          <cell r="E424" t="str">
            <v>LIC. MANUEL DOBLADO</v>
          </cell>
          <cell r="F424">
            <v>27</v>
          </cell>
          <cell r="G424">
            <v>14</v>
          </cell>
          <cell r="H424" t="str">
            <v>Manuel Doblado</v>
          </cell>
          <cell r="I424">
            <v>20000</v>
          </cell>
          <cell r="J424" t="str">
            <v>Multigrado</v>
          </cell>
          <cell r="K424" t="str">
            <v>RANCHO VIEJO DEL SAUZ S/N</v>
          </cell>
          <cell r="L424">
            <v>0</v>
          </cell>
          <cell r="M424" t="str">
            <v>RANCHO VIEJO DEL SAUZ</v>
          </cell>
          <cell r="T424" t="e">
            <v>#REF!</v>
          </cell>
        </row>
        <row r="425">
          <cell r="A425" t="str">
            <v>CERRITO DE SANTIAGO</v>
          </cell>
          <cell r="B425" t="str">
            <v>11DPR1313K</v>
          </cell>
          <cell r="C425" t="str">
            <v>X</v>
          </cell>
          <cell r="E425" t="str">
            <v>MELCHOR OCAMPO</v>
          </cell>
          <cell r="F425">
            <v>27</v>
          </cell>
          <cell r="G425">
            <v>14</v>
          </cell>
          <cell r="H425" t="str">
            <v>Manuel Doblado</v>
          </cell>
          <cell r="I425">
            <v>20000</v>
          </cell>
          <cell r="J425" t="str">
            <v>Multigrado</v>
          </cell>
          <cell r="K425" t="str">
            <v>CERRITO DE SANTIAGO</v>
          </cell>
          <cell r="L425">
            <v>0</v>
          </cell>
          <cell r="M425" t="str">
            <v>CERRITO DE SANTIAGO</v>
          </cell>
          <cell r="T425" t="e">
            <v>#REF!</v>
          </cell>
        </row>
        <row r="426">
          <cell r="A426" t="str">
            <v>RANCHO NUEVO DE ATOTONILQUILLO</v>
          </cell>
          <cell r="B426" t="str">
            <v>11DPR1972U</v>
          </cell>
          <cell r="C426" t="str">
            <v>X</v>
          </cell>
          <cell r="E426" t="str">
            <v>JOSEFA ORTIZ DE DOMINGUEZ</v>
          </cell>
          <cell r="F426">
            <v>27</v>
          </cell>
          <cell r="G426">
            <v>14</v>
          </cell>
          <cell r="H426" t="str">
            <v>Manuel Doblado</v>
          </cell>
          <cell r="I426">
            <v>45000</v>
          </cell>
          <cell r="J426" t="str">
            <v>Completa</v>
          </cell>
          <cell r="K426" t="str">
            <v>RANCHO NUEVO DE ATOTONILQUILLO S/N</v>
          </cell>
          <cell r="L426">
            <v>0</v>
          </cell>
          <cell r="M426" t="str">
            <v>RANCHO NUEVO DE ATOTONILQUILLO</v>
          </cell>
          <cell r="T426" t="e">
            <v>#REF!</v>
          </cell>
        </row>
        <row r="427">
          <cell r="A427" t="str">
            <v>EL CHARCON</v>
          </cell>
          <cell r="B427" t="str">
            <v>11ETV0776J</v>
          </cell>
          <cell r="C427" t="str">
            <v>X</v>
          </cell>
          <cell r="E427" t="str">
            <v>TELESECUNDARIA NUM. 776</v>
          </cell>
          <cell r="F427">
            <v>506</v>
          </cell>
          <cell r="G427">
            <v>5</v>
          </cell>
          <cell r="H427" t="str">
            <v>Manuel Doblado</v>
          </cell>
          <cell r="I427">
            <v>53000</v>
          </cell>
          <cell r="J427" t="str">
            <v>Completa</v>
          </cell>
          <cell r="K427" t="str">
            <v>EL CHARCON</v>
          </cell>
          <cell r="L427">
            <v>0</v>
          </cell>
          <cell r="M427" t="str">
            <v>EL CHARCON</v>
          </cell>
          <cell r="T427" t="e">
            <v>#REF!</v>
          </cell>
        </row>
        <row r="428">
          <cell r="A428" t="str">
            <v>EL VARAL (OJO DE AGUA DEL VARAL)</v>
          </cell>
          <cell r="B428" t="str">
            <v>11DPR1190R</v>
          </cell>
          <cell r="D428" t="str">
            <v>X</v>
          </cell>
          <cell r="E428" t="str">
            <v>DOROTEO ARANGO</v>
          </cell>
          <cell r="F428">
            <v>93</v>
          </cell>
          <cell r="G428">
            <v>14</v>
          </cell>
          <cell r="H428" t="str">
            <v>Manuel Doblado</v>
          </cell>
          <cell r="I428">
            <v>20000</v>
          </cell>
          <cell r="J428" t="str">
            <v>Multigrado</v>
          </cell>
          <cell r="K428" t="str">
            <v>EL VARAL</v>
          </cell>
          <cell r="L428">
            <v>0</v>
          </cell>
          <cell r="M428" t="str">
            <v>EL VARAL (OJO DE AGUA DEL VARAL)</v>
          </cell>
          <cell r="T428" t="e">
            <v>#REF!</v>
          </cell>
        </row>
        <row r="429">
          <cell r="A429" t="str">
            <v>ZAPOTE DE ADJUNTAS</v>
          </cell>
          <cell r="B429" t="str">
            <v>11DPR1381H</v>
          </cell>
          <cell r="C429" t="str">
            <v>X</v>
          </cell>
          <cell r="E429" t="str">
            <v>ALFREDO V BONFIL</v>
          </cell>
          <cell r="F429">
            <v>27</v>
          </cell>
          <cell r="G429">
            <v>14</v>
          </cell>
          <cell r="H429" t="str">
            <v>Manuel Doblado</v>
          </cell>
          <cell r="I429">
            <v>25000</v>
          </cell>
          <cell r="J429" t="str">
            <v>Multigrado</v>
          </cell>
          <cell r="K429" t="str">
            <v>ZAPOTE DE ADJUNTAS</v>
          </cell>
          <cell r="L429">
            <v>0</v>
          </cell>
          <cell r="M429" t="str">
            <v>ZAPOTE DE ADJUNTAS</v>
          </cell>
          <cell r="T429" t="e">
            <v>#REF!</v>
          </cell>
        </row>
        <row r="430">
          <cell r="A430" t="str">
            <v>SAN PABLO</v>
          </cell>
          <cell r="B430" t="str">
            <v>11EPR0492E</v>
          </cell>
          <cell r="C430" t="str">
            <v>X</v>
          </cell>
          <cell r="E430" t="str">
            <v>HERMENEGILDO GALEANA</v>
          </cell>
          <cell r="F430">
            <v>543</v>
          </cell>
          <cell r="G430">
            <v>8</v>
          </cell>
          <cell r="H430" t="str">
            <v>Manuel Doblado</v>
          </cell>
          <cell r="I430">
            <v>30000</v>
          </cell>
          <cell r="J430" t="str">
            <v>Multigrado</v>
          </cell>
          <cell r="K430" t="str">
            <v>SAN PABLO</v>
          </cell>
          <cell r="L430">
            <v>0</v>
          </cell>
          <cell r="M430" t="str">
            <v>SAN PABLO</v>
          </cell>
          <cell r="T430" t="e">
            <v>#REF!</v>
          </cell>
        </row>
        <row r="431">
          <cell r="A431" t="str">
            <v>SANTA ANITA</v>
          </cell>
          <cell r="B431" t="str">
            <v>11DPR3568Z</v>
          </cell>
          <cell r="C431" t="str">
            <v>X</v>
          </cell>
          <cell r="E431" t="str">
            <v>IGNACIO RAMIREZ LOPEZ</v>
          </cell>
          <cell r="F431">
            <v>93</v>
          </cell>
          <cell r="G431">
            <v>14</v>
          </cell>
          <cell r="H431" t="str">
            <v>Manuel Doblado</v>
          </cell>
          <cell r="I431">
            <v>20000</v>
          </cell>
          <cell r="J431" t="str">
            <v>Multigrado</v>
          </cell>
          <cell r="K431" t="str">
            <v>SANTA ANITA</v>
          </cell>
          <cell r="L431">
            <v>0</v>
          </cell>
          <cell r="M431" t="str">
            <v>SANTA ANITA</v>
          </cell>
          <cell r="T431" t="e">
            <v>#REF!</v>
          </cell>
        </row>
        <row r="432">
          <cell r="A432" t="str">
            <v>CALZADA DEL TEPOZAN (EL TEPOZAN)</v>
          </cell>
          <cell r="B432" t="str">
            <v>11DPR1647Y</v>
          </cell>
          <cell r="C432" t="str">
            <v>X</v>
          </cell>
          <cell r="E432" t="str">
            <v>JAIME TORRES BODET</v>
          </cell>
          <cell r="F432">
            <v>93</v>
          </cell>
          <cell r="G432">
            <v>14</v>
          </cell>
          <cell r="H432" t="str">
            <v>Manuel Doblado</v>
          </cell>
          <cell r="I432">
            <v>85000</v>
          </cell>
          <cell r="J432" t="str">
            <v>Completa</v>
          </cell>
          <cell r="K432" t="str">
            <v>CALZADA DEL TEPOZAN S/N</v>
          </cell>
          <cell r="L432">
            <v>0</v>
          </cell>
          <cell r="M432" t="str">
            <v>CALZADA DEL TEPOZAN (EL TEPOZAN)</v>
          </cell>
          <cell r="T432" t="e">
            <v>#REF!</v>
          </cell>
        </row>
        <row r="433">
          <cell r="A433" t="str">
            <v>FRIAS</v>
          </cell>
          <cell r="B433" t="str">
            <v>11DPR1788X</v>
          </cell>
          <cell r="C433" t="str">
            <v>X</v>
          </cell>
          <cell r="E433" t="str">
            <v>JUVENTINO ROSAS</v>
          </cell>
          <cell r="F433">
            <v>27</v>
          </cell>
          <cell r="G433">
            <v>14</v>
          </cell>
          <cell r="H433" t="str">
            <v>Manuel Doblado</v>
          </cell>
          <cell r="I433">
            <v>45000</v>
          </cell>
          <cell r="J433" t="str">
            <v>Completa</v>
          </cell>
          <cell r="K433" t="str">
            <v>FRIAS</v>
          </cell>
          <cell r="L433">
            <v>0</v>
          </cell>
          <cell r="M433" t="str">
            <v>FRIAS</v>
          </cell>
          <cell r="T433" t="e">
            <v>#REF!</v>
          </cell>
        </row>
        <row r="434">
          <cell r="A434" t="str">
            <v>PIEDRA PARADA (LA MANGA)</v>
          </cell>
          <cell r="B434" t="str">
            <v>11DPR1852H</v>
          </cell>
          <cell r="D434" t="str">
            <v>X</v>
          </cell>
          <cell r="E434" t="str">
            <v>AMERICA</v>
          </cell>
          <cell r="F434">
            <v>93</v>
          </cell>
          <cell r="G434">
            <v>14</v>
          </cell>
          <cell r="H434" t="str">
            <v>Manuel Doblado</v>
          </cell>
          <cell r="I434">
            <v>20000</v>
          </cell>
          <cell r="J434" t="str">
            <v>Multigrado</v>
          </cell>
          <cell r="K434" t="str">
            <v>PIEDRA PARADA</v>
          </cell>
          <cell r="L434">
            <v>0</v>
          </cell>
          <cell r="M434" t="str">
            <v>PIEDRA PARADA (LA MANGA)</v>
          </cell>
          <cell r="T434" t="e">
            <v>#REF!</v>
          </cell>
        </row>
        <row r="435">
          <cell r="A435" t="str">
            <v>SAN JUAN DE LA PUERTA</v>
          </cell>
          <cell r="B435" t="str">
            <v>11ETV0068H</v>
          </cell>
          <cell r="C435" t="str">
            <v>X</v>
          </cell>
          <cell r="E435" t="str">
            <v>TELESECUNDARIA NUM. 52</v>
          </cell>
          <cell r="F435">
            <v>506</v>
          </cell>
          <cell r="G435">
            <v>5</v>
          </cell>
          <cell r="H435" t="str">
            <v>Manuel Doblado</v>
          </cell>
          <cell r="I435">
            <v>85000</v>
          </cell>
          <cell r="J435" t="str">
            <v>Completa</v>
          </cell>
          <cell r="K435" t="str">
            <v>SAN JUAN DE LA PUERTA</v>
          </cell>
          <cell r="L435">
            <v>0</v>
          </cell>
          <cell r="M435" t="str">
            <v>SAN JUAN DE LA PUERTA</v>
          </cell>
          <cell r="T435" t="e">
            <v>#REF!</v>
          </cell>
        </row>
        <row r="436">
          <cell r="A436" t="str">
            <v>RANCHO NUEVO DE ATOTONILQUILLO</v>
          </cell>
          <cell r="B436" t="str">
            <v>11ETV0535L</v>
          </cell>
          <cell r="C436" t="str">
            <v>X</v>
          </cell>
          <cell r="E436" t="str">
            <v>TELESECUNDARIA NUM. 524</v>
          </cell>
          <cell r="F436">
            <v>506</v>
          </cell>
          <cell r="G436">
            <v>5</v>
          </cell>
          <cell r="H436" t="str">
            <v>Manuel Doblado</v>
          </cell>
          <cell r="I436">
            <v>85000</v>
          </cell>
          <cell r="J436" t="str">
            <v>Completa</v>
          </cell>
          <cell r="K436" t="str">
            <v>RANCHO NUEVO DE ATOTONILQUILLO S/N</v>
          </cell>
          <cell r="L436">
            <v>0</v>
          </cell>
          <cell r="M436" t="str">
            <v>RANCHO NUEVO DE ATOTONILQUILLO</v>
          </cell>
          <cell r="T436" t="e">
            <v>#REF!</v>
          </cell>
        </row>
        <row r="437">
          <cell r="A437" t="str">
            <v>TANCO</v>
          </cell>
          <cell r="B437" t="str">
            <v>11DPR1896E</v>
          </cell>
          <cell r="C437" t="str">
            <v>X</v>
          </cell>
          <cell r="E437" t="str">
            <v>PROFR. IGNACIO RAMIREZ</v>
          </cell>
          <cell r="F437">
            <v>27</v>
          </cell>
          <cell r="G437">
            <v>14</v>
          </cell>
          <cell r="H437" t="str">
            <v>Manuel Doblado</v>
          </cell>
          <cell r="I437">
            <v>20000</v>
          </cell>
          <cell r="J437" t="str">
            <v>Multigrado</v>
          </cell>
          <cell r="K437" t="str">
            <v>TANCO</v>
          </cell>
          <cell r="L437">
            <v>0</v>
          </cell>
          <cell r="M437" t="str">
            <v>TANCO</v>
          </cell>
          <cell r="T437" t="e">
            <v>#REF!</v>
          </cell>
        </row>
        <row r="438">
          <cell r="A438" t="str">
            <v>PUERTA DE LLAVE</v>
          </cell>
          <cell r="B438" t="str">
            <v>11ETV0658V</v>
          </cell>
          <cell r="C438" t="str">
            <v>X</v>
          </cell>
          <cell r="E438" t="str">
            <v>TELESECUNDARIA NUM. 634</v>
          </cell>
          <cell r="F438">
            <v>506</v>
          </cell>
          <cell r="G438">
            <v>5</v>
          </cell>
          <cell r="H438" t="str">
            <v>Manuel Doblado</v>
          </cell>
          <cell r="I438">
            <v>45000</v>
          </cell>
          <cell r="J438" t="str">
            <v>Completa</v>
          </cell>
          <cell r="K438" t="str">
            <v>PUERTA DE LLAVE</v>
          </cell>
          <cell r="L438">
            <v>0</v>
          </cell>
          <cell r="M438" t="str">
            <v>PUERTA DE LLAVE</v>
          </cell>
          <cell r="T438" t="e">
            <v>#REF!</v>
          </cell>
        </row>
        <row r="439">
          <cell r="A439" t="str">
            <v>TANGAMANGA</v>
          </cell>
          <cell r="B439" t="str">
            <v>11DPR1497H</v>
          </cell>
          <cell r="D439" t="str">
            <v>X</v>
          </cell>
          <cell r="E439" t="str">
            <v>EMILIANO ZAPATA</v>
          </cell>
          <cell r="F439">
            <v>93</v>
          </cell>
          <cell r="G439">
            <v>14</v>
          </cell>
          <cell r="H439" t="str">
            <v>Manuel Doblado</v>
          </cell>
          <cell r="I439">
            <v>20000</v>
          </cell>
          <cell r="J439" t="str">
            <v>Multigrado</v>
          </cell>
          <cell r="K439" t="str">
            <v>TANGAMANGA</v>
          </cell>
          <cell r="L439">
            <v>0</v>
          </cell>
          <cell r="M439" t="str">
            <v>TANGAMANGA</v>
          </cell>
          <cell r="T439" t="e">
            <v>#REF!</v>
          </cell>
        </row>
        <row r="440">
          <cell r="A440" t="str">
            <v>SAN JOSE DEL PASO</v>
          </cell>
          <cell r="B440" t="str">
            <v>11DPR1895F</v>
          </cell>
          <cell r="C440" t="str">
            <v>X</v>
          </cell>
          <cell r="E440" t="str">
            <v>MAESTRO JUSTO SIERRA</v>
          </cell>
          <cell r="F440">
            <v>93</v>
          </cell>
          <cell r="G440">
            <v>14</v>
          </cell>
          <cell r="H440" t="str">
            <v>Manuel Doblado</v>
          </cell>
          <cell r="I440">
            <v>25200</v>
          </cell>
          <cell r="J440" t="str">
            <v>Multigrado</v>
          </cell>
          <cell r="K440" t="str">
            <v>SAN JOSE DEL PASO</v>
          </cell>
          <cell r="L440">
            <v>0</v>
          </cell>
          <cell r="M440" t="str">
            <v>SAN JOSE DEL PASO</v>
          </cell>
          <cell r="T440" t="e">
            <v>#REF!</v>
          </cell>
        </row>
        <row r="441">
          <cell r="A441" t="str">
            <v>LA LADERA</v>
          </cell>
          <cell r="B441" t="str">
            <v>11DPR1784A</v>
          </cell>
          <cell r="C441" t="str">
            <v>X</v>
          </cell>
          <cell r="E441" t="str">
            <v>REDENCION AGRARIA</v>
          </cell>
          <cell r="F441">
            <v>27</v>
          </cell>
          <cell r="G441">
            <v>14</v>
          </cell>
          <cell r="H441" t="str">
            <v>Manuel Doblado</v>
          </cell>
          <cell r="I441">
            <v>30000</v>
          </cell>
          <cell r="J441" t="str">
            <v>Multigrado</v>
          </cell>
          <cell r="K441" t="str">
            <v>LA LADERA</v>
          </cell>
          <cell r="L441">
            <v>0</v>
          </cell>
          <cell r="M441" t="str">
            <v>LA LADERA</v>
          </cell>
          <cell r="T441" t="e">
            <v>#REF!</v>
          </cell>
        </row>
        <row r="442">
          <cell r="A442" t="str">
            <v>EL CHARCON</v>
          </cell>
          <cell r="B442" t="str">
            <v>11DJN0857F</v>
          </cell>
          <cell r="C442" t="str">
            <v>X</v>
          </cell>
          <cell r="E442" t="str">
            <v>CARLOS ROBERTO DARWIN</v>
          </cell>
          <cell r="F442">
            <v>45</v>
          </cell>
          <cell r="G442">
            <v>18</v>
          </cell>
          <cell r="H442" t="str">
            <v>Manuel Doblado</v>
          </cell>
          <cell r="I442">
            <v>20000</v>
          </cell>
          <cell r="J442" t="str">
            <v>Multigrado</v>
          </cell>
          <cell r="K442" t="str">
            <v>EL CHARCON</v>
          </cell>
          <cell r="L442">
            <v>0</v>
          </cell>
          <cell r="M442" t="str">
            <v>EL CHARCON</v>
          </cell>
          <cell r="T442" t="e">
            <v>#REF!</v>
          </cell>
        </row>
        <row r="443">
          <cell r="A443" t="str">
            <v>MARAVILLAS</v>
          </cell>
          <cell r="B443" t="str">
            <v>11DPR2369T</v>
          </cell>
          <cell r="D443" t="str">
            <v>X</v>
          </cell>
          <cell r="E443" t="str">
            <v>FRANCISCO I. MADERO</v>
          </cell>
          <cell r="F443">
            <v>93</v>
          </cell>
          <cell r="G443">
            <v>14</v>
          </cell>
          <cell r="H443" t="str">
            <v>Manuel Doblado</v>
          </cell>
          <cell r="I443">
            <v>30000</v>
          </cell>
          <cell r="J443" t="str">
            <v>Multigrado</v>
          </cell>
          <cell r="K443" t="str">
            <v>MARAVILLAS</v>
          </cell>
          <cell r="L443">
            <v>0</v>
          </cell>
          <cell r="M443" t="str">
            <v>MARAVILLAS</v>
          </cell>
          <cell r="T443" t="e">
            <v>#REF!</v>
          </cell>
        </row>
        <row r="444">
          <cell r="A444" t="str">
            <v>PIEDRAS NEGRAS</v>
          </cell>
          <cell r="B444" t="str">
            <v>11DPR0871P</v>
          </cell>
          <cell r="C444" t="str">
            <v>X</v>
          </cell>
          <cell r="E444" t="str">
            <v>EMILIANO ZAPATA</v>
          </cell>
          <cell r="F444">
            <v>93</v>
          </cell>
          <cell r="G444">
            <v>14</v>
          </cell>
          <cell r="H444" t="str">
            <v>Manuel Doblado</v>
          </cell>
          <cell r="I444">
            <v>20000</v>
          </cell>
          <cell r="J444" t="str">
            <v>Multigrado</v>
          </cell>
          <cell r="K444" t="str">
            <v>PIEDRAS NEGRAS</v>
          </cell>
          <cell r="L444">
            <v>0</v>
          </cell>
          <cell r="M444" t="str">
            <v>PIEDRAS NEGRAS</v>
          </cell>
          <cell r="T444" t="e">
            <v>#REF!</v>
          </cell>
        </row>
        <row r="445">
          <cell r="A445" t="str">
            <v>PUERTO DEL LAUREL DOS ALTO (EL PUERTO)</v>
          </cell>
          <cell r="B445" t="str">
            <v>11DPR1514H</v>
          </cell>
          <cell r="C445" t="str">
            <v>X</v>
          </cell>
          <cell r="E445" t="str">
            <v>MARIANO MATAMOROS</v>
          </cell>
          <cell r="F445">
            <v>93</v>
          </cell>
          <cell r="G445">
            <v>14</v>
          </cell>
          <cell r="H445" t="str">
            <v>Manuel Doblado</v>
          </cell>
          <cell r="I445">
            <v>22000</v>
          </cell>
          <cell r="J445" t="str">
            <v>Multigrado</v>
          </cell>
          <cell r="K445" t="str">
            <v>PUERTO DEL LAUREL</v>
          </cell>
          <cell r="L445">
            <v>0</v>
          </cell>
          <cell r="M445" t="str">
            <v>PUERTO DEL LAUREL DOS ALTO (EL PUERTO)</v>
          </cell>
          <cell r="T445" t="e">
            <v>#REF!</v>
          </cell>
        </row>
        <row r="446">
          <cell r="A446" t="str">
            <v>PUERTA DE LLAVE</v>
          </cell>
          <cell r="B446" t="str">
            <v>11DPR0708O</v>
          </cell>
          <cell r="C446" t="str">
            <v>X</v>
          </cell>
          <cell r="E446" t="str">
            <v>GABRIEL RAMOS MILLAN</v>
          </cell>
          <cell r="F446">
            <v>93</v>
          </cell>
          <cell r="G446">
            <v>14</v>
          </cell>
          <cell r="H446" t="str">
            <v>Manuel Doblado</v>
          </cell>
          <cell r="I446">
            <v>20000</v>
          </cell>
          <cell r="J446" t="str">
            <v>Multigrado</v>
          </cell>
          <cell r="K446" t="str">
            <v>PUERTA DE LLAVE</v>
          </cell>
          <cell r="L446">
            <v>0</v>
          </cell>
          <cell r="M446" t="str">
            <v>PUERTA DE LLAVE</v>
          </cell>
          <cell r="T446" t="e">
            <v>#REF!</v>
          </cell>
        </row>
        <row r="447">
          <cell r="A447" t="str">
            <v>PIEDRAS NEGRAS</v>
          </cell>
          <cell r="B447" t="str">
            <v>11DJN2904N</v>
          </cell>
          <cell r="C447" t="str">
            <v>X</v>
          </cell>
          <cell r="E447" t="str">
            <v>ESTEFANIA CASTAÑEDA</v>
          </cell>
          <cell r="F447">
            <v>45</v>
          </cell>
          <cell r="G447">
            <v>18</v>
          </cell>
          <cell r="H447" t="str">
            <v>Manuel Doblado</v>
          </cell>
          <cell r="I447">
            <v>20000</v>
          </cell>
          <cell r="J447" t="str">
            <v>Multigrado</v>
          </cell>
          <cell r="K447" t="str">
            <v>PIEDRAS NEGRAS</v>
          </cell>
          <cell r="L447">
            <v>0</v>
          </cell>
          <cell r="M447" t="str">
            <v>PIEDRAS NEGRAS</v>
          </cell>
          <cell r="T447" t="e">
            <v>#REF!</v>
          </cell>
        </row>
        <row r="448">
          <cell r="A448" t="str">
            <v>LAS COLORADAS</v>
          </cell>
          <cell r="B448" t="str">
            <v>11DPR1415H</v>
          </cell>
          <cell r="D448" t="str">
            <v>X</v>
          </cell>
          <cell r="E448" t="str">
            <v>NARCISO MENDOZA</v>
          </cell>
          <cell r="F448">
            <v>93</v>
          </cell>
          <cell r="G448">
            <v>14</v>
          </cell>
          <cell r="H448" t="str">
            <v>Manuel Doblado</v>
          </cell>
          <cell r="I448">
            <v>20000</v>
          </cell>
          <cell r="J448" t="str">
            <v>Multigrado</v>
          </cell>
          <cell r="K448" t="str">
            <v>LAS COLORADAS</v>
          </cell>
          <cell r="L448">
            <v>0</v>
          </cell>
          <cell r="M448" t="str">
            <v>LAS COLORADAS</v>
          </cell>
          <cell r="T448" t="e">
            <v>#REF!</v>
          </cell>
        </row>
        <row r="449">
          <cell r="A449" t="str">
            <v>SAN LUISITO</v>
          </cell>
          <cell r="B449" t="str">
            <v>11DPR0710C</v>
          </cell>
          <cell r="D449" t="str">
            <v>X</v>
          </cell>
          <cell r="E449" t="str">
            <v>MIGUEL HIDALGO</v>
          </cell>
          <cell r="F449">
            <v>27</v>
          </cell>
          <cell r="G449">
            <v>14</v>
          </cell>
          <cell r="H449" t="str">
            <v>Manuel Doblado</v>
          </cell>
          <cell r="I449">
            <v>20000</v>
          </cell>
          <cell r="J449" t="str">
            <v>Multigrado</v>
          </cell>
          <cell r="K449" t="str">
            <v>SAN LUISITO</v>
          </cell>
          <cell r="L449" t="str">
            <v>SAN LUIS</v>
          </cell>
          <cell r="M449" t="str">
            <v>SAN LUISITO</v>
          </cell>
          <cell r="T449" t="e">
            <v>#REF!</v>
          </cell>
        </row>
        <row r="450">
          <cell r="A450" t="str">
            <v>SAN JOSE DE ORNELAS</v>
          </cell>
          <cell r="B450" t="str">
            <v>11DPR1496I</v>
          </cell>
          <cell r="D450" t="str">
            <v>X</v>
          </cell>
          <cell r="E450" t="str">
            <v>VICENTE GUERRERO</v>
          </cell>
          <cell r="F450">
            <v>93</v>
          </cell>
          <cell r="G450">
            <v>14</v>
          </cell>
          <cell r="H450" t="str">
            <v>Manuel Doblado</v>
          </cell>
          <cell r="I450">
            <v>20000</v>
          </cell>
          <cell r="J450" t="str">
            <v>Multigrado</v>
          </cell>
          <cell r="K450" t="str">
            <v>SAN JOSE DE ORNELAS</v>
          </cell>
          <cell r="L450">
            <v>0</v>
          </cell>
          <cell r="M450" t="str">
            <v>SAN JOSE DE ORNELAS</v>
          </cell>
          <cell r="T450" t="e">
            <v>#REF!</v>
          </cell>
        </row>
        <row r="451">
          <cell r="A451" t="str">
            <v>SAN JOSE DE OTATES</v>
          </cell>
          <cell r="B451" t="str">
            <v>11DPR2004M</v>
          </cell>
          <cell r="C451" t="str">
            <v>X</v>
          </cell>
          <cell r="E451" t="str">
            <v>LAZARO CARDENAS</v>
          </cell>
          <cell r="F451">
            <v>93</v>
          </cell>
          <cell r="G451">
            <v>14</v>
          </cell>
          <cell r="H451" t="str">
            <v>Manuel Doblado</v>
          </cell>
          <cell r="I451">
            <v>30000</v>
          </cell>
          <cell r="J451" t="str">
            <v>Multigrado</v>
          </cell>
          <cell r="K451" t="str">
            <v>SAN JOSE DE OTATES</v>
          </cell>
          <cell r="L451">
            <v>0</v>
          </cell>
          <cell r="M451" t="str">
            <v>SAN JOSE DE OTATES</v>
          </cell>
          <cell r="T451" t="e">
            <v>#REF!</v>
          </cell>
        </row>
        <row r="452">
          <cell r="A452" t="str">
            <v>MOROLEON</v>
          </cell>
          <cell r="B452" t="str">
            <v>11EJN0275Z</v>
          </cell>
          <cell r="C452" t="str">
            <v>X</v>
          </cell>
          <cell r="E452" t="str">
            <v>TENOCHTITLAN</v>
          </cell>
          <cell r="F452">
            <v>526</v>
          </cell>
          <cell r="G452">
            <v>8</v>
          </cell>
          <cell r="H452" t="str">
            <v>Moroleón</v>
          </cell>
          <cell r="I452">
            <v>85000</v>
          </cell>
          <cell r="J452" t="str">
            <v>Completa</v>
          </cell>
          <cell r="K452" t="str">
            <v>JUANA DE MEDINA Y AGUSTIN GUZMAN S/N</v>
          </cell>
          <cell r="L452" t="str">
            <v>NO APLICA</v>
          </cell>
          <cell r="M452" t="str">
            <v>MOROLEON</v>
          </cell>
          <cell r="T452" t="e">
            <v>#REF!</v>
          </cell>
        </row>
        <row r="453">
          <cell r="A453" t="str">
            <v>MOROLEON</v>
          </cell>
          <cell r="B453" t="str">
            <v>11EJN0207C</v>
          </cell>
          <cell r="C453" t="str">
            <v>X</v>
          </cell>
          <cell r="E453" t="str">
            <v>IGNACIO ALLENDE</v>
          </cell>
          <cell r="F453">
            <v>526</v>
          </cell>
          <cell r="G453">
            <v>8</v>
          </cell>
          <cell r="H453" t="str">
            <v>Moroleón</v>
          </cell>
          <cell r="I453">
            <v>80000</v>
          </cell>
          <cell r="J453" t="str">
            <v>Completa</v>
          </cell>
          <cell r="K453" t="str">
            <v>JUAN JOSE TORRES LANDA NUM. 43</v>
          </cell>
          <cell r="L453" t="str">
            <v>NO APLICA</v>
          </cell>
          <cell r="M453" t="str">
            <v>MOROLEON</v>
          </cell>
          <cell r="T453" t="e">
            <v>#REF!</v>
          </cell>
        </row>
        <row r="454">
          <cell r="A454" t="str">
            <v>LA LOMA ( TV )</v>
          </cell>
          <cell r="B454" t="str">
            <v>11ETV0741U</v>
          </cell>
          <cell r="C454" t="str">
            <v>X</v>
          </cell>
          <cell r="E454" t="str">
            <v>TELESECUNDARIA NUM. 745</v>
          </cell>
          <cell r="F454">
            <v>543</v>
          </cell>
          <cell r="G454">
            <v>8</v>
          </cell>
          <cell r="H454" t="str">
            <v>Moroleón</v>
          </cell>
          <cell r="I454">
            <v>30000</v>
          </cell>
          <cell r="J454" t="str">
            <v>Multigrado</v>
          </cell>
          <cell r="K454" t="str">
            <v>LA LOMA</v>
          </cell>
          <cell r="L454" t="str">
            <v>NO APLICA</v>
          </cell>
          <cell r="M454" t="str">
            <v>LA LOMA</v>
          </cell>
          <cell r="T454" t="e">
            <v>#REF!</v>
          </cell>
        </row>
        <row r="455">
          <cell r="A455" t="str">
            <v>LAGUNILLAS ( PR )</v>
          </cell>
          <cell r="B455" t="str">
            <v>11DPR1631X</v>
          </cell>
          <cell r="C455" t="str">
            <v>X</v>
          </cell>
          <cell r="E455" t="str">
            <v>SIMON BOLIVAR</v>
          </cell>
          <cell r="F455">
            <v>119</v>
          </cell>
          <cell r="G455">
            <v>26</v>
          </cell>
          <cell r="H455" t="str">
            <v>Pénjamo</v>
          </cell>
          <cell r="I455">
            <v>70000</v>
          </cell>
          <cell r="J455" t="str">
            <v>Completa</v>
          </cell>
          <cell r="K455" t="str">
            <v>LAGUNILLAS</v>
          </cell>
          <cell r="L455">
            <v>0</v>
          </cell>
          <cell r="M455" t="str">
            <v>LAGUNILLAS</v>
          </cell>
          <cell r="N455" t="str">
            <v>JUAN</v>
          </cell>
          <cell r="O455">
            <v>123</v>
          </cell>
          <cell r="P455">
            <v>4560</v>
          </cell>
          <cell r="Q455">
            <v>789</v>
          </cell>
          <cell r="R455">
            <v>10</v>
          </cell>
          <cell r="T455" t="e">
            <v>#REF!</v>
          </cell>
        </row>
        <row r="456">
          <cell r="A456" t="str">
            <v>LEYVA DE BARAJAS ( JN )</v>
          </cell>
          <cell r="B456" t="str">
            <v>11DJN3443A</v>
          </cell>
          <cell r="C456" t="str">
            <v>X</v>
          </cell>
          <cell r="E456" t="str">
            <v>MIGUEL F. MARTINEZ</v>
          </cell>
          <cell r="F456">
            <v>59</v>
          </cell>
          <cell r="G456">
            <v>20</v>
          </cell>
          <cell r="H456" t="str">
            <v>Pénjamo</v>
          </cell>
          <cell r="I456">
            <v>20000</v>
          </cell>
          <cell r="J456" t="str">
            <v>Multigrado</v>
          </cell>
          <cell r="K456" t="str">
            <v>LEYVA DE BARAJAS</v>
          </cell>
          <cell r="L456">
            <v>0</v>
          </cell>
          <cell r="M456" t="str">
            <v>LEYVA DE BARAJAS</v>
          </cell>
          <cell r="T456" t="e">
            <v>#REF!</v>
          </cell>
        </row>
        <row r="457">
          <cell r="A457" t="str">
            <v>COPORITOS ( PR )</v>
          </cell>
          <cell r="B457" t="str">
            <v>11DPR0582Y</v>
          </cell>
          <cell r="C457" t="str">
            <v>X</v>
          </cell>
          <cell r="E457" t="str">
            <v>JOSE MARIA MORELOS</v>
          </cell>
          <cell r="F457">
            <v>139</v>
          </cell>
          <cell r="G457">
            <v>26</v>
          </cell>
          <cell r="H457" t="str">
            <v>Pénjamo</v>
          </cell>
          <cell r="I457">
            <v>30000</v>
          </cell>
          <cell r="J457" t="str">
            <v>Multigrado</v>
          </cell>
          <cell r="K457" t="str">
            <v>COPORITOS</v>
          </cell>
          <cell r="L457">
            <v>0</v>
          </cell>
          <cell r="M457" t="str">
            <v>COPORITOS</v>
          </cell>
          <cell r="T457" t="e">
            <v>#REF!</v>
          </cell>
        </row>
        <row r="458">
          <cell r="A458" t="str">
            <v>ORDEÑITA DE BARAJAS ( JN )</v>
          </cell>
          <cell r="B458" t="str">
            <v>11DJN0123W</v>
          </cell>
          <cell r="C458" t="str">
            <v>X</v>
          </cell>
          <cell r="E458" t="str">
            <v>ENRIQUE C REBSAMEN</v>
          </cell>
          <cell r="F458">
            <v>59</v>
          </cell>
          <cell r="G458">
            <v>20</v>
          </cell>
          <cell r="H458" t="str">
            <v>Pénjamo</v>
          </cell>
          <cell r="I458">
            <v>25000</v>
          </cell>
          <cell r="J458" t="str">
            <v>Multigrado</v>
          </cell>
          <cell r="K458" t="str">
            <v>ORDEÑA DE BARAJAS</v>
          </cell>
          <cell r="L458">
            <v>0</v>
          </cell>
          <cell r="M458" t="str">
            <v>ORDEÑITA DE BARAJAS (ORDEÑA DE BARAJAS)</v>
          </cell>
          <cell r="T458" t="e">
            <v>#REF!</v>
          </cell>
        </row>
        <row r="459">
          <cell r="A459" t="str">
            <v>ZAMBRANO ( JN )</v>
          </cell>
          <cell r="B459" t="str">
            <v>11DJN2780V</v>
          </cell>
          <cell r="C459" t="str">
            <v>X</v>
          </cell>
          <cell r="E459" t="str">
            <v>JOSE VASCONCELOS</v>
          </cell>
          <cell r="F459">
            <v>59</v>
          </cell>
          <cell r="G459">
            <v>20</v>
          </cell>
          <cell r="H459" t="str">
            <v>Pénjamo</v>
          </cell>
          <cell r="I459">
            <v>20000</v>
          </cell>
          <cell r="J459" t="str">
            <v>Multigrado</v>
          </cell>
          <cell r="K459" t="str">
            <v>ZAMBRANO</v>
          </cell>
          <cell r="L459">
            <v>0</v>
          </cell>
          <cell r="M459" t="str">
            <v>ZAMBRANO</v>
          </cell>
          <cell r="T459" t="e">
            <v>#REF!</v>
          </cell>
        </row>
        <row r="460">
          <cell r="A460" t="str">
            <v>CORRAL DE SANTIAGO ( PR )</v>
          </cell>
          <cell r="B460" t="str">
            <v>11DPR3571M</v>
          </cell>
          <cell r="D460" t="str">
            <v>X</v>
          </cell>
          <cell r="E460" t="str">
            <v>SOLIDARIDAD</v>
          </cell>
          <cell r="F460">
            <v>119</v>
          </cell>
          <cell r="G460">
            <v>26</v>
          </cell>
          <cell r="H460" t="str">
            <v>Pénjamo</v>
          </cell>
          <cell r="I460">
            <v>25000</v>
          </cell>
          <cell r="J460" t="str">
            <v>Multigrado</v>
          </cell>
          <cell r="K460" t="str">
            <v>CORRAL DE SANTIAGO</v>
          </cell>
          <cell r="L460">
            <v>0</v>
          </cell>
          <cell r="M460" t="str">
            <v>CORRAL DE SANTIAGO</v>
          </cell>
          <cell r="T460" t="e">
            <v>#REF!</v>
          </cell>
        </row>
        <row r="461">
          <cell r="A461" t="str">
            <v>BUENAVISTA DE CORTES ( TV )</v>
          </cell>
          <cell r="B461" t="str">
            <v>11ETV0787P</v>
          </cell>
          <cell r="C461" t="str">
            <v>X</v>
          </cell>
          <cell r="E461" t="str">
            <v>TELESECUNDARIA NUM. 787</v>
          </cell>
          <cell r="F461">
            <v>551</v>
          </cell>
          <cell r="G461">
            <v>3</v>
          </cell>
          <cell r="H461" t="str">
            <v>Pénjamo</v>
          </cell>
          <cell r="I461">
            <v>85000</v>
          </cell>
          <cell r="J461" t="str">
            <v>Completa</v>
          </cell>
          <cell r="K461" t="str">
            <v>BUENAVISTA DE CORTES</v>
          </cell>
          <cell r="L461">
            <v>0</v>
          </cell>
          <cell r="M461" t="str">
            <v>BUENAVISTA DE CORTES</v>
          </cell>
          <cell r="T461" t="e">
            <v>#REF!</v>
          </cell>
        </row>
        <row r="462">
          <cell r="A462" t="str">
            <v>NORIA DE BARAJAS ( JN )</v>
          </cell>
          <cell r="B462" t="str">
            <v>11DJN0387E</v>
          </cell>
          <cell r="C462" t="str">
            <v>X</v>
          </cell>
          <cell r="E462" t="str">
            <v>MARIA PAPE CARPENTEIR</v>
          </cell>
          <cell r="F462">
            <v>59</v>
          </cell>
          <cell r="G462">
            <v>20</v>
          </cell>
          <cell r="H462" t="str">
            <v>Pénjamo</v>
          </cell>
          <cell r="I462">
            <v>30000</v>
          </cell>
          <cell r="J462" t="str">
            <v>Multigrado</v>
          </cell>
          <cell r="K462" t="str">
            <v>NORIA DE BARAJAS</v>
          </cell>
          <cell r="L462">
            <v>0</v>
          </cell>
          <cell r="M462" t="str">
            <v>NORIA DE BARAJAS (LA NORIA)</v>
          </cell>
          <cell r="T462" t="e">
            <v>#REF!</v>
          </cell>
        </row>
        <row r="463">
          <cell r="A463" t="str">
            <v>PUERTA DE AGUA CALIENTE JN )</v>
          </cell>
          <cell r="B463" t="str">
            <v>11DJN2446R</v>
          </cell>
          <cell r="C463" t="str">
            <v>X</v>
          </cell>
          <cell r="E463" t="str">
            <v>DON VASCO DE QUIROGA</v>
          </cell>
          <cell r="F463">
            <v>59</v>
          </cell>
          <cell r="G463">
            <v>20</v>
          </cell>
          <cell r="H463" t="str">
            <v>Pénjamo</v>
          </cell>
          <cell r="I463">
            <v>25000</v>
          </cell>
          <cell r="J463" t="str">
            <v>Multigrado</v>
          </cell>
          <cell r="K463" t="str">
            <v>PUERTA DE AGUA CALIENTE</v>
          </cell>
          <cell r="L463">
            <v>0</v>
          </cell>
          <cell r="M463" t="str">
            <v>PUERTA DE AGUA CALIENTE</v>
          </cell>
          <cell r="T463" t="e">
            <v>#REF!</v>
          </cell>
        </row>
        <row r="464">
          <cell r="A464" t="str">
            <v>COLONIA MORELOS ( TV )</v>
          </cell>
          <cell r="B464" t="str">
            <v>11ETV0667C</v>
          </cell>
          <cell r="D464" t="str">
            <v>X</v>
          </cell>
          <cell r="E464" t="str">
            <v>TELESECUNDARIA NUM. 650</v>
          </cell>
          <cell r="F464">
            <v>551</v>
          </cell>
          <cell r="G464">
            <v>3</v>
          </cell>
          <cell r="H464" t="str">
            <v>Pénjamo</v>
          </cell>
          <cell r="I464">
            <v>65000</v>
          </cell>
          <cell r="J464" t="str">
            <v>Completa</v>
          </cell>
          <cell r="K464" t="str">
            <v>MORELOS</v>
          </cell>
          <cell r="L464">
            <v>0</v>
          </cell>
          <cell r="M464" t="str">
            <v>COLONIA MORELOS</v>
          </cell>
          <cell r="T464" t="e">
            <v>#REF!</v>
          </cell>
        </row>
        <row r="465">
          <cell r="A465" t="str">
            <v>HACIENDA DEL CARMEN ( TV )</v>
          </cell>
          <cell r="B465" t="str">
            <v>11ETV0742T</v>
          </cell>
          <cell r="D465" t="str">
            <v>X</v>
          </cell>
          <cell r="E465" t="str">
            <v>TELESECUNDARIA NUM. 746</v>
          </cell>
          <cell r="F465">
            <v>551</v>
          </cell>
          <cell r="G465">
            <v>3</v>
          </cell>
          <cell r="H465" t="str">
            <v>Pénjamo</v>
          </cell>
          <cell r="I465">
            <v>85000</v>
          </cell>
          <cell r="J465" t="str">
            <v>Completa</v>
          </cell>
          <cell r="K465" t="str">
            <v>HACIENDA DEL CARMEN</v>
          </cell>
          <cell r="L465">
            <v>0</v>
          </cell>
          <cell r="M465" t="str">
            <v>HACIENDA DEL CARMEN</v>
          </cell>
          <cell r="T465" t="e">
            <v>#REF!</v>
          </cell>
        </row>
        <row r="466">
          <cell r="A466" t="str">
            <v>PENJAMO ( 11DPR3796T)</v>
          </cell>
          <cell r="B466" t="str">
            <v>11DPR3796T</v>
          </cell>
          <cell r="C466" t="str">
            <v>X</v>
          </cell>
          <cell r="E466" t="str">
            <v>ESCUELA PRIMARIA</v>
          </cell>
          <cell r="F466">
            <v>139</v>
          </cell>
          <cell r="G466">
            <v>26</v>
          </cell>
          <cell r="H466" t="str">
            <v>Pénjamo</v>
          </cell>
          <cell r="I466">
            <v>85000</v>
          </cell>
          <cell r="J466" t="str">
            <v>Completa</v>
          </cell>
          <cell r="K466" t="str">
            <v>JUANA DE ASBAJE S/N</v>
          </cell>
          <cell r="L466">
            <v>0</v>
          </cell>
          <cell r="M466" t="str">
            <v>PENJAMO</v>
          </cell>
          <cell r="T466" t="e">
            <v>#REF!</v>
          </cell>
        </row>
        <row r="467">
          <cell r="A467" t="str">
            <v>MANGAS DE CORRALEJO (LAS MANGAS) ( PR )</v>
          </cell>
          <cell r="B467" t="str">
            <v>11EPR0570S</v>
          </cell>
          <cell r="D467" t="str">
            <v>X</v>
          </cell>
          <cell r="E467" t="str">
            <v>NARCISO MENDOZA</v>
          </cell>
          <cell r="F467">
            <v>554</v>
          </cell>
          <cell r="G467">
            <v>3</v>
          </cell>
          <cell r="H467" t="str">
            <v>Pénjamo</v>
          </cell>
          <cell r="I467">
            <v>30000</v>
          </cell>
          <cell r="J467" t="str">
            <v>Multigrado</v>
          </cell>
          <cell r="K467" t="str">
            <v>MANGAS DE CORRALEJO</v>
          </cell>
          <cell r="L467">
            <v>0</v>
          </cell>
          <cell r="M467" t="str">
            <v>MANGAS DE CORRALEJO (LAS MANGAS)</v>
          </cell>
          <cell r="T467" t="e">
            <v>#REF!</v>
          </cell>
        </row>
        <row r="468">
          <cell r="A468" t="str">
            <v>LAGUNILLAS ( TV  )</v>
          </cell>
          <cell r="B468" t="str">
            <v>11ETV0374P</v>
          </cell>
          <cell r="C468" t="str">
            <v>X</v>
          </cell>
          <cell r="E468" t="str">
            <v>TELESECUNDARIA NUM. 375</v>
          </cell>
          <cell r="F468">
            <v>551</v>
          </cell>
          <cell r="G468">
            <v>3</v>
          </cell>
          <cell r="H468" t="str">
            <v>Pénjamo</v>
          </cell>
          <cell r="I468">
            <v>65000</v>
          </cell>
          <cell r="J468" t="str">
            <v>Completa</v>
          </cell>
          <cell r="K468" t="str">
            <v>LAGUNILLAS</v>
          </cell>
          <cell r="L468">
            <v>0</v>
          </cell>
          <cell r="M468" t="str">
            <v>LAGUNILLAS</v>
          </cell>
          <cell r="T468" t="e">
            <v>#REF!</v>
          </cell>
        </row>
        <row r="469">
          <cell r="A469" t="str">
            <v>QUESERA DE CORTES ( PR )</v>
          </cell>
          <cell r="B469" t="str">
            <v>11DPR1122U</v>
          </cell>
          <cell r="C469" t="str">
            <v>X</v>
          </cell>
          <cell r="E469" t="str">
            <v>JUSTO SIERRA</v>
          </cell>
          <cell r="F469">
            <v>90</v>
          </cell>
          <cell r="G469">
            <v>26</v>
          </cell>
          <cell r="H469" t="str">
            <v>Pénjamo</v>
          </cell>
          <cell r="I469">
            <v>85000</v>
          </cell>
          <cell r="J469" t="str">
            <v>Completa</v>
          </cell>
          <cell r="K469" t="str">
            <v>QUESERA DE CORTES</v>
          </cell>
          <cell r="L469">
            <v>0</v>
          </cell>
          <cell r="M469" t="str">
            <v>QUESERA DE CORTES</v>
          </cell>
          <cell r="T469" t="e">
            <v>#REF!</v>
          </cell>
        </row>
        <row r="470">
          <cell r="A470" t="str">
            <v>CERRITOS BLANCOS ( TV )</v>
          </cell>
          <cell r="B470" t="str">
            <v>11ETV0129E</v>
          </cell>
          <cell r="C470" t="str">
            <v>X</v>
          </cell>
          <cell r="E470" t="str">
            <v>TELESECUNDARIA NUM. 140</v>
          </cell>
          <cell r="F470">
            <v>551</v>
          </cell>
          <cell r="G470">
            <v>3</v>
          </cell>
          <cell r="H470" t="str">
            <v>Pénjamo</v>
          </cell>
          <cell r="I470">
            <v>85000</v>
          </cell>
          <cell r="J470" t="str">
            <v>Completa</v>
          </cell>
          <cell r="K470" t="str">
            <v>CERRITOS BLANCOS</v>
          </cell>
          <cell r="L470">
            <v>0</v>
          </cell>
          <cell r="M470" t="str">
            <v>CERRITOS BLANCOS</v>
          </cell>
          <cell r="T470" t="e">
            <v>#REF!</v>
          </cell>
        </row>
        <row r="471">
          <cell r="A471" t="str">
            <v>SANTA LUCIA ( TV)</v>
          </cell>
          <cell r="B471" t="str">
            <v>11ETV0332Q</v>
          </cell>
          <cell r="D471" t="str">
            <v>X</v>
          </cell>
          <cell r="E471" t="str">
            <v>TELESECUNDARIA NUM. 336</v>
          </cell>
          <cell r="F471">
            <v>551</v>
          </cell>
          <cell r="G471">
            <v>3</v>
          </cell>
          <cell r="H471" t="str">
            <v>Pénjamo</v>
          </cell>
          <cell r="I471">
            <v>30000</v>
          </cell>
          <cell r="J471" t="str">
            <v>Multigrado</v>
          </cell>
          <cell r="K471" t="str">
            <v>SANTA LUCIA</v>
          </cell>
          <cell r="L471">
            <v>0</v>
          </cell>
          <cell r="M471" t="str">
            <v>SANTA LUCIA</v>
          </cell>
          <cell r="T471" t="e">
            <v>#REF!</v>
          </cell>
        </row>
        <row r="472">
          <cell r="A472" t="str">
            <v>PENJAMO ( 11DJN1245N)</v>
          </cell>
          <cell r="B472" t="str">
            <v>11DJN1245N</v>
          </cell>
          <cell r="C472" t="str">
            <v>X</v>
          </cell>
          <cell r="E472" t="str">
            <v>JUAN BACCACIO</v>
          </cell>
          <cell r="F472">
            <v>37</v>
          </cell>
          <cell r="G472">
            <v>5</v>
          </cell>
          <cell r="H472" t="str">
            <v>Pénjamo</v>
          </cell>
          <cell r="I472">
            <v>25000</v>
          </cell>
          <cell r="J472" t="str">
            <v>Multigrado</v>
          </cell>
          <cell r="K472" t="str">
            <v>BELTRAN</v>
          </cell>
          <cell r="L472" t="str">
            <v>BELTRAN</v>
          </cell>
          <cell r="M472" t="str">
            <v>PENJAMO</v>
          </cell>
          <cell r="T472" t="e">
            <v>#REF!</v>
          </cell>
        </row>
        <row r="473">
          <cell r="A473" t="str">
            <v>LOMA DE ACEVES UNO ( 11DPR1948U )</v>
          </cell>
          <cell r="B473" t="str">
            <v>11DPR1948U</v>
          </cell>
          <cell r="C473" t="str">
            <v>X</v>
          </cell>
          <cell r="E473" t="str">
            <v>NIÑOS HEROES DE CHAPULTEPEC</v>
          </cell>
          <cell r="F473">
            <v>18</v>
          </cell>
          <cell r="G473">
            <v>26</v>
          </cell>
          <cell r="H473" t="str">
            <v>Pénjamo</v>
          </cell>
          <cell r="I473">
            <v>30000</v>
          </cell>
          <cell r="J473" t="str">
            <v>Multigrado</v>
          </cell>
          <cell r="K473" t="str">
            <v>LOMITAS DE ACEVES</v>
          </cell>
          <cell r="L473">
            <v>0</v>
          </cell>
          <cell r="M473" t="str">
            <v>LOMA DE ACEVES UNO</v>
          </cell>
          <cell r="T473" t="e">
            <v>#REF!</v>
          </cell>
        </row>
        <row r="474">
          <cell r="A474" t="str">
            <v>LA JAMACUA DE CORTES ( 11DPR2644H)</v>
          </cell>
          <cell r="B474" t="str">
            <v>11DPR2644H</v>
          </cell>
          <cell r="D474" t="str">
            <v>X</v>
          </cell>
          <cell r="E474" t="str">
            <v>FRANCISCO I. MADERO</v>
          </cell>
          <cell r="F474">
            <v>18</v>
          </cell>
          <cell r="G474">
            <v>26</v>
          </cell>
          <cell r="H474" t="str">
            <v>Pénjamo</v>
          </cell>
          <cell r="I474">
            <v>30000</v>
          </cell>
          <cell r="J474" t="str">
            <v>Multigrado</v>
          </cell>
          <cell r="K474" t="str">
            <v>JAMACUA DE CORTES</v>
          </cell>
          <cell r="L474">
            <v>0</v>
          </cell>
          <cell r="M474" t="str">
            <v>LA JAMACUA DE CORTES</v>
          </cell>
          <cell r="T474" t="e">
            <v>#REF!</v>
          </cell>
        </row>
        <row r="475">
          <cell r="A475" t="str">
            <v>LA ESTANCIA DEL REFUGIO ( 11ETV032E)</v>
          </cell>
          <cell r="B475" t="str">
            <v>11ETV0327E</v>
          </cell>
          <cell r="D475" t="str">
            <v>X</v>
          </cell>
          <cell r="E475" t="str">
            <v>TELESECUNDARIA NUM. 332</v>
          </cell>
          <cell r="F475">
            <v>551</v>
          </cell>
          <cell r="G475">
            <v>3</v>
          </cell>
          <cell r="H475" t="str">
            <v>Pénjamo</v>
          </cell>
          <cell r="I475">
            <v>45000</v>
          </cell>
          <cell r="J475" t="str">
            <v>Completa</v>
          </cell>
          <cell r="K475" t="str">
            <v>ESTANCIA DEL REFUGIO</v>
          </cell>
          <cell r="L475">
            <v>0</v>
          </cell>
          <cell r="M475" t="str">
            <v>LA ESTANCIA DEL REFUGIO</v>
          </cell>
          <cell r="T475" t="e">
            <v>#REF!</v>
          </cell>
        </row>
        <row r="476">
          <cell r="A476" t="str">
            <v>SAN FELIPE (EL CHILARILLO) ( TV)</v>
          </cell>
          <cell r="B476" t="str">
            <v>11ETV0275P</v>
          </cell>
          <cell r="C476" t="str">
            <v>X</v>
          </cell>
          <cell r="E476" t="str">
            <v>TELESECUNDARIA NUM. 273</v>
          </cell>
          <cell r="F476">
            <v>551</v>
          </cell>
          <cell r="G476">
            <v>3</v>
          </cell>
          <cell r="H476" t="str">
            <v>Pénjamo</v>
          </cell>
          <cell r="I476">
            <v>72000</v>
          </cell>
          <cell r="J476" t="str">
            <v>Completa</v>
          </cell>
          <cell r="K476" t="str">
            <v>SAN FELIPE CHILARILLO</v>
          </cell>
          <cell r="L476">
            <v>0</v>
          </cell>
          <cell r="M476" t="str">
            <v>SAN FELIPE (EL CHILARILLO)</v>
          </cell>
          <cell r="T476" t="e">
            <v>#REF!</v>
          </cell>
        </row>
        <row r="477">
          <cell r="A477" t="str">
            <v>MARAVILLAS DE MORALES  ( 11DJN2856U)</v>
          </cell>
          <cell r="B477" t="str">
            <v>11DJN2856U</v>
          </cell>
          <cell r="C477" t="str">
            <v>X</v>
          </cell>
          <cell r="E477" t="str">
            <v>MANUEL FLORES</v>
          </cell>
          <cell r="F477">
            <v>37</v>
          </cell>
          <cell r="G477">
            <v>5</v>
          </cell>
          <cell r="H477" t="str">
            <v>Pénjamo</v>
          </cell>
          <cell r="I477">
            <v>20000</v>
          </cell>
          <cell r="J477" t="str">
            <v>Multigrado</v>
          </cell>
          <cell r="K477" t="str">
            <v>MARAVILLAS DE MORALES</v>
          </cell>
          <cell r="L477">
            <v>0</v>
          </cell>
          <cell r="M477" t="str">
            <v>MARAVILLAS DE MORALES</v>
          </cell>
          <cell r="T477" t="e">
            <v>#REF!</v>
          </cell>
        </row>
        <row r="478">
          <cell r="A478" t="str">
            <v>EL COMALILLO ( 11DJN2653Z)</v>
          </cell>
          <cell r="B478" t="str">
            <v>11DJN2653Z</v>
          </cell>
          <cell r="C478" t="str">
            <v>X</v>
          </cell>
          <cell r="E478" t="str">
            <v>ROSARIO CASTELLANOS</v>
          </cell>
          <cell r="F478">
            <v>37</v>
          </cell>
          <cell r="G478">
            <v>5</v>
          </cell>
          <cell r="H478" t="str">
            <v>Pénjamo</v>
          </cell>
          <cell r="I478">
            <v>30000</v>
          </cell>
          <cell r="J478" t="str">
            <v>Multigrado</v>
          </cell>
          <cell r="K478" t="str">
            <v>EL COMALILLO</v>
          </cell>
          <cell r="L478">
            <v>0</v>
          </cell>
          <cell r="M478" t="str">
            <v>EL COMALILLO</v>
          </cell>
          <cell r="T478" t="e">
            <v>#REF!</v>
          </cell>
        </row>
        <row r="479">
          <cell r="A479" t="str">
            <v>GUAYABO DE RUIZ</v>
          </cell>
          <cell r="B479" t="str">
            <v>11DPR0648Q</v>
          </cell>
          <cell r="D479" t="str">
            <v>X</v>
          </cell>
          <cell r="E479" t="str">
            <v>MARIANO ABASOLO</v>
          </cell>
          <cell r="F479">
            <v>90</v>
          </cell>
          <cell r="G479">
            <v>26</v>
          </cell>
          <cell r="H479" t="str">
            <v>Pénjamo</v>
          </cell>
          <cell r="I479">
            <v>30000</v>
          </cell>
          <cell r="J479" t="str">
            <v>Multigrado</v>
          </cell>
          <cell r="K479" t="str">
            <v>GUAYABO DE RUIZ</v>
          </cell>
          <cell r="L479">
            <v>0</v>
          </cell>
          <cell r="M479" t="str">
            <v>GUAYABO DE RUIZ</v>
          </cell>
          <cell r="T479" t="e">
            <v>#REF!</v>
          </cell>
        </row>
        <row r="480">
          <cell r="A480" t="str">
            <v>PALO VERDE</v>
          </cell>
          <cell r="B480" t="str">
            <v>11DPR1595I</v>
          </cell>
          <cell r="C480" t="str">
            <v>X</v>
          </cell>
          <cell r="E480" t="str">
            <v>LIC. BENITO JUAREZ</v>
          </cell>
          <cell r="F480">
            <v>154</v>
          </cell>
          <cell r="G480">
            <v>26</v>
          </cell>
          <cell r="H480" t="str">
            <v>Pénjamo</v>
          </cell>
          <cell r="I480">
            <v>30000</v>
          </cell>
          <cell r="J480" t="str">
            <v>Multigrado</v>
          </cell>
          <cell r="K480" t="str">
            <v>ESTACION PALO VERDE</v>
          </cell>
          <cell r="L480">
            <v>0</v>
          </cell>
          <cell r="M480" t="str">
            <v>PALO VERDE</v>
          </cell>
          <cell r="T480" t="e">
            <v>#REF!</v>
          </cell>
        </row>
        <row r="481">
          <cell r="A481" t="str">
            <v>EL MARMOL</v>
          </cell>
          <cell r="B481" t="str">
            <v>11DPR1741C</v>
          </cell>
          <cell r="C481" t="str">
            <v>X</v>
          </cell>
          <cell r="E481" t="str">
            <v>FELIPE CARRILLO PUERTO</v>
          </cell>
          <cell r="F481">
            <v>154</v>
          </cell>
          <cell r="G481">
            <v>26</v>
          </cell>
          <cell r="H481" t="str">
            <v>Pénjamo</v>
          </cell>
          <cell r="I481">
            <v>80000</v>
          </cell>
          <cell r="J481" t="str">
            <v>Completa</v>
          </cell>
          <cell r="K481" t="str">
            <v>EL MARMOL</v>
          </cell>
          <cell r="L481">
            <v>0</v>
          </cell>
          <cell r="M481" t="str">
            <v>EL MARMOL</v>
          </cell>
          <cell r="T481" t="e">
            <v>#REF!</v>
          </cell>
        </row>
        <row r="482">
          <cell r="A482" t="str">
            <v>LOMA DE ACEVES UNO</v>
          </cell>
          <cell r="B482" t="str">
            <v>11DPR3392A</v>
          </cell>
          <cell r="C482" t="str">
            <v>X</v>
          </cell>
          <cell r="E482" t="str">
            <v>LAZARO CARDENAS DEL RIO</v>
          </cell>
          <cell r="F482">
            <v>18</v>
          </cell>
          <cell r="G482">
            <v>26</v>
          </cell>
          <cell r="H482" t="str">
            <v>Pénjamo</v>
          </cell>
          <cell r="I482">
            <v>30000</v>
          </cell>
          <cell r="J482" t="str">
            <v>Multigrado</v>
          </cell>
          <cell r="K482" t="str">
            <v>LOMITAS DE ACEVES</v>
          </cell>
          <cell r="L482">
            <v>0</v>
          </cell>
          <cell r="M482" t="str">
            <v>LOMA DE ACEVES UNO</v>
          </cell>
          <cell r="T482" t="e">
            <v>#REF!</v>
          </cell>
        </row>
        <row r="483">
          <cell r="A483" t="str">
            <v>EJIDO JOYA DE MULAS</v>
          </cell>
          <cell r="B483" t="str">
            <v>11DPR3707J</v>
          </cell>
          <cell r="C483" t="str">
            <v>X</v>
          </cell>
          <cell r="E483" t="str">
            <v>JOSE MARIA MORELOS Y PAVON</v>
          </cell>
          <cell r="F483">
            <v>18</v>
          </cell>
          <cell r="G483">
            <v>26</v>
          </cell>
          <cell r="H483" t="str">
            <v>Pénjamo</v>
          </cell>
          <cell r="I483">
            <v>30000</v>
          </cell>
          <cell r="J483" t="str">
            <v>Multigrado</v>
          </cell>
          <cell r="K483" t="str">
            <v>EJIDO JOYA DE MULAS S/N</v>
          </cell>
          <cell r="L483">
            <v>0</v>
          </cell>
          <cell r="M483" t="str">
            <v>EJIDO JOYA DE MULAS</v>
          </cell>
          <cell r="T483" t="e">
            <v>#REF!</v>
          </cell>
        </row>
        <row r="484">
          <cell r="A484" t="str">
            <v>CHURIPITZEO</v>
          </cell>
          <cell r="B484" t="str">
            <v>11ETV0785R</v>
          </cell>
          <cell r="C484" t="str">
            <v>X</v>
          </cell>
          <cell r="E484" t="str">
            <v>TELESECUNDARIA NUM. 785</v>
          </cell>
          <cell r="F484">
            <v>517</v>
          </cell>
          <cell r="G484">
            <v>3</v>
          </cell>
          <cell r="H484" t="str">
            <v>Pénjamo</v>
          </cell>
          <cell r="I484">
            <v>85000</v>
          </cell>
          <cell r="J484" t="str">
            <v>Completa</v>
          </cell>
          <cell r="K484" t="str">
            <v>CHURIPITZEO</v>
          </cell>
          <cell r="L484">
            <v>0</v>
          </cell>
          <cell r="M484" t="str">
            <v>CHURIPITZEO</v>
          </cell>
          <cell r="T484" t="e">
            <v>#REF!</v>
          </cell>
        </row>
        <row r="485">
          <cell r="A485" t="str">
            <v>TROJES DE PAUL</v>
          </cell>
          <cell r="B485" t="str">
            <v>11DJN2437J</v>
          </cell>
          <cell r="C485" t="str">
            <v>X</v>
          </cell>
          <cell r="E485" t="str">
            <v>FERNANDO MONTES DE OCA</v>
          </cell>
          <cell r="F485">
            <v>37</v>
          </cell>
          <cell r="G485">
            <v>5</v>
          </cell>
          <cell r="H485" t="str">
            <v>Pénjamo</v>
          </cell>
          <cell r="I485">
            <v>20000</v>
          </cell>
          <cell r="J485" t="str">
            <v>Multigrado</v>
          </cell>
          <cell r="K485" t="str">
            <v>TROJES DE PAUL</v>
          </cell>
          <cell r="L485">
            <v>0</v>
          </cell>
          <cell r="M485" t="str">
            <v>TROJES DE PAUL</v>
          </cell>
          <cell r="T485" t="e">
            <v>#REF!</v>
          </cell>
        </row>
        <row r="486">
          <cell r="A486" t="str">
            <v>LA GAVILANA</v>
          </cell>
          <cell r="B486" t="str">
            <v>11DJN2657V</v>
          </cell>
          <cell r="C486" t="str">
            <v>X</v>
          </cell>
          <cell r="E486" t="str">
            <v>GABRIELA MISTRAL</v>
          </cell>
          <cell r="F486">
            <v>37</v>
          </cell>
          <cell r="G486">
            <v>5</v>
          </cell>
          <cell r="H486" t="str">
            <v>Pénjamo</v>
          </cell>
          <cell r="I486">
            <v>25000</v>
          </cell>
          <cell r="J486" t="str">
            <v>Multigrado</v>
          </cell>
          <cell r="K486" t="str">
            <v>LA GAVILANA</v>
          </cell>
          <cell r="L486">
            <v>0</v>
          </cell>
          <cell r="M486" t="str">
            <v>LA GAVILANA</v>
          </cell>
          <cell r="T486" t="e">
            <v>#REF!</v>
          </cell>
        </row>
        <row r="487">
          <cell r="A487" t="str">
            <v>SAN ANTONIO DE AGUIRRE (SAN VICENTE)</v>
          </cell>
          <cell r="B487" t="str">
            <v>11DJN2894X</v>
          </cell>
          <cell r="C487" t="str">
            <v>X</v>
          </cell>
          <cell r="E487" t="str">
            <v>MANUEL M. PONCE</v>
          </cell>
          <cell r="F487">
            <v>37</v>
          </cell>
          <cell r="G487">
            <v>5</v>
          </cell>
          <cell r="H487" t="str">
            <v>Pénjamo</v>
          </cell>
          <cell r="I487">
            <v>30000</v>
          </cell>
          <cell r="J487" t="str">
            <v>Multigrado</v>
          </cell>
          <cell r="K487" t="str">
            <v>SAN ANTONIO DE AGUIRRE</v>
          </cell>
          <cell r="L487">
            <v>0</v>
          </cell>
          <cell r="M487" t="str">
            <v>SAN ANTONIO DE AGUIRRE (SAN VICENTE)</v>
          </cell>
          <cell r="T487" t="e">
            <v>#REF!</v>
          </cell>
        </row>
        <row r="488">
          <cell r="A488" t="str">
            <v>SANTA ANA PACUECO</v>
          </cell>
          <cell r="B488" t="str">
            <v>11DPR1178W</v>
          </cell>
          <cell r="C488" t="str">
            <v>X</v>
          </cell>
          <cell r="E488" t="str">
            <v>LA CORREGIDORA</v>
          </cell>
          <cell r="F488">
            <v>18</v>
          </cell>
          <cell r="G488">
            <v>26</v>
          </cell>
          <cell r="H488" t="str">
            <v>Pénjamo</v>
          </cell>
          <cell r="I488">
            <v>30000</v>
          </cell>
          <cell r="J488" t="str">
            <v>Multigrado</v>
          </cell>
          <cell r="K488" t="str">
            <v>CUATRO MILPAS</v>
          </cell>
          <cell r="L488" t="str">
            <v>CUATRO MILPAS</v>
          </cell>
          <cell r="M488" t="str">
            <v>SANTA ANA PACUECO</v>
          </cell>
          <cell r="T488" t="e">
            <v>#REF!</v>
          </cell>
        </row>
        <row r="489">
          <cell r="A489" t="str">
            <v>CAÑADA DE CORRALEJO</v>
          </cell>
          <cell r="B489" t="str">
            <v>11EPR0553B</v>
          </cell>
          <cell r="C489" t="str">
            <v>X</v>
          </cell>
          <cell r="E489" t="str">
            <v>CUAUHTEMOC</v>
          </cell>
          <cell r="F489">
            <v>554</v>
          </cell>
          <cell r="G489">
            <v>3</v>
          </cell>
          <cell r="H489" t="str">
            <v>Pénjamo</v>
          </cell>
          <cell r="I489">
            <v>20000</v>
          </cell>
          <cell r="J489" t="str">
            <v>Multigrado</v>
          </cell>
          <cell r="K489" t="str">
            <v>CAÑADA DE CORRALEJO</v>
          </cell>
          <cell r="L489">
            <v>0</v>
          </cell>
          <cell r="M489" t="str">
            <v>CAÑADA DE CORRALEJO</v>
          </cell>
          <cell r="T489" t="e">
            <v>#REF!</v>
          </cell>
        </row>
        <row r="490">
          <cell r="A490" t="str">
            <v>PENJAMO</v>
          </cell>
          <cell r="B490" t="str">
            <v>11DJN0080O</v>
          </cell>
          <cell r="C490" t="str">
            <v>X</v>
          </cell>
          <cell r="E490" t="str">
            <v>IGNACIO ALDAMA</v>
          </cell>
          <cell r="F490">
            <v>4</v>
          </cell>
          <cell r="G490">
            <v>5</v>
          </cell>
          <cell r="H490" t="str">
            <v>Pénjamo</v>
          </cell>
          <cell r="I490">
            <v>85000</v>
          </cell>
          <cell r="J490" t="str">
            <v>Completa</v>
          </cell>
          <cell r="K490" t="str">
            <v>LA ESTACION</v>
          </cell>
          <cell r="L490">
            <v>0</v>
          </cell>
          <cell r="M490" t="str">
            <v>PENJAMO</v>
          </cell>
          <cell r="T490" t="e">
            <v>#REF!</v>
          </cell>
        </row>
        <row r="491">
          <cell r="A491" t="str">
            <v>TACUBAYA</v>
          </cell>
          <cell r="B491" t="str">
            <v>11DJN0393P</v>
          </cell>
          <cell r="C491" t="str">
            <v>X</v>
          </cell>
          <cell r="E491" t="str">
            <v>JAIME TORRES BODET</v>
          </cell>
          <cell r="F491">
            <v>37</v>
          </cell>
          <cell r="G491">
            <v>5</v>
          </cell>
          <cell r="H491" t="str">
            <v>Pénjamo</v>
          </cell>
          <cell r="I491">
            <v>20000</v>
          </cell>
          <cell r="J491" t="str">
            <v>Multigrado</v>
          </cell>
          <cell r="K491" t="str">
            <v>TACUBAYA</v>
          </cell>
          <cell r="L491">
            <v>0</v>
          </cell>
          <cell r="M491" t="str">
            <v>TACUBAYA</v>
          </cell>
          <cell r="T491" t="e">
            <v>#REF!</v>
          </cell>
        </row>
        <row r="492">
          <cell r="A492" t="str">
            <v>EL CERRO (RANCHO EL CERRO)</v>
          </cell>
          <cell r="B492" t="str">
            <v>11DJN0745B</v>
          </cell>
          <cell r="C492" t="str">
            <v>X</v>
          </cell>
          <cell r="E492" t="str">
            <v>MANUEL GUTIERREZ NAJERA</v>
          </cell>
          <cell r="F492">
            <v>37</v>
          </cell>
          <cell r="G492">
            <v>5</v>
          </cell>
          <cell r="H492" t="str">
            <v>Pénjamo</v>
          </cell>
          <cell r="I492">
            <v>20000</v>
          </cell>
          <cell r="J492" t="str">
            <v>Multigrado</v>
          </cell>
          <cell r="K492" t="str">
            <v>RANCHO DEL CERRO S/N</v>
          </cell>
          <cell r="L492">
            <v>0</v>
          </cell>
          <cell r="M492" t="str">
            <v>EL CERRO (RANCHO EL CERRO)</v>
          </cell>
          <cell r="T492" t="e">
            <v>#REF!</v>
          </cell>
        </row>
        <row r="493">
          <cell r="A493" t="str">
            <v>LA TROJA (EL CHIFLIDO)</v>
          </cell>
          <cell r="B493" t="str">
            <v>11DJN1102Q</v>
          </cell>
          <cell r="C493" t="str">
            <v>X</v>
          </cell>
          <cell r="E493" t="str">
            <v>ISIDRO CASTILLO PEREZ</v>
          </cell>
          <cell r="F493">
            <v>4</v>
          </cell>
          <cell r="G493">
            <v>5</v>
          </cell>
          <cell r="H493" t="str">
            <v>Pénjamo</v>
          </cell>
          <cell r="I493">
            <v>30000</v>
          </cell>
          <cell r="J493" t="str">
            <v>Multigrado</v>
          </cell>
          <cell r="K493" t="str">
            <v>EL CHIFLIDO</v>
          </cell>
          <cell r="L493">
            <v>0</v>
          </cell>
          <cell r="M493" t="str">
            <v>LA TROJA (EL CHIFLIDO)</v>
          </cell>
          <cell r="T493" t="e">
            <v>#REF!</v>
          </cell>
        </row>
        <row r="494">
          <cell r="A494" t="str">
            <v>SANTA LUCIA ( PR)</v>
          </cell>
          <cell r="B494" t="str">
            <v>11DPR2043O</v>
          </cell>
          <cell r="D494" t="str">
            <v>X</v>
          </cell>
          <cell r="E494" t="str">
            <v>AMADO NERVO</v>
          </cell>
          <cell r="F494">
            <v>90</v>
          </cell>
          <cell r="G494">
            <v>26</v>
          </cell>
          <cell r="I494">
            <v>30000</v>
          </cell>
          <cell r="J494" t="str">
            <v>Multigrado</v>
          </cell>
          <cell r="K494" t="str">
            <v>SANTA LUCIA</v>
          </cell>
          <cell r="L494">
            <v>0</v>
          </cell>
          <cell r="M494" t="str">
            <v>SANTA LUCIA</v>
          </cell>
          <cell r="T494" t="e">
            <v>#REF!</v>
          </cell>
        </row>
        <row r="495">
          <cell r="A495" t="str">
            <v>POTRERILLOS DEL CERRO ( PR )</v>
          </cell>
          <cell r="B495" t="str">
            <v>11DPR2954L</v>
          </cell>
          <cell r="C495" t="str">
            <v>X</v>
          </cell>
          <cell r="E495" t="str">
            <v>VICENTE GUERRERO</v>
          </cell>
          <cell r="F495">
            <v>139</v>
          </cell>
          <cell r="G495">
            <v>26</v>
          </cell>
          <cell r="H495" t="str">
            <v>Pénjamo</v>
          </cell>
          <cell r="I495">
            <v>30000</v>
          </cell>
          <cell r="J495" t="str">
            <v>Multigrado</v>
          </cell>
          <cell r="K495" t="str">
            <v>POTRERILLOS DEL CERRO</v>
          </cell>
          <cell r="L495">
            <v>0</v>
          </cell>
          <cell r="M495" t="str">
            <v>POTRERILLOS DEL CERRO</v>
          </cell>
          <cell r="T495" t="e">
            <v>#REF!</v>
          </cell>
        </row>
        <row r="496">
          <cell r="A496" t="str">
            <v>SANTA ANA PACUECO ( PR )</v>
          </cell>
          <cell r="B496" t="str">
            <v>11DPR3053B</v>
          </cell>
          <cell r="C496" t="str">
            <v>X</v>
          </cell>
          <cell r="E496" t="str">
            <v>IGNACIO RAMIREZ</v>
          </cell>
          <cell r="F496">
            <v>18</v>
          </cell>
          <cell r="G496">
            <v>26</v>
          </cell>
          <cell r="H496" t="str">
            <v>Pénjamo</v>
          </cell>
          <cell r="I496">
            <v>30000</v>
          </cell>
          <cell r="J496" t="str">
            <v>Multigrado</v>
          </cell>
          <cell r="K496" t="str">
            <v>CUATRO MILPAS</v>
          </cell>
          <cell r="L496" t="str">
            <v>CUATRO MILPAS</v>
          </cell>
          <cell r="M496" t="str">
            <v>SANTA ANA PACUECO</v>
          </cell>
          <cell r="T496" t="e">
            <v>#REF!</v>
          </cell>
        </row>
        <row r="497">
          <cell r="A497" t="str">
            <v>SAN GABRIEL Y SAN IGNACIO (JN)</v>
          </cell>
          <cell r="B497" t="str">
            <v>11DJN0746A</v>
          </cell>
          <cell r="D497" t="str">
            <v>X</v>
          </cell>
          <cell r="E497" t="str">
            <v>JAIME MARCOVICH KUBA</v>
          </cell>
          <cell r="F497">
            <v>4</v>
          </cell>
          <cell r="G497">
            <v>5</v>
          </cell>
          <cell r="H497" t="str">
            <v>Pénjamo</v>
          </cell>
          <cell r="I497">
            <v>85000</v>
          </cell>
          <cell r="J497" t="str">
            <v>Completa</v>
          </cell>
          <cell r="K497" t="str">
            <v>SAN GABRIEL</v>
          </cell>
          <cell r="L497">
            <v>0</v>
          </cell>
          <cell r="M497" t="str">
            <v>SAN GABRIEL Y SAN IGNACIO</v>
          </cell>
          <cell r="T497" t="e">
            <v>#REF!</v>
          </cell>
        </row>
        <row r="498">
          <cell r="A498" t="str">
            <v>COLONIA EMILIANO ZAPATA (LA RASCA)  ( PR)</v>
          </cell>
          <cell r="B498" t="str">
            <v>11DPR2559K</v>
          </cell>
          <cell r="C498" t="str">
            <v>X</v>
          </cell>
          <cell r="E498" t="str">
            <v>LAZARO CARDENAS</v>
          </cell>
          <cell r="F498">
            <v>119</v>
          </cell>
          <cell r="G498">
            <v>26</v>
          </cell>
          <cell r="H498" t="str">
            <v>Pénjamo</v>
          </cell>
          <cell r="I498">
            <v>25000</v>
          </cell>
          <cell r="J498" t="str">
            <v>Multigrado</v>
          </cell>
          <cell r="K498" t="str">
            <v>EMILIANO ZAPATA</v>
          </cell>
          <cell r="L498">
            <v>0</v>
          </cell>
          <cell r="M498" t="str">
            <v>COLONIA EMILIANO ZAPATA (LA RASCA)</v>
          </cell>
          <cell r="T498" t="e">
            <v>#REF!</v>
          </cell>
        </row>
        <row r="499">
          <cell r="A499" t="str">
            <v>MEZQUITE DE LUNA ( PR)</v>
          </cell>
          <cell r="B499" t="str">
            <v>11DPR3220I</v>
          </cell>
          <cell r="C499" t="str">
            <v>X</v>
          </cell>
          <cell r="E499" t="str">
            <v>RAFAEL RAMIREZ</v>
          </cell>
          <cell r="F499">
            <v>119</v>
          </cell>
          <cell r="G499">
            <v>26</v>
          </cell>
          <cell r="H499" t="str">
            <v>Pénjamo</v>
          </cell>
          <cell r="I499">
            <v>25000</v>
          </cell>
          <cell r="J499" t="str">
            <v>Multigrado</v>
          </cell>
          <cell r="K499" t="str">
            <v>MEZQUITE DE LUNA</v>
          </cell>
          <cell r="L499">
            <v>0</v>
          </cell>
          <cell r="M499" t="str">
            <v>MEZQUITE DE LUNA</v>
          </cell>
          <cell r="T499" t="e">
            <v>#REF!</v>
          </cell>
        </row>
        <row r="500">
          <cell r="A500" t="str">
            <v>SAN MARCOS ( PR )</v>
          </cell>
          <cell r="B500" t="str">
            <v>11DPR0856X</v>
          </cell>
          <cell r="C500" t="str">
            <v>X</v>
          </cell>
          <cell r="E500" t="str">
            <v>MELCHOR OCAMPO</v>
          </cell>
          <cell r="F500">
            <v>154</v>
          </cell>
          <cell r="G500">
            <v>26</v>
          </cell>
          <cell r="H500" t="str">
            <v>Pénjamo</v>
          </cell>
          <cell r="I500">
            <v>30000</v>
          </cell>
          <cell r="J500" t="str">
            <v>Multigrado</v>
          </cell>
          <cell r="K500" t="str">
            <v>SAN MARCOS</v>
          </cell>
          <cell r="L500">
            <v>0</v>
          </cell>
          <cell r="M500" t="str">
            <v>SAN MARCOS</v>
          </cell>
          <cell r="T500" t="e">
            <v>#REF!</v>
          </cell>
        </row>
        <row r="501">
          <cell r="A501" t="str">
            <v>ZAPOTE DE CESTAO ( TV )</v>
          </cell>
          <cell r="B501" t="str">
            <v>11ETV0271T</v>
          </cell>
          <cell r="C501" t="str">
            <v>X</v>
          </cell>
          <cell r="E501" t="str">
            <v>TELESECUNDARIA NUM. 276</v>
          </cell>
          <cell r="F501">
            <v>517</v>
          </cell>
          <cell r="G501">
            <v>3</v>
          </cell>
          <cell r="H501" t="str">
            <v>Pénjamo</v>
          </cell>
          <cell r="I501">
            <v>85000</v>
          </cell>
          <cell r="J501" t="str">
            <v>Completa</v>
          </cell>
          <cell r="K501" t="str">
            <v>ZAPOTE DE CESTAU</v>
          </cell>
          <cell r="L501">
            <v>0</v>
          </cell>
          <cell r="M501" t="str">
            <v>ZAPOTE DE CESTAO</v>
          </cell>
          <cell r="T501" t="e">
            <v>#REF!</v>
          </cell>
        </row>
        <row r="502">
          <cell r="A502" t="str">
            <v>LAS ANIMAS ( TV)</v>
          </cell>
          <cell r="B502" t="str">
            <v>11ETV0376N</v>
          </cell>
          <cell r="C502" t="str">
            <v>X</v>
          </cell>
          <cell r="E502" t="str">
            <v>TELESECUNDARIA NUM. 377</v>
          </cell>
          <cell r="F502">
            <v>517</v>
          </cell>
          <cell r="G502">
            <v>3</v>
          </cell>
          <cell r="H502" t="str">
            <v>Pénjamo</v>
          </cell>
          <cell r="I502">
            <v>85000</v>
          </cell>
          <cell r="J502" t="str">
            <v>Completa</v>
          </cell>
          <cell r="K502" t="str">
            <v>LAS ANIMAS</v>
          </cell>
          <cell r="L502">
            <v>0</v>
          </cell>
          <cell r="M502" t="str">
            <v>LAS ANIMAS</v>
          </cell>
          <cell r="T502" t="e">
            <v>#REF!</v>
          </cell>
        </row>
        <row r="503">
          <cell r="A503" t="str">
            <v>ZAPOTE DE BARAJAS ( JN )</v>
          </cell>
          <cell r="B503" t="str">
            <v>11DJN2448P</v>
          </cell>
          <cell r="D503" t="str">
            <v>X</v>
          </cell>
          <cell r="E503" t="str">
            <v>IGNACIO ZARAGOZA</v>
          </cell>
          <cell r="F503">
            <v>4</v>
          </cell>
          <cell r="G503">
            <v>5</v>
          </cell>
          <cell r="H503" t="str">
            <v>Pénjamo</v>
          </cell>
          <cell r="I503">
            <v>85000</v>
          </cell>
          <cell r="J503" t="str">
            <v>Completa</v>
          </cell>
          <cell r="K503" t="str">
            <v>ZAPOTE DE BARAJAS</v>
          </cell>
          <cell r="L503">
            <v>0</v>
          </cell>
          <cell r="M503" t="str">
            <v>ZAPOTE DE BARAJAS</v>
          </cell>
          <cell r="T503" t="e">
            <v>#REF!</v>
          </cell>
        </row>
        <row r="504">
          <cell r="A504" t="str">
            <v>EL PANDITO ( PR )</v>
          </cell>
          <cell r="B504" t="str">
            <v>11DPR2750R</v>
          </cell>
          <cell r="D504" t="str">
            <v>X</v>
          </cell>
          <cell r="E504" t="str">
            <v>JOSEFA ORTIZ DE DOMINGUEZ</v>
          </cell>
          <cell r="F504">
            <v>18</v>
          </cell>
          <cell r="G504">
            <v>26</v>
          </cell>
          <cell r="H504" t="str">
            <v>Pénjamo</v>
          </cell>
          <cell r="I504">
            <v>30000</v>
          </cell>
          <cell r="J504" t="str">
            <v>Multigrado</v>
          </cell>
          <cell r="K504" t="str">
            <v>EL PANDITO</v>
          </cell>
          <cell r="L504">
            <v>0</v>
          </cell>
          <cell r="M504" t="str">
            <v>EL PANDITO</v>
          </cell>
          <cell r="T504" t="e">
            <v>#REF!</v>
          </cell>
        </row>
        <row r="505">
          <cell r="A505" t="str">
            <v>CAÑADA DE CORRALEJO ( TV )</v>
          </cell>
          <cell r="B505" t="str">
            <v>11ETV0485U</v>
          </cell>
          <cell r="C505" t="str">
            <v>X</v>
          </cell>
          <cell r="E505" t="str">
            <v>TELESECUNDARIA NUM. 469</v>
          </cell>
          <cell r="F505">
            <v>517</v>
          </cell>
          <cell r="G505">
            <v>3</v>
          </cell>
          <cell r="H505" t="str">
            <v>Pénjamo</v>
          </cell>
          <cell r="I505">
            <v>58500</v>
          </cell>
          <cell r="J505" t="str">
            <v>Completa</v>
          </cell>
          <cell r="K505" t="str">
            <v>CANADA DE CORRALEJO</v>
          </cell>
          <cell r="L505">
            <v>0</v>
          </cell>
          <cell r="M505" t="str">
            <v>CAÑADA DE CORRALEJO</v>
          </cell>
          <cell r="T505" t="e">
            <v>#REF!</v>
          </cell>
        </row>
        <row r="506">
          <cell r="A506" t="str">
            <v>EL CERRO (RANCHO EL CERRO) ( PR )</v>
          </cell>
          <cell r="B506" t="str">
            <v>11DPR0645T</v>
          </cell>
          <cell r="C506" t="str">
            <v>X</v>
          </cell>
          <cell r="E506" t="str">
            <v>REVOLUCION</v>
          </cell>
          <cell r="F506">
            <v>119</v>
          </cell>
          <cell r="G506">
            <v>26</v>
          </cell>
          <cell r="H506" t="str">
            <v>Pénjamo</v>
          </cell>
          <cell r="I506">
            <v>30000</v>
          </cell>
          <cell r="J506" t="str">
            <v>Multigrado</v>
          </cell>
          <cell r="K506" t="str">
            <v>RANCHO DEL CERRO S/N</v>
          </cell>
          <cell r="L506">
            <v>0</v>
          </cell>
          <cell r="M506" t="str">
            <v>EL CERRO (RANCHO EL CERRO)</v>
          </cell>
          <cell r="T506" t="e">
            <v>#REF!</v>
          </cell>
        </row>
        <row r="507">
          <cell r="A507" t="str">
            <v>EL SALITRILLO ( PR)</v>
          </cell>
          <cell r="B507" t="str">
            <v>11DPR2333E</v>
          </cell>
          <cell r="D507" t="str">
            <v>X</v>
          </cell>
          <cell r="E507" t="str">
            <v>5 DE MAYO</v>
          </cell>
          <cell r="F507">
            <v>18</v>
          </cell>
          <cell r="G507">
            <v>26</v>
          </cell>
          <cell r="H507" t="str">
            <v>Pénjamo</v>
          </cell>
          <cell r="I507">
            <v>30000</v>
          </cell>
          <cell r="J507" t="str">
            <v>Multigrado</v>
          </cell>
          <cell r="K507" t="str">
            <v>EL SALITRILLO</v>
          </cell>
          <cell r="L507">
            <v>0</v>
          </cell>
          <cell r="M507" t="str">
            <v>EL SALITRILLO</v>
          </cell>
          <cell r="T507" t="e">
            <v>#REF!</v>
          </cell>
        </row>
        <row r="508">
          <cell r="A508" t="str">
            <v>CAPILLA DE MARQUEZ ( JN)</v>
          </cell>
          <cell r="B508" t="str">
            <v>11EJN0247D</v>
          </cell>
          <cell r="C508" t="str">
            <v>X</v>
          </cell>
          <cell r="E508" t="str">
            <v>JUAN JACOBO ROUSSEAU</v>
          </cell>
          <cell r="F508">
            <v>527</v>
          </cell>
          <cell r="G508">
            <v>4</v>
          </cell>
          <cell r="H508" t="str">
            <v>Pénjamo</v>
          </cell>
          <cell r="I508">
            <v>28000</v>
          </cell>
          <cell r="J508" t="str">
            <v>Multigrado</v>
          </cell>
          <cell r="K508" t="str">
            <v>CAPILLA DE MARQUEZ</v>
          </cell>
          <cell r="L508">
            <v>0</v>
          </cell>
          <cell r="M508" t="str">
            <v>CAPILLA DE MARQUEZ</v>
          </cell>
          <cell r="T508" t="e">
            <v>#REF!</v>
          </cell>
        </row>
        <row r="509">
          <cell r="A509" t="str">
            <v>PENJAMO ( 11EJN0402F)</v>
          </cell>
          <cell r="B509" t="str">
            <v>11EJN0402F</v>
          </cell>
          <cell r="C509" t="str">
            <v>X</v>
          </cell>
          <cell r="E509" t="str">
            <v>GUADALUPE VICTORIA</v>
          </cell>
          <cell r="F509">
            <v>527</v>
          </cell>
          <cell r="G509">
            <v>4</v>
          </cell>
          <cell r="H509" t="str">
            <v>Pénjamo</v>
          </cell>
          <cell r="I509">
            <v>28500</v>
          </cell>
          <cell r="J509" t="str">
            <v>Multigrado</v>
          </cell>
          <cell r="K509" t="str">
            <v>INDECO S/N</v>
          </cell>
          <cell r="L509" t="str">
            <v>COLONIA INDECO</v>
          </cell>
          <cell r="M509" t="str">
            <v>PENJAMO</v>
          </cell>
          <cell r="T509" t="e">
            <v>#REF!</v>
          </cell>
        </row>
        <row r="510">
          <cell r="A510" t="str">
            <v>EL PORVENIR DE AYALA  (PR)</v>
          </cell>
          <cell r="B510" t="str">
            <v>11EPR0765E</v>
          </cell>
          <cell r="C510" t="str">
            <v>X</v>
          </cell>
          <cell r="E510" t="str">
            <v>GUADALUPE VICTORIA</v>
          </cell>
          <cell r="F510">
            <v>506</v>
          </cell>
          <cell r="G510">
            <v>3</v>
          </cell>
          <cell r="H510" t="str">
            <v>Pénjamo</v>
          </cell>
          <cell r="I510">
            <v>20000</v>
          </cell>
          <cell r="J510" t="str">
            <v>Multigrado</v>
          </cell>
          <cell r="K510" t="str">
            <v>EL PORVENIR DE AYALA</v>
          </cell>
          <cell r="L510">
            <v>0</v>
          </cell>
          <cell r="M510" t="str">
            <v>EL PORVENIR DE AYALA</v>
          </cell>
          <cell r="T510" t="e">
            <v>#REF!</v>
          </cell>
        </row>
        <row r="511">
          <cell r="A511" t="str">
            <v>SAN JOSE DE LOS SABINOS ( TV)</v>
          </cell>
          <cell r="B511" t="str">
            <v>11ETV0786Q</v>
          </cell>
          <cell r="C511" t="str">
            <v>X</v>
          </cell>
          <cell r="E511" t="str">
            <v>TELESECUNDARIA NUM. 786</v>
          </cell>
          <cell r="F511">
            <v>517</v>
          </cell>
          <cell r="G511">
            <v>3</v>
          </cell>
          <cell r="H511" t="str">
            <v>Pénjamo</v>
          </cell>
          <cell r="I511">
            <v>82000</v>
          </cell>
          <cell r="J511" t="str">
            <v>Completa</v>
          </cell>
          <cell r="K511" t="str">
            <v>SAN JOSE DE LOS SABINOS</v>
          </cell>
          <cell r="L511">
            <v>0</v>
          </cell>
          <cell r="M511" t="str">
            <v>SAN JOSE DE LOS SABINOS</v>
          </cell>
          <cell r="T511" t="e">
            <v>#REF!</v>
          </cell>
        </row>
        <row r="512">
          <cell r="A512" t="str">
            <v>ESTACION CORRALEJO ( TV)</v>
          </cell>
          <cell r="B512" t="str">
            <v>11ETV0903P</v>
          </cell>
          <cell r="C512" t="str">
            <v>X</v>
          </cell>
          <cell r="E512" t="str">
            <v>TELESECUNDARIA NUM. 903</v>
          </cell>
          <cell r="F512">
            <v>517</v>
          </cell>
          <cell r="G512">
            <v>3</v>
          </cell>
          <cell r="H512" t="str">
            <v>Pénjamo</v>
          </cell>
          <cell r="I512">
            <v>85000</v>
          </cell>
          <cell r="J512" t="str">
            <v>Completa</v>
          </cell>
          <cell r="K512" t="str">
            <v>ESTACION CORRALEJO</v>
          </cell>
          <cell r="L512">
            <v>0</v>
          </cell>
          <cell r="M512" t="str">
            <v>ESTACION CORRALEJO</v>
          </cell>
          <cell r="T512" t="e">
            <v>#REF!</v>
          </cell>
        </row>
        <row r="513">
          <cell r="A513" t="str">
            <v>CONCEPCION DE RUIZ ( TV )</v>
          </cell>
          <cell r="B513" t="str">
            <v>11ETV0998T</v>
          </cell>
          <cell r="C513" t="str">
            <v>X</v>
          </cell>
          <cell r="E513" t="str">
            <v>TELESECUNDARIA NUM. 998</v>
          </cell>
          <cell r="F513">
            <v>517</v>
          </cell>
          <cell r="G513">
            <v>3</v>
          </cell>
          <cell r="H513" t="str">
            <v>Pénjamo</v>
          </cell>
          <cell r="I513">
            <v>85000</v>
          </cell>
          <cell r="J513" t="str">
            <v>Completa</v>
          </cell>
          <cell r="K513" t="str">
            <v>CONCEPCION DE RUIZ</v>
          </cell>
          <cell r="L513">
            <v>0</v>
          </cell>
          <cell r="M513" t="str">
            <v>CONCEPCION DE RUIZ</v>
          </cell>
          <cell r="T513" t="e">
            <v>#REF!</v>
          </cell>
        </row>
        <row r="514">
          <cell r="A514" t="str">
            <v>CORRAL DE SANTIAGO ( PR )</v>
          </cell>
          <cell r="B514" t="str">
            <v>11DPR0174T</v>
          </cell>
          <cell r="D514" t="str">
            <v>X</v>
          </cell>
          <cell r="E514" t="str">
            <v>MELCHOR OCAMPO</v>
          </cell>
          <cell r="F514">
            <v>119</v>
          </cell>
          <cell r="G514">
            <v>26</v>
          </cell>
          <cell r="H514" t="str">
            <v>Pénjamo</v>
          </cell>
          <cell r="I514">
            <v>25000</v>
          </cell>
          <cell r="J514" t="str">
            <v>Multigrado</v>
          </cell>
          <cell r="K514" t="str">
            <v>CORRAL DE SANTIAGO</v>
          </cell>
          <cell r="L514">
            <v>0</v>
          </cell>
          <cell r="M514" t="str">
            <v>CORRAL DE SANTIAGO</v>
          </cell>
          <cell r="T514" t="e">
            <v>#REF!</v>
          </cell>
        </row>
        <row r="515">
          <cell r="A515" t="str">
            <v>LAS PLAZUELAS (SAN JUAN EL ALTO) ( PR)</v>
          </cell>
          <cell r="B515" t="str">
            <v>11DPR0942T</v>
          </cell>
          <cell r="C515" t="str">
            <v>X</v>
          </cell>
          <cell r="E515" t="str">
            <v>VENUSTIANO CARRANZA</v>
          </cell>
          <cell r="F515">
            <v>139</v>
          </cell>
          <cell r="G515">
            <v>26</v>
          </cell>
          <cell r="H515" t="str">
            <v>Pénjamo</v>
          </cell>
          <cell r="I515">
            <v>30000</v>
          </cell>
          <cell r="J515" t="str">
            <v>Multigrado</v>
          </cell>
          <cell r="K515" t="str">
            <v>PLAZUELAS</v>
          </cell>
          <cell r="L515">
            <v>0</v>
          </cell>
          <cell r="M515" t="str">
            <v>LAS PLAZUELAS (SAN JUAN EL ALTO)</v>
          </cell>
          <cell r="T515" t="e">
            <v>#REF!</v>
          </cell>
        </row>
        <row r="516">
          <cell r="A516" t="str">
            <v>LA TROJA (EL CHIFLIDO) (PR)</v>
          </cell>
          <cell r="B516" t="str">
            <v>11DPR1735S</v>
          </cell>
          <cell r="D516" t="str">
            <v>X</v>
          </cell>
          <cell r="E516" t="str">
            <v>BENITO JUAREZ</v>
          </cell>
          <cell r="F516">
            <v>55</v>
          </cell>
          <cell r="G516">
            <v>9</v>
          </cell>
          <cell r="H516" t="str">
            <v>Pénjamo</v>
          </cell>
          <cell r="I516">
            <v>85000</v>
          </cell>
          <cell r="J516" t="str">
            <v>Completa</v>
          </cell>
          <cell r="K516" t="str">
            <v>EL CHIFLIDO</v>
          </cell>
          <cell r="L516">
            <v>0</v>
          </cell>
          <cell r="M516" t="str">
            <v>LA TROJA (EL CHIFLIDO)</v>
          </cell>
          <cell r="T516" t="e">
            <v>#REF!</v>
          </cell>
        </row>
        <row r="517">
          <cell r="A517" t="str">
            <v>CORRALEJO DE HIDALGO ( JN)</v>
          </cell>
          <cell r="B517" t="str">
            <v>11DJN0219I</v>
          </cell>
          <cell r="C517" t="str">
            <v>X</v>
          </cell>
          <cell r="E517" t="str">
            <v>FEDERICO FROEBEL</v>
          </cell>
          <cell r="F517">
            <v>4</v>
          </cell>
          <cell r="G517">
            <v>5</v>
          </cell>
          <cell r="H517" t="str">
            <v>Pénjamo</v>
          </cell>
          <cell r="I517">
            <v>22000</v>
          </cell>
          <cell r="J517" t="str">
            <v>Multigrado</v>
          </cell>
          <cell r="K517" t="str">
            <v>CORRALEJO DE HIDALGO</v>
          </cell>
          <cell r="L517">
            <v>0</v>
          </cell>
          <cell r="M517" t="str">
            <v>CORRALEJO DE HIDALGO</v>
          </cell>
          <cell r="T517" t="e">
            <v>#REF!</v>
          </cell>
        </row>
        <row r="518">
          <cell r="A518" t="str">
            <v>SAN JOSE DE LOS SABINOS ( JN)</v>
          </cell>
          <cell r="B518" t="str">
            <v>11DJN2851Z</v>
          </cell>
          <cell r="C518" t="str">
            <v>X</v>
          </cell>
          <cell r="E518" t="str">
            <v>MARIANO ABASOLO</v>
          </cell>
          <cell r="F518">
            <v>4</v>
          </cell>
          <cell r="G518">
            <v>5</v>
          </cell>
          <cell r="H518" t="str">
            <v>Pénjamo</v>
          </cell>
          <cell r="I518">
            <v>29000</v>
          </cell>
          <cell r="J518" t="str">
            <v>Multigrado</v>
          </cell>
          <cell r="K518" t="str">
            <v>SAN JOSE DE LOS SABINOS</v>
          </cell>
          <cell r="L518">
            <v>0</v>
          </cell>
          <cell r="M518" t="str">
            <v>SAN JOSE DE LOS SABINOS</v>
          </cell>
          <cell r="T518" t="e">
            <v>#REF!</v>
          </cell>
        </row>
        <row r="519">
          <cell r="A519" t="str">
            <v>EL CERRO (RANCHO EL CERRO) ( PR )</v>
          </cell>
          <cell r="B519" t="str">
            <v>11DPR3440U</v>
          </cell>
          <cell r="C519" t="str">
            <v>X</v>
          </cell>
          <cell r="E519" t="str">
            <v>NETZAHUALCOYOTL</v>
          </cell>
          <cell r="F519">
            <v>119</v>
          </cell>
          <cell r="G519">
            <v>26</v>
          </cell>
          <cell r="H519" t="str">
            <v>Pénjamo</v>
          </cell>
          <cell r="I519">
            <v>30000</v>
          </cell>
          <cell r="J519" t="str">
            <v>Multigrado</v>
          </cell>
          <cell r="K519" t="str">
            <v>RANCHO DEL CERRO S/N</v>
          </cell>
          <cell r="L519">
            <v>0</v>
          </cell>
          <cell r="M519" t="str">
            <v>EL CERRO (RANCHO EL CERRO)</v>
          </cell>
          <cell r="T519" t="e">
            <v>#REF!</v>
          </cell>
        </row>
        <row r="520">
          <cell r="A520" t="str">
            <v>EL TIGRE ( PR )</v>
          </cell>
          <cell r="B520" t="str">
            <v>11DPR2142O</v>
          </cell>
          <cell r="C520" t="str">
            <v>X</v>
          </cell>
          <cell r="E520" t="str">
            <v>LIC. BENITO JUAREZ</v>
          </cell>
          <cell r="F520">
            <v>139</v>
          </cell>
          <cell r="G520">
            <v>26</v>
          </cell>
          <cell r="H520" t="str">
            <v>Pénjamo</v>
          </cell>
          <cell r="I520">
            <v>30000</v>
          </cell>
          <cell r="J520" t="str">
            <v>Multigrado</v>
          </cell>
          <cell r="K520" t="str">
            <v>EL TIGRE</v>
          </cell>
          <cell r="L520">
            <v>0</v>
          </cell>
          <cell r="M520" t="str">
            <v>EL TIGRE</v>
          </cell>
          <cell r="T520" t="e">
            <v>#REF!</v>
          </cell>
        </row>
        <row r="521">
          <cell r="A521" t="str">
            <v>CHURINCILLO ( PR )</v>
          </cell>
          <cell r="B521" t="str">
            <v>11DPR1724M</v>
          </cell>
          <cell r="D521" t="str">
            <v>X</v>
          </cell>
          <cell r="E521" t="str">
            <v>JOSE MARIA MORELOS</v>
          </cell>
          <cell r="F521">
            <v>119</v>
          </cell>
          <cell r="G521">
            <v>26</v>
          </cell>
          <cell r="H521" t="str">
            <v>Pénjamo</v>
          </cell>
          <cell r="I521">
            <v>30000</v>
          </cell>
          <cell r="J521" t="str">
            <v>Multigrado</v>
          </cell>
          <cell r="K521" t="str">
            <v>CHURINCILLO</v>
          </cell>
          <cell r="L521">
            <v>0</v>
          </cell>
          <cell r="M521" t="str">
            <v>CHURINCILLO</v>
          </cell>
          <cell r="T521" t="e">
            <v>#REF!</v>
          </cell>
        </row>
        <row r="522">
          <cell r="A522" t="str">
            <v>SAN RAFAEL DE LA MARAÑA ( PR )</v>
          </cell>
          <cell r="B522" t="str">
            <v>11DPR2028W</v>
          </cell>
          <cell r="D522" t="str">
            <v>X</v>
          </cell>
          <cell r="E522" t="str">
            <v>BENITO JUAREZ</v>
          </cell>
          <cell r="F522">
            <v>139</v>
          </cell>
          <cell r="G522">
            <v>26</v>
          </cell>
          <cell r="H522" t="str">
            <v>Pénjamo</v>
          </cell>
          <cell r="I522">
            <v>30000</v>
          </cell>
          <cell r="J522" t="str">
            <v>Multigrado</v>
          </cell>
          <cell r="K522" t="str">
            <v>LA MARAÑA</v>
          </cell>
          <cell r="L522">
            <v>0</v>
          </cell>
          <cell r="M522" t="str">
            <v>SAN RAFAEL DE LA MARAÑA</v>
          </cell>
          <cell r="T522" t="e">
            <v>#REF!</v>
          </cell>
        </row>
        <row r="523">
          <cell r="A523" t="str">
            <v>VILLA DE GUADALUPE</v>
          </cell>
          <cell r="B523" t="str">
            <v>11DJN0579U</v>
          </cell>
          <cell r="C523" t="str">
            <v>X</v>
          </cell>
          <cell r="E523" t="str">
            <v>FEDERICO FROEBEL</v>
          </cell>
          <cell r="F523">
            <v>49</v>
          </cell>
          <cell r="G523">
            <v>17</v>
          </cell>
          <cell r="H523" t="str">
            <v>Pueblo Nuevo</v>
          </cell>
          <cell r="I523">
            <v>30000</v>
          </cell>
          <cell r="J523" t="str">
            <v>Multigrado</v>
          </cell>
          <cell r="K523" t="str">
            <v>VILLA DE GUADALUPE</v>
          </cell>
          <cell r="L523">
            <v>0</v>
          </cell>
          <cell r="M523" t="str">
            <v>VILLA DE GUADALUPE</v>
          </cell>
          <cell r="T523" t="e">
            <v>#REF!</v>
          </cell>
        </row>
        <row r="524">
          <cell r="A524" t="str">
            <v>YOSTIRO (YOSTIRO DE SAN ANTONIO)</v>
          </cell>
          <cell r="B524" t="str">
            <v>11DJN0580J</v>
          </cell>
          <cell r="C524" t="str">
            <v>X</v>
          </cell>
          <cell r="E524" t="str">
            <v>DANIEL DELGADILLO</v>
          </cell>
          <cell r="F524">
            <v>49</v>
          </cell>
          <cell r="G524">
            <v>17</v>
          </cell>
          <cell r="H524" t="str">
            <v>Pueblo Nuevo</v>
          </cell>
          <cell r="I524">
            <v>20000</v>
          </cell>
          <cell r="J524" t="str">
            <v>Multigrado</v>
          </cell>
          <cell r="K524" t="str">
            <v>YOSTIRO</v>
          </cell>
          <cell r="L524">
            <v>0</v>
          </cell>
          <cell r="M524" t="str">
            <v>YOSTIRO (YOSTIRO DE SAN ANTONIO)</v>
          </cell>
          <cell r="T524" t="e">
            <v>#REF!</v>
          </cell>
        </row>
        <row r="525">
          <cell r="A525" t="str">
            <v>PURISIMA DE BUSTOS</v>
          </cell>
          <cell r="B525" t="str">
            <v>11DPR0610D</v>
          </cell>
          <cell r="C525" t="str">
            <v>X</v>
          </cell>
          <cell r="E525" t="str">
            <v>LIC. MANUEL DOBLADO</v>
          </cell>
          <cell r="F525">
            <v>125</v>
          </cell>
          <cell r="G525">
            <v>14</v>
          </cell>
          <cell r="H525" t="str">
            <v>Purísima del Rincón</v>
          </cell>
          <cell r="I525">
            <v>85000</v>
          </cell>
          <cell r="J525" t="str">
            <v>Completa</v>
          </cell>
          <cell r="K525" t="str">
            <v>CAMPO DEL BOSQUE S/N CARRTERA SAN FRANCISCO-PURISIMA DEL RINCON</v>
          </cell>
          <cell r="L525" t="str">
            <v>CENTRO</v>
          </cell>
          <cell r="M525" t="str">
            <v>PURISIMA DE BUSTOS</v>
          </cell>
          <cell r="T525" t="e">
            <v>#REF!</v>
          </cell>
        </row>
        <row r="526">
          <cell r="A526" t="str">
            <v>CAÑADA DE SOTO</v>
          </cell>
          <cell r="B526" t="str">
            <v>11DPR2792Q</v>
          </cell>
          <cell r="C526" t="str">
            <v>X</v>
          </cell>
          <cell r="E526" t="str">
            <v>GENERAL FELIPE ANGELES</v>
          </cell>
          <cell r="F526">
            <v>125</v>
          </cell>
          <cell r="G526">
            <v>14</v>
          </cell>
          <cell r="H526" t="str">
            <v>Purísima del Rincón</v>
          </cell>
          <cell r="I526">
            <v>30000</v>
          </cell>
          <cell r="J526" t="str">
            <v>Multigrado</v>
          </cell>
          <cell r="K526" t="str">
            <v>CAÑADA DE SOTO</v>
          </cell>
          <cell r="L526">
            <v>0</v>
          </cell>
          <cell r="M526" t="str">
            <v>CAÑADA DE SOTO</v>
          </cell>
          <cell r="T526" t="e">
            <v>#REF!</v>
          </cell>
        </row>
        <row r="527">
          <cell r="A527" t="str">
            <v>PURISIMA DE BUSTOS</v>
          </cell>
          <cell r="B527" t="str">
            <v>11DPR3487O</v>
          </cell>
          <cell r="C527" t="str">
            <v>X</v>
          </cell>
          <cell r="E527" t="str">
            <v>HERMENEGILDO BUSTOS</v>
          </cell>
          <cell r="F527">
            <v>125</v>
          </cell>
          <cell r="G527">
            <v>14</v>
          </cell>
          <cell r="H527" t="str">
            <v>Purísima del Rincón</v>
          </cell>
          <cell r="I527">
            <v>85000</v>
          </cell>
          <cell r="J527" t="str">
            <v>Completa</v>
          </cell>
          <cell r="K527" t="str">
            <v>LOS ANDES NUM. 101</v>
          </cell>
          <cell r="L527" t="str">
            <v>GUANAJUATITO</v>
          </cell>
          <cell r="M527" t="str">
            <v>PURISIMA DE BUSTOS</v>
          </cell>
          <cell r="T527" t="e">
            <v>#REF!</v>
          </cell>
        </row>
        <row r="528">
          <cell r="A528" t="str">
            <v>PURISIMA DE BUSTOS</v>
          </cell>
          <cell r="B528" t="str">
            <v>11DPR3778D</v>
          </cell>
          <cell r="D528" t="str">
            <v>X</v>
          </cell>
          <cell r="E528" t="str">
            <v>JOSE MA. MORELOS Y PAVON</v>
          </cell>
          <cell r="F528">
            <v>125</v>
          </cell>
          <cell r="G528">
            <v>14</v>
          </cell>
          <cell r="H528" t="str">
            <v>Purísima del Rincón</v>
          </cell>
          <cell r="I528">
            <v>85000</v>
          </cell>
          <cell r="J528" t="str">
            <v>Completa</v>
          </cell>
          <cell r="K528" t="str">
            <v>LOS GIRASOLES</v>
          </cell>
          <cell r="L528" t="str">
            <v>LOS GIRASOLES</v>
          </cell>
          <cell r="M528" t="str">
            <v>PURISIMA DE BUSTOS</v>
          </cell>
          <cell r="T528" t="e">
            <v>#REF!</v>
          </cell>
        </row>
        <row r="529">
          <cell r="A529" t="str">
            <v>PURISIMA DE BUSTOS</v>
          </cell>
          <cell r="B529" t="str">
            <v>11DPR3784O</v>
          </cell>
          <cell r="C529" t="str">
            <v>X</v>
          </cell>
          <cell r="E529" t="str">
            <v>OCTAVIO PAZ</v>
          </cell>
          <cell r="F529">
            <v>125</v>
          </cell>
          <cell r="G529">
            <v>14</v>
          </cell>
          <cell r="H529" t="str">
            <v>Purísima del Rincón</v>
          </cell>
          <cell r="I529">
            <v>85000</v>
          </cell>
          <cell r="J529" t="str">
            <v>Completa</v>
          </cell>
          <cell r="K529" t="str">
            <v>LAS CRUCITAS</v>
          </cell>
          <cell r="L529" t="str">
            <v>LAS CRUCITAS</v>
          </cell>
          <cell r="M529" t="str">
            <v>PURISIMA DE BUSTOS</v>
          </cell>
          <cell r="T529" t="e">
            <v>#REF!</v>
          </cell>
        </row>
        <row r="530">
          <cell r="A530" t="str">
            <v>PURISIMA DE BUSTOS</v>
          </cell>
          <cell r="B530" t="str">
            <v>11DPR3577G</v>
          </cell>
          <cell r="C530" t="str">
            <v>X</v>
          </cell>
          <cell r="E530" t="str">
            <v>IGNACIO RAMIREZ</v>
          </cell>
          <cell r="F530">
            <v>125</v>
          </cell>
          <cell r="G530">
            <v>14</v>
          </cell>
          <cell r="H530" t="str">
            <v>Purísima del Rincón</v>
          </cell>
          <cell r="I530">
            <v>85000</v>
          </cell>
          <cell r="J530" t="str">
            <v>Completa</v>
          </cell>
          <cell r="K530" t="str">
            <v>GUADALUPE VICTORIA NUM. 200</v>
          </cell>
          <cell r="L530" t="str">
            <v>DEL CARMEN</v>
          </cell>
          <cell r="M530" t="str">
            <v>PURISIMA DE BUSTOS</v>
          </cell>
          <cell r="T530" t="e">
            <v>#REF!</v>
          </cell>
        </row>
        <row r="531">
          <cell r="A531" t="str">
            <v>POTRERILLOS (GUANAJAL)</v>
          </cell>
          <cell r="B531" t="str">
            <v>11DPR1903Y</v>
          </cell>
          <cell r="C531" t="str">
            <v>X</v>
          </cell>
          <cell r="E531" t="str">
            <v>18 DE MARZO</v>
          </cell>
          <cell r="F531">
            <v>125</v>
          </cell>
          <cell r="G531">
            <v>14</v>
          </cell>
          <cell r="H531" t="str">
            <v>Purísima del Rincón</v>
          </cell>
          <cell r="I531">
            <v>85000</v>
          </cell>
          <cell r="J531" t="str">
            <v>Completa</v>
          </cell>
          <cell r="K531" t="str">
            <v>FAJA DE ORO S/N</v>
          </cell>
          <cell r="L531">
            <v>0</v>
          </cell>
          <cell r="M531" t="str">
            <v>POTRERILLOS (GUANAJAL)</v>
          </cell>
          <cell r="T531" t="e">
            <v>#REF!</v>
          </cell>
        </row>
        <row r="532">
          <cell r="A532" t="str">
            <v>PURISIMA DE BUSTOS</v>
          </cell>
          <cell r="B532" t="str">
            <v>11DPR3132O</v>
          </cell>
          <cell r="D532" t="str">
            <v>X</v>
          </cell>
          <cell r="E532" t="str">
            <v>RICARDO FLORES MAGON</v>
          </cell>
          <cell r="F532">
            <v>125</v>
          </cell>
          <cell r="G532">
            <v>14</v>
          </cell>
          <cell r="H532" t="str">
            <v>Purísima del Rincón</v>
          </cell>
          <cell r="I532">
            <v>85000</v>
          </cell>
          <cell r="J532" t="str">
            <v>Completa</v>
          </cell>
          <cell r="K532" t="str">
            <v>GUADALUPE VICTORIA NUM. 200</v>
          </cell>
          <cell r="L532" t="str">
            <v>DEL CARMEN</v>
          </cell>
          <cell r="M532" t="str">
            <v>PURISIMA DE BUSTOS</v>
          </cell>
          <cell r="T532" t="e">
            <v>#REF!</v>
          </cell>
        </row>
        <row r="533">
          <cell r="A533" t="str">
            <v>PURISIMA DE BUSTOS</v>
          </cell>
          <cell r="B533" t="str">
            <v>11DPR3713U</v>
          </cell>
          <cell r="C533" t="str">
            <v>X</v>
          </cell>
          <cell r="E533" t="str">
            <v>NIÑOS HEROES</v>
          </cell>
          <cell r="F533">
            <v>125</v>
          </cell>
          <cell r="G533">
            <v>14</v>
          </cell>
          <cell r="H533" t="str">
            <v>Purísima del Rincón</v>
          </cell>
          <cell r="I533">
            <v>85000</v>
          </cell>
          <cell r="J533" t="str">
            <v>Completa</v>
          </cell>
          <cell r="K533" t="str">
            <v>PUERTO DE VERACRUZ S/N</v>
          </cell>
          <cell r="L533" t="str">
            <v>AMPLIACION DEL CARMEN</v>
          </cell>
          <cell r="M533" t="str">
            <v>PURISIMA DE BUSTOS</v>
          </cell>
          <cell r="T533" t="e">
            <v>#REF!</v>
          </cell>
        </row>
        <row r="534">
          <cell r="A534" t="str">
            <v>PURISIMA DE BUSTOS</v>
          </cell>
          <cell r="B534" t="str">
            <v>11EJN1212V</v>
          </cell>
          <cell r="C534" t="str">
            <v>X</v>
          </cell>
          <cell r="E534" t="str">
            <v>JARDIN DE NIÑOS</v>
          </cell>
          <cell r="F534">
            <v>528</v>
          </cell>
          <cell r="G534">
            <v>5</v>
          </cell>
          <cell r="H534" t="str">
            <v>Purísima del Rincón</v>
          </cell>
          <cell r="I534">
            <v>30000</v>
          </cell>
          <cell r="J534" t="str">
            <v>Multigrado</v>
          </cell>
          <cell r="K534" t="str">
            <v>LOS ALAMOS S/N</v>
          </cell>
          <cell r="L534" t="str">
            <v>LOS ALAMOS</v>
          </cell>
          <cell r="M534" t="str">
            <v>PURISIMA DE BUSTOS</v>
          </cell>
          <cell r="T534" t="e">
            <v>#REF!</v>
          </cell>
        </row>
        <row r="535">
          <cell r="A535" t="str">
            <v>SAN NICOLAS DEL PALENQUE (EL PALENQUE)</v>
          </cell>
          <cell r="B535" t="str">
            <v>11DPR1742B</v>
          </cell>
          <cell r="C535" t="str">
            <v>X</v>
          </cell>
          <cell r="E535" t="str">
            <v>EL VIGIA</v>
          </cell>
          <cell r="F535">
            <v>166</v>
          </cell>
          <cell r="G535">
            <v>14</v>
          </cell>
          <cell r="H535" t="str">
            <v>Purísima del Rincón</v>
          </cell>
          <cell r="I535">
            <v>85000</v>
          </cell>
          <cell r="J535" t="str">
            <v>Completa</v>
          </cell>
          <cell r="K535" t="str">
            <v>EL PALENQUE</v>
          </cell>
          <cell r="L535">
            <v>0</v>
          </cell>
          <cell r="M535" t="str">
            <v>SAN NICOLAS DEL PALENQUE (EL PALENQUE)</v>
          </cell>
          <cell r="T535" t="e">
            <v>#REF!</v>
          </cell>
        </row>
        <row r="536">
          <cell r="A536" t="str">
            <v>PURISIMA DE BUSTOS</v>
          </cell>
          <cell r="B536" t="str">
            <v>11DPR3412Y</v>
          </cell>
          <cell r="C536" t="str">
            <v>X</v>
          </cell>
          <cell r="E536" t="str">
            <v>FRANCISCO ZARCO MATEOS</v>
          </cell>
          <cell r="F536">
            <v>166</v>
          </cell>
          <cell r="G536">
            <v>14</v>
          </cell>
          <cell r="H536" t="str">
            <v>Purísima del Rincón</v>
          </cell>
          <cell r="I536">
            <v>85000</v>
          </cell>
          <cell r="J536" t="str">
            <v>Completa</v>
          </cell>
          <cell r="K536" t="str">
            <v>VALLE DEL CEREZO NUM. 501</v>
          </cell>
          <cell r="L536" t="str">
            <v>VALLE INFONAVIT</v>
          </cell>
          <cell r="M536" t="str">
            <v>PURISIMA DE BUSTOS</v>
          </cell>
          <cell r="T536" t="e">
            <v>#REF!</v>
          </cell>
        </row>
        <row r="537">
          <cell r="A537" t="str">
            <v>PURISIMA DE BUSTOS</v>
          </cell>
          <cell r="B537" t="str">
            <v>11DPR3488N</v>
          </cell>
          <cell r="C537" t="str">
            <v>X</v>
          </cell>
          <cell r="E537" t="str">
            <v>BENITO JUAREZ</v>
          </cell>
          <cell r="F537">
            <v>166</v>
          </cell>
          <cell r="G537">
            <v>14</v>
          </cell>
          <cell r="H537" t="str">
            <v>Purísima del Rincón</v>
          </cell>
          <cell r="I537">
            <v>85000</v>
          </cell>
          <cell r="J537" t="str">
            <v>Completa</v>
          </cell>
          <cell r="K537" t="str">
            <v>LOS MIRASOLES</v>
          </cell>
          <cell r="L537" t="str">
            <v>LOS MIRASOLES</v>
          </cell>
          <cell r="M537" t="str">
            <v>PURISIMA DE BUSTOS</v>
          </cell>
          <cell r="T537" t="e">
            <v>#REF!</v>
          </cell>
        </row>
        <row r="538">
          <cell r="A538" t="str">
            <v>PURISIMA DE BUSTOS</v>
          </cell>
          <cell r="B538" t="str">
            <v>11DPR3537F</v>
          </cell>
          <cell r="C538" t="str">
            <v>X</v>
          </cell>
          <cell r="E538" t="str">
            <v>JOSE SANTOS VALDES GARCIA</v>
          </cell>
          <cell r="F538">
            <v>166</v>
          </cell>
          <cell r="G538">
            <v>14</v>
          </cell>
          <cell r="H538" t="str">
            <v>Purísima del Rincón</v>
          </cell>
          <cell r="I538">
            <v>85000</v>
          </cell>
          <cell r="J538" t="str">
            <v>Completa</v>
          </cell>
          <cell r="K538" t="str">
            <v>VALLE DEL CEREZO NUM. 501</v>
          </cell>
          <cell r="L538" t="str">
            <v>VALLE INFONAVIT</v>
          </cell>
          <cell r="M538" t="str">
            <v>PURISIMA DE BUSTOS</v>
          </cell>
          <cell r="T538" t="e">
            <v>#REF!</v>
          </cell>
        </row>
        <row r="539">
          <cell r="A539" t="str">
            <v>PURISIMA DE BUSTOS</v>
          </cell>
          <cell r="B539" t="str">
            <v>11EPR0241Z</v>
          </cell>
          <cell r="C539" t="str">
            <v>X</v>
          </cell>
          <cell r="E539" t="str">
            <v>DR. AGUSTIN MEDRANO</v>
          </cell>
          <cell r="F539">
            <v>543</v>
          </cell>
          <cell r="G539">
            <v>8</v>
          </cell>
          <cell r="H539" t="str">
            <v>Purísima del Rincón</v>
          </cell>
          <cell r="I539">
            <v>85000</v>
          </cell>
          <cell r="J539" t="str">
            <v>Completa</v>
          </cell>
          <cell r="K539" t="str">
            <v>JARDIN PRINCIPAL S/N</v>
          </cell>
          <cell r="L539">
            <v>0</v>
          </cell>
          <cell r="M539" t="str">
            <v>PURISIMA DE BUSTOS</v>
          </cell>
          <cell r="T539" t="e">
            <v>#REF!</v>
          </cell>
        </row>
        <row r="540">
          <cell r="A540" t="str">
            <v>PURISIMA DE BUSTOS</v>
          </cell>
          <cell r="B540" t="str">
            <v>11EPR0883T</v>
          </cell>
          <cell r="C540" t="str">
            <v>X</v>
          </cell>
          <cell r="E540" t="str">
            <v>JOSE CHAVEZ MORADO</v>
          </cell>
          <cell r="F540">
            <v>543</v>
          </cell>
          <cell r="G540">
            <v>8</v>
          </cell>
          <cell r="H540" t="str">
            <v>Purísima del Rincón</v>
          </cell>
          <cell r="I540">
            <v>65000</v>
          </cell>
          <cell r="J540" t="str">
            <v>Completa</v>
          </cell>
          <cell r="K540" t="str">
            <v>MONTE GRANDE</v>
          </cell>
          <cell r="L540">
            <v>0</v>
          </cell>
          <cell r="M540" t="str">
            <v>PURISIMA DE BUSTOS</v>
          </cell>
          <cell r="T540" t="e">
            <v>#REF!</v>
          </cell>
        </row>
        <row r="541">
          <cell r="A541" t="str">
            <v>SAN JERONIMO</v>
          </cell>
          <cell r="B541" t="str">
            <v>11DPR1949T</v>
          </cell>
          <cell r="C541" t="str">
            <v>X</v>
          </cell>
          <cell r="E541" t="str">
            <v>TENOCHTITLAN</v>
          </cell>
          <cell r="F541">
            <v>166</v>
          </cell>
          <cell r="G541">
            <v>14</v>
          </cell>
          <cell r="H541" t="str">
            <v>Purísima del Rincón</v>
          </cell>
          <cell r="I541">
            <v>85000</v>
          </cell>
          <cell r="J541" t="str">
            <v>Completa</v>
          </cell>
          <cell r="K541" t="str">
            <v>SAN JERONIMO</v>
          </cell>
          <cell r="L541">
            <v>0</v>
          </cell>
          <cell r="M541" t="str">
            <v>SAN JERONIMO</v>
          </cell>
          <cell r="T541" t="e">
            <v>#REF!</v>
          </cell>
        </row>
        <row r="542">
          <cell r="A542" t="str">
            <v>SAN ANGEL</v>
          </cell>
          <cell r="B542" t="str">
            <v>11DPR2005L</v>
          </cell>
          <cell r="C542" t="str">
            <v>X</v>
          </cell>
          <cell r="E542" t="str">
            <v>JUAN DE LA BARRERA</v>
          </cell>
          <cell r="F542">
            <v>166</v>
          </cell>
          <cell r="G542">
            <v>14</v>
          </cell>
          <cell r="H542" t="str">
            <v>Purísima del Rincón</v>
          </cell>
          <cell r="I542">
            <v>85000</v>
          </cell>
          <cell r="J542" t="str">
            <v>Completa</v>
          </cell>
          <cell r="K542" t="str">
            <v>SAN ANGEL</v>
          </cell>
          <cell r="L542">
            <v>0</v>
          </cell>
          <cell r="M542" t="str">
            <v>SAN ANGEL</v>
          </cell>
          <cell r="T542" t="e">
            <v>#REF!</v>
          </cell>
        </row>
        <row r="543">
          <cell r="A543" t="str">
            <v>POTRERILLOS (GUANAJAL)</v>
          </cell>
          <cell r="B543" t="str">
            <v>11DPR3576H</v>
          </cell>
          <cell r="C543" t="str">
            <v>X</v>
          </cell>
          <cell r="E543" t="str">
            <v>DR. PASCUAL ACEVES BARAJAS</v>
          </cell>
          <cell r="F543">
            <v>125</v>
          </cell>
          <cell r="G543">
            <v>14</v>
          </cell>
          <cell r="H543" t="str">
            <v>Purísima del Rincón</v>
          </cell>
          <cell r="I543">
            <v>30000</v>
          </cell>
          <cell r="J543" t="str">
            <v>Multigrado</v>
          </cell>
          <cell r="K543" t="str">
            <v>FAJA DE ORO S/N</v>
          </cell>
          <cell r="L543">
            <v>0</v>
          </cell>
          <cell r="M543" t="str">
            <v>POTRERILLOS (GUANAJAL)</v>
          </cell>
          <cell r="T543" t="e">
            <v>#REF!</v>
          </cell>
        </row>
        <row r="544">
          <cell r="A544" t="str">
            <v>DOLORES</v>
          </cell>
          <cell r="B544" t="str">
            <v>11EPR0243Y</v>
          </cell>
          <cell r="C544" t="str">
            <v>X</v>
          </cell>
          <cell r="E544" t="str">
            <v>JOSE MA MORELOS</v>
          </cell>
          <cell r="F544">
            <v>543</v>
          </cell>
          <cell r="G544">
            <v>8</v>
          </cell>
          <cell r="H544" t="str">
            <v>Purísima del Rincón</v>
          </cell>
          <cell r="I544">
            <v>85000</v>
          </cell>
          <cell r="J544" t="str">
            <v>Completa</v>
          </cell>
          <cell r="K544" t="str">
            <v>LOS DOLORES</v>
          </cell>
          <cell r="L544">
            <v>0</v>
          </cell>
          <cell r="M544" t="str">
            <v>DOLORES</v>
          </cell>
          <cell r="T544" t="e">
            <v>#REF!</v>
          </cell>
        </row>
        <row r="545">
          <cell r="A545" t="str">
            <v>EL TECOLOTE</v>
          </cell>
          <cell r="B545" t="str">
            <v>11EPR0247U</v>
          </cell>
          <cell r="C545" t="str">
            <v>X</v>
          </cell>
          <cell r="E545" t="str">
            <v>LIC. BENITO JUAREZ</v>
          </cell>
          <cell r="F545">
            <v>543</v>
          </cell>
          <cell r="G545">
            <v>8</v>
          </cell>
          <cell r="H545" t="str">
            <v>Purísima del Rincón</v>
          </cell>
          <cell r="I545">
            <v>85000</v>
          </cell>
          <cell r="J545" t="str">
            <v>Completa</v>
          </cell>
          <cell r="K545" t="str">
            <v>EL TECOLOTE</v>
          </cell>
          <cell r="L545">
            <v>0</v>
          </cell>
          <cell r="M545" t="str">
            <v>EL TECOLOTE</v>
          </cell>
          <cell r="T545" t="e">
            <v>#REF!</v>
          </cell>
        </row>
        <row r="546">
          <cell r="A546" t="str">
            <v>EL TORO</v>
          </cell>
          <cell r="B546" t="str">
            <v>11EPR0248T</v>
          </cell>
          <cell r="C546" t="str">
            <v>X</v>
          </cell>
          <cell r="E546" t="str">
            <v>IGNACIO M. ALTAMIRANO</v>
          </cell>
          <cell r="F546">
            <v>543</v>
          </cell>
          <cell r="G546">
            <v>8</v>
          </cell>
          <cell r="H546" t="str">
            <v>Purísima del Rincón</v>
          </cell>
          <cell r="I546">
            <v>45000</v>
          </cell>
          <cell r="J546" t="str">
            <v>Completa</v>
          </cell>
          <cell r="K546" t="str">
            <v>EL TORO</v>
          </cell>
          <cell r="L546">
            <v>0</v>
          </cell>
          <cell r="M546" t="str">
            <v>EL TORO</v>
          </cell>
          <cell r="T546" t="e">
            <v>#REF!</v>
          </cell>
        </row>
        <row r="547">
          <cell r="A547" t="str">
            <v>PURISIMA DE BUSTOS</v>
          </cell>
          <cell r="B547" t="str">
            <v>11EPR0403V</v>
          </cell>
          <cell r="C547" t="str">
            <v>X</v>
          </cell>
          <cell r="E547" t="str">
            <v>LAZARO CARDENAS</v>
          </cell>
          <cell r="F547">
            <v>543</v>
          </cell>
          <cell r="G547">
            <v>8</v>
          </cell>
          <cell r="H547" t="str">
            <v>Purísima del Rincón</v>
          </cell>
          <cell r="I547">
            <v>82000</v>
          </cell>
          <cell r="J547" t="str">
            <v>Completa</v>
          </cell>
          <cell r="K547" t="str">
            <v>LAS LOMAS</v>
          </cell>
          <cell r="L547" t="str">
            <v>LAS LOMAS</v>
          </cell>
          <cell r="M547" t="str">
            <v>PURISIMA DE BUSTOS</v>
          </cell>
          <cell r="T547" t="e">
            <v>#REF!</v>
          </cell>
        </row>
        <row r="548">
          <cell r="A548" t="str">
            <v>SAN ANGEL</v>
          </cell>
          <cell r="B548" t="str">
            <v>11DPR2826Q</v>
          </cell>
          <cell r="C548" t="str">
            <v>X</v>
          </cell>
          <cell r="E548" t="str">
            <v>FRANCISCO MARQUEZ</v>
          </cell>
          <cell r="F548">
            <v>166</v>
          </cell>
          <cell r="G548">
            <v>14</v>
          </cell>
          <cell r="H548" t="str">
            <v>Purísima del Rincón</v>
          </cell>
          <cell r="I548">
            <v>25000</v>
          </cell>
          <cell r="J548" t="str">
            <v>Multigrado</v>
          </cell>
          <cell r="K548" t="str">
            <v>SAN ANGEL</v>
          </cell>
          <cell r="L548">
            <v>0</v>
          </cell>
          <cell r="M548" t="str">
            <v>SAN ANGEL</v>
          </cell>
          <cell r="T548" t="e">
            <v>#REF!</v>
          </cell>
        </row>
        <row r="549">
          <cell r="A549" t="str">
            <v>EL TORO</v>
          </cell>
          <cell r="B549" t="str">
            <v>11ETV0198A</v>
          </cell>
          <cell r="C549" t="str">
            <v>X</v>
          </cell>
          <cell r="E549" t="str">
            <v>TELESECUNDARIA NUM. 143</v>
          </cell>
          <cell r="F549">
            <v>546</v>
          </cell>
          <cell r="G549">
            <v>5</v>
          </cell>
          <cell r="H549" t="str">
            <v>Purísima del Rincón</v>
          </cell>
          <cell r="I549">
            <v>85000</v>
          </cell>
          <cell r="J549" t="str">
            <v>Completa</v>
          </cell>
          <cell r="K549" t="str">
            <v>EL TORO</v>
          </cell>
          <cell r="L549">
            <v>0</v>
          </cell>
          <cell r="M549" t="str">
            <v>EL TORO</v>
          </cell>
          <cell r="T549" t="e">
            <v>#REF!</v>
          </cell>
        </row>
        <row r="550">
          <cell r="A550" t="str">
            <v>PURISIMA DE BUSTOS</v>
          </cell>
          <cell r="B550" t="str">
            <v>11EPR0891B</v>
          </cell>
          <cell r="C550" t="str">
            <v>X</v>
          </cell>
          <cell r="E550" t="str">
            <v>NEZAHUALPILLI</v>
          </cell>
          <cell r="F550">
            <v>543</v>
          </cell>
          <cell r="G550">
            <v>8</v>
          </cell>
          <cell r="H550" t="str">
            <v>Purísima del Rincón</v>
          </cell>
          <cell r="I550">
            <v>30000</v>
          </cell>
          <cell r="J550" t="str">
            <v>Multigrado</v>
          </cell>
          <cell r="K550" t="str">
            <v>GARDENIA S/N</v>
          </cell>
          <cell r="L550" t="str">
            <v>PRADERA DE SAN JERONIMO</v>
          </cell>
          <cell r="M550" t="str">
            <v>PURISIMA DE BUSTOS</v>
          </cell>
          <cell r="T550" t="e">
            <v>#REF!</v>
          </cell>
        </row>
        <row r="551">
          <cell r="A551" t="str">
            <v>PURISIMA DE BUSTOS</v>
          </cell>
          <cell r="B551" t="str">
            <v>11DJN4322W</v>
          </cell>
          <cell r="C551" t="str">
            <v>X</v>
          </cell>
          <cell r="E551" t="str">
            <v>IGNACIO GARCIA TELLEZ</v>
          </cell>
          <cell r="F551">
            <v>84</v>
          </cell>
          <cell r="G551">
            <v>18</v>
          </cell>
          <cell r="H551" t="str">
            <v>Purísima del Rincón</v>
          </cell>
          <cell r="I551">
            <v>85000</v>
          </cell>
          <cell r="J551" t="str">
            <v>Completa</v>
          </cell>
          <cell r="K551" t="str">
            <v>CUERNO DE ORO NUM. 103</v>
          </cell>
          <cell r="L551" t="str">
            <v>MIRASOLES</v>
          </cell>
          <cell r="M551" t="str">
            <v>PURISIMA DE BUSTOS</v>
          </cell>
          <cell r="T551" t="e">
            <v>#REF!</v>
          </cell>
        </row>
        <row r="552">
          <cell r="A552" t="str">
            <v>EL PEDERNAL</v>
          </cell>
          <cell r="B552" t="str">
            <v>11EPR0246V</v>
          </cell>
          <cell r="C552" t="str">
            <v>X</v>
          </cell>
          <cell r="E552" t="str">
            <v>MELCHOR OCAMPO</v>
          </cell>
          <cell r="F552">
            <v>543</v>
          </cell>
          <cell r="G552">
            <v>8</v>
          </cell>
          <cell r="H552" t="str">
            <v>Purísima del Rincón</v>
          </cell>
          <cell r="I552">
            <v>30000</v>
          </cell>
          <cell r="J552" t="str">
            <v>Multigrado</v>
          </cell>
          <cell r="K552" t="str">
            <v>PEDREGAL</v>
          </cell>
          <cell r="L552">
            <v>0</v>
          </cell>
          <cell r="M552" t="str">
            <v>EL PEDERNAL</v>
          </cell>
          <cell r="T552" t="e">
            <v>#REF!</v>
          </cell>
        </row>
        <row r="553">
          <cell r="A553" t="str">
            <v>SAN ANTONIO CASAS BLANCAS</v>
          </cell>
          <cell r="B553" t="str">
            <v>11EPR0520K</v>
          </cell>
          <cell r="C553" t="str">
            <v>X</v>
          </cell>
          <cell r="E553" t="str">
            <v>HERMENEGILDO BUSTOS</v>
          </cell>
          <cell r="F553">
            <v>543</v>
          </cell>
          <cell r="G553">
            <v>8</v>
          </cell>
          <cell r="H553" t="str">
            <v>Purísima del Rincón</v>
          </cell>
          <cell r="I553">
            <v>30000</v>
          </cell>
          <cell r="J553" t="str">
            <v>Multigrado</v>
          </cell>
          <cell r="K553" t="str">
            <v>SAN ANTONIO CASAS BLANCAS</v>
          </cell>
          <cell r="L553">
            <v>0</v>
          </cell>
          <cell r="M553" t="str">
            <v>SAN ANTONIO CASAS BLANCAS</v>
          </cell>
          <cell r="T553" t="e">
            <v>#REF!</v>
          </cell>
        </row>
        <row r="554">
          <cell r="A554" t="str">
            <v>PUERTA DE JALPA</v>
          </cell>
          <cell r="B554" t="str">
            <v>11EPR0750C</v>
          </cell>
          <cell r="C554" t="str">
            <v>X</v>
          </cell>
          <cell r="E554" t="str">
            <v>JOSE GUADALUPE ROCHA ARIAS</v>
          </cell>
          <cell r="F554">
            <v>543</v>
          </cell>
          <cell r="G554">
            <v>8</v>
          </cell>
          <cell r="H554" t="str">
            <v>Purísima del Rincón</v>
          </cell>
          <cell r="I554">
            <v>30000</v>
          </cell>
          <cell r="J554" t="str">
            <v>Multigrado</v>
          </cell>
          <cell r="K554" t="str">
            <v>PUERTA DE JALPA</v>
          </cell>
          <cell r="L554">
            <v>0</v>
          </cell>
          <cell r="M554" t="str">
            <v>PUERTA DE JALPA</v>
          </cell>
          <cell r="T554" t="e">
            <v>#REF!</v>
          </cell>
        </row>
        <row r="555">
          <cell r="A555" t="str">
            <v>GUADALUPE DE JALPA</v>
          </cell>
          <cell r="B555" t="str">
            <v>11DPR1825K</v>
          </cell>
          <cell r="C555" t="str">
            <v>X</v>
          </cell>
          <cell r="E555" t="str">
            <v>MARIANO MATAMOROS</v>
          </cell>
          <cell r="F555">
            <v>166</v>
          </cell>
          <cell r="G555">
            <v>14</v>
          </cell>
          <cell r="H555" t="str">
            <v>Purísima del Rincón</v>
          </cell>
          <cell r="I555">
            <v>85000</v>
          </cell>
          <cell r="J555" t="str">
            <v>Completa</v>
          </cell>
          <cell r="K555" t="str">
            <v>GUADALUPE DE JALPA</v>
          </cell>
          <cell r="L555">
            <v>0</v>
          </cell>
          <cell r="M555" t="str">
            <v>GUADALUPE DE JALPA</v>
          </cell>
          <cell r="T555" t="e">
            <v>#REF!</v>
          </cell>
        </row>
        <row r="556">
          <cell r="A556" t="str">
            <v>BUENAVISTA</v>
          </cell>
          <cell r="B556" t="str">
            <v>11DPR2821V</v>
          </cell>
          <cell r="C556" t="str">
            <v>X</v>
          </cell>
          <cell r="E556" t="str">
            <v>DR. MARIANO AZUELA</v>
          </cell>
          <cell r="F556">
            <v>125</v>
          </cell>
          <cell r="G556">
            <v>14</v>
          </cell>
          <cell r="H556" t="str">
            <v>Purísima del Rincón</v>
          </cell>
          <cell r="I556">
            <v>30000</v>
          </cell>
          <cell r="J556" t="str">
            <v>Multigrado</v>
          </cell>
          <cell r="K556" t="str">
            <v>BUENAVISTA</v>
          </cell>
          <cell r="L556">
            <v>0</v>
          </cell>
          <cell r="M556" t="str">
            <v>BUENAVISTA</v>
          </cell>
          <cell r="T556" t="e">
            <v>#REF!</v>
          </cell>
        </row>
        <row r="557">
          <cell r="A557" t="str">
            <v>CAÑADA DE NEGROS</v>
          </cell>
          <cell r="B557" t="str">
            <v>11ETV0334O</v>
          </cell>
          <cell r="C557" t="str">
            <v>X</v>
          </cell>
          <cell r="E557" t="str">
            <v>TELESECUNDARIA NUM. 341</v>
          </cell>
          <cell r="F557">
            <v>546</v>
          </cell>
          <cell r="G557">
            <v>5</v>
          </cell>
          <cell r="H557" t="str">
            <v>Purísima del Rincón</v>
          </cell>
          <cell r="I557">
            <v>85000</v>
          </cell>
          <cell r="J557" t="str">
            <v>Completa</v>
          </cell>
          <cell r="K557" t="str">
            <v>CAÑADA DE NEGROS</v>
          </cell>
          <cell r="L557">
            <v>0</v>
          </cell>
          <cell r="M557" t="str">
            <v>CAÑADA DE NEGROS</v>
          </cell>
          <cell r="T557" t="e">
            <v>#REF!</v>
          </cell>
        </row>
        <row r="558">
          <cell r="A558" t="str">
            <v>PURISIMA DE BUSTOS</v>
          </cell>
          <cell r="B558" t="str">
            <v>11DJN4368R</v>
          </cell>
          <cell r="C558" t="str">
            <v>X</v>
          </cell>
          <cell r="E558" t="str">
            <v>MAESTRO MANUEL GILBERTO PALOMINO MENDEZ</v>
          </cell>
          <cell r="F558">
            <v>84</v>
          </cell>
          <cell r="G558">
            <v>18</v>
          </cell>
          <cell r="H558" t="str">
            <v>Purísima del Rincón</v>
          </cell>
          <cell r="I558">
            <v>30000</v>
          </cell>
          <cell r="J558" t="str">
            <v>Multigrado</v>
          </cell>
          <cell r="K558" t="str">
            <v>FRANCISCO I. MADERO NUM. 408</v>
          </cell>
          <cell r="L558" t="str">
            <v>EL CARMEN</v>
          </cell>
          <cell r="M558" t="str">
            <v>PURISIMA DE BUSTOS</v>
          </cell>
          <cell r="T558" t="e">
            <v>#REF!</v>
          </cell>
        </row>
        <row r="559">
          <cell r="A559" t="str">
            <v>BUENAVISTA</v>
          </cell>
          <cell r="B559" t="str">
            <v>11DPR2050Y</v>
          </cell>
          <cell r="C559" t="str">
            <v>X</v>
          </cell>
          <cell r="E559" t="str">
            <v>FRANCISCO I. MADERO</v>
          </cell>
          <cell r="F559">
            <v>125</v>
          </cell>
          <cell r="G559">
            <v>14</v>
          </cell>
          <cell r="H559" t="str">
            <v>Purísima del Rincón</v>
          </cell>
          <cell r="I559">
            <v>20000</v>
          </cell>
          <cell r="J559" t="str">
            <v>Multigrado</v>
          </cell>
          <cell r="K559" t="str">
            <v>BUENAVISTA</v>
          </cell>
          <cell r="L559">
            <v>0</v>
          </cell>
          <cell r="M559" t="str">
            <v>BUENAVISTA</v>
          </cell>
          <cell r="T559" t="e">
            <v>#REF!</v>
          </cell>
        </row>
        <row r="560">
          <cell r="A560" t="str">
            <v>LA DESCUBRIDORA</v>
          </cell>
          <cell r="B560" t="str">
            <v>11EPR0242Z</v>
          </cell>
          <cell r="C560" t="str">
            <v>X</v>
          </cell>
          <cell r="E560" t="str">
            <v>BENITO JUAREZ</v>
          </cell>
          <cell r="F560">
            <v>543</v>
          </cell>
          <cell r="G560">
            <v>8</v>
          </cell>
          <cell r="H560" t="str">
            <v>Purísima del Rincón</v>
          </cell>
          <cell r="I560">
            <v>30000</v>
          </cell>
          <cell r="J560" t="str">
            <v>Multigrado</v>
          </cell>
          <cell r="K560" t="str">
            <v>LA DESCUBRIDORA</v>
          </cell>
          <cell r="L560">
            <v>0</v>
          </cell>
          <cell r="M560" t="str">
            <v>LA DESCUBRIDORA</v>
          </cell>
          <cell r="T560" t="e">
            <v>#REF!</v>
          </cell>
        </row>
        <row r="561">
          <cell r="A561" t="str">
            <v>EL TECOLOTE</v>
          </cell>
          <cell r="B561" t="str">
            <v>11ETV0138M</v>
          </cell>
          <cell r="C561" t="str">
            <v>X</v>
          </cell>
          <cell r="E561" t="str">
            <v>TELESECUNDARIA NUM. 142</v>
          </cell>
          <cell r="F561">
            <v>546</v>
          </cell>
          <cell r="G561">
            <v>5</v>
          </cell>
          <cell r="H561" t="str">
            <v>Purísima del Rincón</v>
          </cell>
          <cell r="I561">
            <v>85000</v>
          </cell>
          <cell r="J561" t="str">
            <v>Completa</v>
          </cell>
          <cell r="K561" t="str">
            <v>EL TECOLOTE</v>
          </cell>
          <cell r="L561">
            <v>0</v>
          </cell>
          <cell r="M561" t="str">
            <v>EL TECOLOTE</v>
          </cell>
          <cell r="T561" t="e">
            <v>#REF!</v>
          </cell>
        </row>
        <row r="562">
          <cell r="A562" t="str">
            <v>BUENAVISTA</v>
          </cell>
          <cell r="B562" t="str">
            <v>11ETV0800T</v>
          </cell>
          <cell r="C562" t="str">
            <v>X</v>
          </cell>
          <cell r="E562" t="str">
            <v>TELESECUNDARIA NUM. 800</v>
          </cell>
          <cell r="F562">
            <v>546</v>
          </cell>
          <cell r="G562">
            <v>5</v>
          </cell>
          <cell r="H562" t="str">
            <v>Purísima del Rincón</v>
          </cell>
          <cell r="I562">
            <v>85000</v>
          </cell>
          <cell r="J562" t="str">
            <v>Completa</v>
          </cell>
          <cell r="K562" t="str">
            <v>BUENAVISTA</v>
          </cell>
          <cell r="L562">
            <v>0</v>
          </cell>
          <cell r="M562" t="str">
            <v>BUENAVISTA</v>
          </cell>
          <cell r="T562" t="e">
            <v>#REF!</v>
          </cell>
        </row>
        <row r="563">
          <cell r="A563" t="str">
            <v>PURISIMA DE BUSTOS</v>
          </cell>
          <cell r="B563" t="str">
            <v>11ETV0477L</v>
          </cell>
          <cell r="C563" t="str">
            <v>X</v>
          </cell>
          <cell r="E563" t="str">
            <v>TELESECUNDARIA NUM. 452</v>
          </cell>
          <cell r="F563">
            <v>546</v>
          </cell>
          <cell r="G563">
            <v>5</v>
          </cell>
          <cell r="H563" t="str">
            <v>Purísima del Rincón</v>
          </cell>
          <cell r="I563">
            <v>85000</v>
          </cell>
          <cell r="J563" t="str">
            <v>Completa</v>
          </cell>
          <cell r="K563" t="str">
            <v>BENITO JUAREZ</v>
          </cell>
          <cell r="L563" t="str">
            <v>LAS LOMAS</v>
          </cell>
          <cell r="M563" t="str">
            <v>PURISIMA DE BUSTOS</v>
          </cell>
          <cell r="T563" t="e">
            <v>#REF!</v>
          </cell>
        </row>
        <row r="564">
          <cell r="A564" t="str">
            <v>PURISIMA DE BUSTOS</v>
          </cell>
          <cell r="B564" t="str">
            <v>11DJN4369Q</v>
          </cell>
          <cell r="C564" t="str">
            <v>X</v>
          </cell>
          <cell r="E564" t="str">
            <v>JEAN PIAGET</v>
          </cell>
          <cell r="F564">
            <v>84</v>
          </cell>
          <cell r="G564">
            <v>18</v>
          </cell>
          <cell r="H564" t="str">
            <v>Purísima del Rincón</v>
          </cell>
          <cell r="I564">
            <v>30000</v>
          </cell>
          <cell r="J564" t="str">
            <v>Multigrado</v>
          </cell>
          <cell r="K564" t="str">
            <v>PUERTO DE VERACRUZ S/N A UN LADO DE LA PRIMARIA NIÑOS HEROES</v>
          </cell>
          <cell r="L564" t="str">
            <v>AMPLIACION DEL CARMEN</v>
          </cell>
          <cell r="M564" t="str">
            <v>PURISIMA DE BUSTOS</v>
          </cell>
          <cell r="T564" t="e">
            <v>#REF!</v>
          </cell>
        </row>
        <row r="565">
          <cell r="A565" t="str">
            <v>POTRERILLOS (GUANAJAL)</v>
          </cell>
          <cell r="B565" t="str">
            <v>11DJN4434Z</v>
          </cell>
          <cell r="C565" t="str">
            <v>X</v>
          </cell>
          <cell r="E565" t="str">
            <v>MARIA LAVALLE URBINA</v>
          </cell>
          <cell r="F565">
            <v>84</v>
          </cell>
          <cell r="G565">
            <v>18</v>
          </cell>
          <cell r="H565" t="str">
            <v>Purísima del Rincón</v>
          </cell>
          <cell r="I565">
            <v>30000</v>
          </cell>
          <cell r="J565" t="str">
            <v>Multigrado</v>
          </cell>
          <cell r="K565" t="str">
            <v>POTRERILLOS</v>
          </cell>
          <cell r="L565">
            <v>0</v>
          </cell>
          <cell r="M565" t="str">
            <v>POTRERILLOS (GUANAJAL)</v>
          </cell>
          <cell r="T565" t="e">
            <v>#REF!</v>
          </cell>
        </row>
        <row r="566">
          <cell r="A566" t="str">
            <v>SAN ANGEL</v>
          </cell>
          <cell r="B566" t="str">
            <v>11ETV0689O</v>
          </cell>
          <cell r="C566" t="str">
            <v>X</v>
          </cell>
          <cell r="E566" t="str">
            <v>TELESECUNDARIA NUM. 734</v>
          </cell>
          <cell r="F566">
            <v>546</v>
          </cell>
          <cell r="G566">
            <v>5</v>
          </cell>
          <cell r="H566" t="str">
            <v>Purísima del Rincón</v>
          </cell>
          <cell r="I566">
            <v>85000</v>
          </cell>
          <cell r="J566" t="str">
            <v>Completa</v>
          </cell>
          <cell r="K566" t="str">
            <v>SAN ANGEL</v>
          </cell>
          <cell r="L566">
            <v>0</v>
          </cell>
          <cell r="M566" t="str">
            <v>SAN ANGEL</v>
          </cell>
          <cell r="T566" t="e">
            <v>#REF!</v>
          </cell>
        </row>
        <row r="567">
          <cell r="A567" t="str">
            <v>POTRERILLOS (GUANAJAL)</v>
          </cell>
          <cell r="B567" t="str">
            <v>11ETV0590E</v>
          </cell>
          <cell r="C567" t="str">
            <v>X</v>
          </cell>
          <cell r="E567" t="str">
            <v>TELESECUNDARIA NUM. 590</v>
          </cell>
          <cell r="F567">
            <v>546</v>
          </cell>
          <cell r="G567">
            <v>5</v>
          </cell>
          <cell r="H567" t="str">
            <v>Purísima del Rincón</v>
          </cell>
          <cell r="I567">
            <v>85000</v>
          </cell>
          <cell r="J567" t="str">
            <v>Completa</v>
          </cell>
          <cell r="K567" t="str">
            <v>POTRERILLOS</v>
          </cell>
          <cell r="L567">
            <v>0</v>
          </cell>
          <cell r="M567" t="str">
            <v>POTRERILLOS (GUANAJAL)</v>
          </cell>
          <cell r="T567" t="e">
            <v>#REF!</v>
          </cell>
        </row>
        <row r="568">
          <cell r="A568" t="str">
            <v>LA TRINIDAD</v>
          </cell>
          <cell r="B568" t="str">
            <v>11ETV0690D</v>
          </cell>
          <cell r="C568" t="str">
            <v>X</v>
          </cell>
          <cell r="E568" t="str">
            <v>TELESECUNDARIA NUM. 724</v>
          </cell>
          <cell r="F568">
            <v>546</v>
          </cell>
          <cell r="G568">
            <v>5</v>
          </cell>
          <cell r="H568" t="str">
            <v>Purísima del Rincón</v>
          </cell>
          <cell r="I568">
            <v>20000</v>
          </cell>
          <cell r="J568" t="str">
            <v>Multigrado</v>
          </cell>
          <cell r="K568" t="str">
            <v>LA TRINIDAD</v>
          </cell>
          <cell r="L568">
            <v>0</v>
          </cell>
          <cell r="M568" t="str">
            <v>LA TRINIDAD</v>
          </cell>
          <cell r="T568" t="e">
            <v>#REF!</v>
          </cell>
        </row>
        <row r="569">
          <cell r="A569" t="str">
            <v>LA DESCUBRIDORA</v>
          </cell>
          <cell r="B569" t="str">
            <v>11ETV0335N</v>
          </cell>
          <cell r="C569" t="str">
            <v>X</v>
          </cell>
          <cell r="E569" t="str">
            <v>TELESECUNDARIA NUM. 340</v>
          </cell>
          <cell r="F569">
            <v>546</v>
          </cell>
          <cell r="G569">
            <v>5</v>
          </cell>
          <cell r="H569" t="str">
            <v>Purísima del Rincón</v>
          </cell>
          <cell r="I569">
            <v>85000</v>
          </cell>
          <cell r="J569" t="str">
            <v>Completa</v>
          </cell>
          <cell r="K569" t="str">
            <v>LA DESCUBRIDORA</v>
          </cell>
          <cell r="L569">
            <v>0</v>
          </cell>
          <cell r="M569" t="str">
            <v>LA DESCUBRIDORA</v>
          </cell>
          <cell r="T569" t="e">
            <v>#REF!</v>
          </cell>
        </row>
        <row r="570">
          <cell r="A570" t="str">
            <v>EL TECOLOTE</v>
          </cell>
          <cell r="B570" t="str">
            <v>11DJN1022E</v>
          </cell>
          <cell r="C570" t="str">
            <v>X</v>
          </cell>
          <cell r="E570" t="str">
            <v>JESUS REYES HEROLES</v>
          </cell>
          <cell r="F570">
            <v>84</v>
          </cell>
          <cell r="G570">
            <v>18</v>
          </cell>
          <cell r="H570" t="str">
            <v>Purísima del Rincón</v>
          </cell>
          <cell r="I570">
            <v>30000</v>
          </cell>
          <cell r="J570" t="str">
            <v>Multigrado</v>
          </cell>
          <cell r="K570" t="str">
            <v>EL TECOLOTE</v>
          </cell>
          <cell r="L570">
            <v>0</v>
          </cell>
          <cell r="M570" t="str">
            <v>EL TECOLOTE</v>
          </cell>
          <cell r="T570" t="e">
            <v>#REF!</v>
          </cell>
        </row>
        <row r="571">
          <cell r="A571" t="str">
            <v>CAÑADA DE NEGROS</v>
          </cell>
          <cell r="B571" t="str">
            <v>11DJN4435Z</v>
          </cell>
          <cell r="C571" t="str">
            <v>X</v>
          </cell>
          <cell r="E571" t="str">
            <v>JUAN RULFO</v>
          </cell>
          <cell r="F571">
            <v>84</v>
          </cell>
          <cell r="G571">
            <v>18</v>
          </cell>
          <cell r="H571" t="str">
            <v>Purísima del Rincón</v>
          </cell>
          <cell r="I571">
            <v>20000</v>
          </cell>
          <cell r="J571" t="str">
            <v>Multigrado</v>
          </cell>
          <cell r="K571" t="str">
            <v>CAÑADA DE NEGROS</v>
          </cell>
          <cell r="L571">
            <v>0</v>
          </cell>
          <cell r="M571" t="str">
            <v>CAÑADA DE NEGROS</v>
          </cell>
          <cell r="T571" t="e">
            <v>#REF!</v>
          </cell>
        </row>
        <row r="572">
          <cell r="A572" t="str">
            <v>EL BARRIAL</v>
          </cell>
          <cell r="B572" t="str">
            <v>11DJN4477Y</v>
          </cell>
          <cell r="D572" t="str">
            <v>X</v>
          </cell>
          <cell r="E572" t="str">
            <v>PAULO FREIRE</v>
          </cell>
          <cell r="F572">
            <v>84</v>
          </cell>
          <cell r="G572">
            <v>18</v>
          </cell>
          <cell r="H572" t="str">
            <v>Purísima del Rincón</v>
          </cell>
          <cell r="I572">
            <v>30000</v>
          </cell>
          <cell r="J572" t="str">
            <v>Multigrado</v>
          </cell>
          <cell r="K572" t="str">
            <v>BARRIAL</v>
          </cell>
          <cell r="L572">
            <v>0</v>
          </cell>
          <cell r="M572" t="str">
            <v>EL BARRIAL</v>
          </cell>
          <cell r="T572" t="e">
            <v>#REF!</v>
          </cell>
        </row>
        <row r="573">
          <cell r="A573" t="str">
            <v>PURISIMA DE BUSTOS</v>
          </cell>
          <cell r="B573" t="str">
            <v>11DJN3262R</v>
          </cell>
          <cell r="C573" t="str">
            <v>X</v>
          </cell>
          <cell r="E573" t="str">
            <v>IGNACIO ALLENDE</v>
          </cell>
          <cell r="F573">
            <v>84</v>
          </cell>
          <cell r="G573">
            <v>18</v>
          </cell>
          <cell r="H573" t="str">
            <v>Purísima del Rincón</v>
          </cell>
          <cell r="I573">
            <v>30000</v>
          </cell>
          <cell r="J573" t="str">
            <v>Multigrado</v>
          </cell>
          <cell r="K573" t="str">
            <v>LA PRADERA</v>
          </cell>
          <cell r="L573">
            <v>0</v>
          </cell>
          <cell r="M573" t="str">
            <v>PURISIMA DE BUSTOS</v>
          </cell>
          <cell r="T573" t="e">
            <v>#REF!</v>
          </cell>
        </row>
        <row r="574">
          <cell r="A574" t="str">
            <v>SAN MIGUEL DEL GUARICHO (SAN MIGUEL)</v>
          </cell>
          <cell r="B574" t="str">
            <v>11EJN0242I</v>
          </cell>
          <cell r="C574" t="str">
            <v>X</v>
          </cell>
          <cell r="E574" t="str">
            <v>RAFAEL RAMIREZ</v>
          </cell>
          <cell r="F574">
            <v>511</v>
          </cell>
          <cell r="G574">
            <v>5</v>
          </cell>
          <cell r="H574" t="str">
            <v>Romita</v>
          </cell>
          <cell r="I574">
            <v>30000</v>
          </cell>
          <cell r="J574" t="str">
            <v>Multigrado</v>
          </cell>
          <cell r="K574" t="str">
            <v>SAN MIGUEL</v>
          </cell>
          <cell r="L574">
            <v>0</v>
          </cell>
          <cell r="M574" t="str">
            <v>SAN MIGUEL DEL GUARICHO (SAN MIGUEL)</v>
          </cell>
          <cell r="T574" t="e">
            <v>#REF!</v>
          </cell>
        </row>
        <row r="575">
          <cell r="A575" t="str">
            <v>SAN PEDRITO DE LOPEZ (EL TENAMASTE)</v>
          </cell>
          <cell r="B575" t="str">
            <v>11DPR2259N</v>
          </cell>
          <cell r="C575" t="str">
            <v>X</v>
          </cell>
          <cell r="E575" t="str">
            <v>LIC. ADOLFO LOPEZ MATEOS</v>
          </cell>
          <cell r="F575">
            <v>78</v>
          </cell>
          <cell r="G575">
            <v>4</v>
          </cell>
          <cell r="H575" t="str">
            <v>Romita</v>
          </cell>
          <cell r="I575">
            <v>30000</v>
          </cell>
          <cell r="J575" t="str">
            <v>Multigrado</v>
          </cell>
          <cell r="K575" t="str">
            <v>SAN PEDRITO DE LOPEZ</v>
          </cell>
          <cell r="L575">
            <v>0</v>
          </cell>
          <cell r="M575" t="str">
            <v>SAN PEDRITO DE LOPEZ (EL TENAMASTE)</v>
          </cell>
          <cell r="T575" t="e">
            <v>#REF!</v>
          </cell>
        </row>
        <row r="576">
          <cell r="A576" t="str">
            <v>REYES DE SAN JOSE (EL NIDO)</v>
          </cell>
          <cell r="B576" t="str">
            <v>11DPR2898J</v>
          </cell>
          <cell r="C576" t="str">
            <v>X</v>
          </cell>
          <cell r="E576" t="str">
            <v>HEROINA DE QUERETARO</v>
          </cell>
          <cell r="F576">
            <v>78</v>
          </cell>
          <cell r="G576">
            <v>4</v>
          </cell>
          <cell r="H576" t="str">
            <v>Romita</v>
          </cell>
          <cell r="I576">
            <v>30000</v>
          </cell>
          <cell r="J576" t="str">
            <v>Multigrado</v>
          </cell>
          <cell r="K576" t="str">
            <v>LOS REYES DE SAN JOSE</v>
          </cell>
          <cell r="L576">
            <v>0</v>
          </cell>
          <cell r="M576" t="str">
            <v>REYES DE SAN JOSE (EL NIDO)</v>
          </cell>
          <cell r="T576" t="e">
            <v>#REF!</v>
          </cell>
        </row>
        <row r="577">
          <cell r="A577" t="str">
            <v>GAVIA DE RIONDA</v>
          </cell>
          <cell r="B577" t="str">
            <v>11DPR1765M</v>
          </cell>
          <cell r="C577" t="str">
            <v>X</v>
          </cell>
          <cell r="E577" t="str">
            <v>ANTONIO GARCIA</v>
          </cell>
          <cell r="F577">
            <v>78</v>
          </cell>
          <cell r="G577">
            <v>4</v>
          </cell>
          <cell r="H577" t="str">
            <v>Romita</v>
          </cell>
          <cell r="I577">
            <v>61000</v>
          </cell>
          <cell r="J577" t="str">
            <v>Completa</v>
          </cell>
          <cell r="K577" t="str">
            <v>GAVIA DE RIONDA</v>
          </cell>
          <cell r="L577">
            <v>0</v>
          </cell>
          <cell r="M577" t="str">
            <v>GAVIA DE RIONDA</v>
          </cell>
          <cell r="T577" t="e">
            <v>#REF!</v>
          </cell>
        </row>
        <row r="578">
          <cell r="A578" t="str">
            <v>VALENCIANA DE GAVIA</v>
          </cell>
          <cell r="B578" t="str">
            <v>11DPR2057R</v>
          </cell>
          <cell r="C578" t="str">
            <v>X</v>
          </cell>
          <cell r="E578" t="str">
            <v>MIGUEL HIDALGO</v>
          </cell>
          <cell r="F578">
            <v>78</v>
          </cell>
          <cell r="G578">
            <v>4</v>
          </cell>
          <cell r="H578" t="str">
            <v>Romita</v>
          </cell>
          <cell r="I578">
            <v>30000</v>
          </cell>
          <cell r="J578" t="str">
            <v>Multigrado</v>
          </cell>
          <cell r="K578" t="str">
            <v>VALENCIANA DE GAVIA</v>
          </cell>
          <cell r="L578">
            <v>0</v>
          </cell>
          <cell r="M578" t="str">
            <v>VALENCIANA DE GAVIA</v>
          </cell>
          <cell r="T578" t="e">
            <v>#REF!</v>
          </cell>
        </row>
        <row r="579">
          <cell r="A579" t="str">
            <v>GAVIA DE RIONDA</v>
          </cell>
          <cell r="B579" t="str">
            <v>11DPR2971B</v>
          </cell>
          <cell r="C579" t="str">
            <v>X</v>
          </cell>
          <cell r="E579" t="str">
            <v>PROFR. MARIANO LEON AGUIRRE</v>
          </cell>
          <cell r="F579">
            <v>78</v>
          </cell>
          <cell r="G579">
            <v>4</v>
          </cell>
          <cell r="H579" t="str">
            <v>Romita</v>
          </cell>
          <cell r="I579">
            <v>30000</v>
          </cell>
          <cell r="J579" t="str">
            <v>Multigrado</v>
          </cell>
          <cell r="K579" t="str">
            <v>GAVIA DE RIONDA</v>
          </cell>
          <cell r="L579">
            <v>0</v>
          </cell>
          <cell r="M579" t="str">
            <v>GAVIA DE RIONDA</v>
          </cell>
          <cell r="T579" t="e">
            <v>#REF!</v>
          </cell>
        </row>
        <row r="580">
          <cell r="A580" t="str">
            <v>MEZQUITE GORDO</v>
          </cell>
          <cell r="B580" t="str">
            <v>11DJN1104O</v>
          </cell>
          <cell r="C580" t="str">
            <v>X</v>
          </cell>
          <cell r="E580" t="str">
            <v>DOMINGO FAUSTINO SARMIENTO</v>
          </cell>
          <cell r="F580">
            <v>85</v>
          </cell>
          <cell r="G580">
            <v>15</v>
          </cell>
          <cell r="H580" t="str">
            <v>Romita</v>
          </cell>
          <cell r="I580">
            <v>85000</v>
          </cell>
          <cell r="J580" t="str">
            <v>Completa</v>
          </cell>
          <cell r="K580" t="str">
            <v>MEZQUITE GORDO</v>
          </cell>
          <cell r="L580">
            <v>0</v>
          </cell>
          <cell r="M580" t="str">
            <v>MEZQUITE GORDO</v>
          </cell>
          <cell r="T580" t="e">
            <v>#REF!</v>
          </cell>
        </row>
        <row r="581">
          <cell r="A581" t="str">
            <v>LA SARDINA</v>
          </cell>
          <cell r="B581" t="str">
            <v>11DPR1744Z</v>
          </cell>
          <cell r="C581" t="str">
            <v>X</v>
          </cell>
          <cell r="E581" t="str">
            <v>GENERAL GONZALEZ ORTEGA</v>
          </cell>
          <cell r="F581">
            <v>78</v>
          </cell>
          <cell r="G581">
            <v>4</v>
          </cell>
          <cell r="H581" t="str">
            <v>Romita</v>
          </cell>
          <cell r="I581">
            <v>85000</v>
          </cell>
          <cell r="J581" t="str">
            <v>Completa</v>
          </cell>
          <cell r="K581" t="str">
            <v>LA SARDINA</v>
          </cell>
          <cell r="L581">
            <v>0</v>
          </cell>
          <cell r="M581" t="str">
            <v>LA SARDINA</v>
          </cell>
          <cell r="T581" t="e">
            <v>#REF!</v>
          </cell>
        </row>
        <row r="582">
          <cell r="A582" t="str">
            <v>EL ESCOPLO</v>
          </cell>
          <cell r="B582" t="str">
            <v>11DPR1766L</v>
          </cell>
          <cell r="C582" t="str">
            <v>X</v>
          </cell>
          <cell r="E582" t="str">
            <v>MARIANO MATAMOROS</v>
          </cell>
          <cell r="F582">
            <v>78</v>
          </cell>
          <cell r="G582">
            <v>4</v>
          </cell>
          <cell r="H582" t="str">
            <v>Romita</v>
          </cell>
          <cell r="I582">
            <v>30000</v>
          </cell>
          <cell r="J582" t="str">
            <v>Multigrado</v>
          </cell>
          <cell r="K582" t="str">
            <v>EL ESCOPLO</v>
          </cell>
          <cell r="L582">
            <v>0</v>
          </cell>
          <cell r="M582" t="str">
            <v>EL ESCOPLO</v>
          </cell>
          <cell r="T582" t="e">
            <v>#REF!</v>
          </cell>
        </row>
        <row r="583">
          <cell r="A583" t="str">
            <v>SILVA</v>
          </cell>
          <cell r="B583" t="str">
            <v>11DPR2603H</v>
          </cell>
          <cell r="C583" t="str">
            <v>X</v>
          </cell>
          <cell r="E583" t="str">
            <v>IGNACIO ZARAGOZA</v>
          </cell>
          <cell r="F583">
            <v>78</v>
          </cell>
          <cell r="G583">
            <v>4</v>
          </cell>
          <cell r="H583" t="str">
            <v>Romita</v>
          </cell>
          <cell r="I583">
            <v>25000</v>
          </cell>
          <cell r="J583" t="str">
            <v>Multigrado</v>
          </cell>
          <cell r="K583" t="str">
            <v>SILVA</v>
          </cell>
          <cell r="L583">
            <v>0</v>
          </cell>
          <cell r="M583" t="str">
            <v>SILVA</v>
          </cell>
          <cell r="T583" t="e">
            <v>#REF!</v>
          </cell>
        </row>
        <row r="584">
          <cell r="A584" t="str">
            <v>EL ESCOPLO</v>
          </cell>
          <cell r="B584" t="str">
            <v>11DPR2899I</v>
          </cell>
          <cell r="C584" t="str">
            <v>X</v>
          </cell>
          <cell r="E584" t="str">
            <v>JUAN DE LA BARRERA</v>
          </cell>
          <cell r="F584">
            <v>78</v>
          </cell>
          <cell r="G584">
            <v>4</v>
          </cell>
          <cell r="H584" t="str">
            <v>Romita</v>
          </cell>
          <cell r="I584">
            <v>30000</v>
          </cell>
          <cell r="J584" t="str">
            <v>Multigrado</v>
          </cell>
          <cell r="K584" t="str">
            <v>EL ESCOPLO</v>
          </cell>
          <cell r="L584">
            <v>0</v>
          </cell>
          <cell r="M584" t="str">
            <v>EL ESCOPLO</v>
          </cell>
          <cell r="T584" t="e">
            <v>#REF!</v>
          </cell>
        </row>
        <row r="585">
          <cell r="A585" t="str">
            <v>SAN GONZALO</v>
          </cell>
          <cell r="B585" t="str">
            <v>11DPR0676M</v>
          </cell>
          <cell r="C585" t="str">
            <v>X</v>
          </cell>
          <cell r="E585" t="str">
            <v>GENERAL EMILIANO ZAPATA</v>
          </cell>
          <cell r="F585">
            <v>78</v>
          </cell>
          <cell r="G585">
            <v>4</v>
          </cell>
          <cell r="H585" t="str">
            <v>Romita</v>
          </cell>
          <cell r="I585">
            <v>30000</v>
          </cell>
          <cell r="J585" t="str">
            <v>Multigrado</v>
          </cell>
          <cell r="K585" t="str">
            <v>SAN GONZALO</v>
          </cell>
          <cell r="L585">
            <v>0</v>
          </cell>
          <cell r="M585" t="str">
            <v>SAN GONZALO</v>
          </cell>
          <cell r="T585" t="e">
            <v>#REF!</v>
          </cell>
        </row>
        <row r="586">
          <cell r="A586" t="str">
            <v>ROMITA</v>
          </cell>
          <cell r="B586" t="str">
            <v>11DPR2045M</v>
          </cell>
          <cell r="C586" t="str">
            <v>X</v>
          </cell>
          <cell r="E586" t="str">
            <v>REVOLUCION MEXICANA</v>
          </cell>
          <cell r="F586">
            <v>78</v>
          </cell>
          <cell r="G586">
            <v>4</v>
          </cell>
          <cell r="H586" t="str">
            <v>Romita</v>
          </cell>
          <cell r="I586">
            <v>85000</v>
          </cell>
          <cell r="J586" t="str">
            <v>Completa</v>
          </cell>
          <cell r="K586" t="str">
            <v>CANDIDO NAVARRO NUM. 1</v>
          </cell>
          <cell r="L586">
            <v>0</v>
          </cell>
          <cell r="M586" t="str">
            <v>ROMITA</v>
          </cell>
          <cell r="T586" t="e">
            <v>#REF!</v>
          </cell>
        </row>
        <row r="587">
          <cell r="A587" t="str">
            <v>EL CAMALEON</v>
          </cell>
          <cell r="B587" t="str">
            <v>11DPR1980C</v>
          </cell>
          <cell r="C587" t="str">
            <v>X</v>
          </cell>
          <cell r="E587" t="str">
            <v>VENUSTIANO CARRANZA</v>
          </cell>
          <cell r="F587">
            <v>78</v>
          </cell>
          <cell r="G587">
            <v>4</v>
          </cell>
          <cell r="H587" t="str">
            <v>Romita</v>
          </cell>
          <cell r="I587">
            <v>25000</v>
          </cell>
          <cell r="J587" t="str">
            <v>Multigrado</v>
          </cell>
          <cell r="K587" t="str">
            <v>EL CAMALEON</v>
          </cell>
          <cell r="L587">
            <v>0</v>
          </cell>
          <cell r="M587" t="str">
            <v>EL CAMALEON</v>
          </cell>
          <cell r="T587" t="e">
            <v>#REF!</v>
          </cell>
        </row>
        <row r="588">
          <cell r="A588" t="str">
            <v>SAN ISIDRO OJO DE AGUA</v>
          </cell>
          <cell r="B588" t="str">
            <v>11DPR2044N</v>
          </cell>
          <cell r="C588" t="str">
            <v>X</v>
          </cell>
          <cell r="E588" t="str">
            <v>LIC. BENITO JUAREZ</v>
          </cell>
          <cell r="F588">
            <v>162</v>
          </cell>
          <cell r="G588">
            <v>4</v>
          </cell>
          <cell r="H588" t="str">
            <v>Romita</v>
          </cell>
          <cell r="I588">
            <v>30000</v>
          </cell>
          <cell r="J588" t="str">
            <v>Multigrado</v>
          </cell>
          <cell r="K588" t="str">
            <v>SAN ISIDRO OJO DE AGUA</v>
          </cell>
          <cell r="L588">
            <v>0</v>
          </cell>
          <cell r="M588" t="str">
            <v>SAN ISIDRO OJO DE AGUA</v>
          </cell>
          <cell r="T588" t="e">
            <v>#REF!</v>
          </cell>
        </row>
        <row r="589">
          <cell r="A589" t="str">
            <v>LA SARDINA</v>
          </cell>
          <cell r="B589" t="str">
            <v>11DPR2900H</v>
          </cell>
          <cell r="C589" t="str">
            <v>X</v>
          </cell>
          <cell r="E589" t="str">
            <v>VICENTE GUERRERO</v>
          </cell>
          <cell r="F589">
            <v>78</v>
          </cell>
          <cell r="G589">
            <v>4</v>
          </cell>
          <cell r="H589" t="str">
            <v>Romita</v>
          </cell>
          <cell r="I589">
            <v>30000</v>
          </cell>
          <cell r="J589" t="str">
            <v>Multigrado</v>
          </cell>
          <cell r="K589" t="str">
            <v>LA SARDINA</v>
          </cell>
          <cell r="L589">
            <v>0</v>
          </cell>
          <cell r="M589" t="str">
            <v>LA SARDINA</v>
          </cell>
          <cell r="T589" t="e">
            <v>#REF!</v>
          </cell>
        </row>
        <row r="590">
          <cell r="A590" t="str">
            <v>GAVIA DE RIONDA</v>
          </cell>
          <cell r="B590" t="str">
            <v>11DJN0231D</v>
          </cell>
          <cell r="C590" t="str">
            <v>X</v>
          </cell>
          <cell r="E590" t="str">
            <v>JUAN ENRIQUE PESTALOZZI</v>
          </cell>
          <cell r="F590">
            <v>85</v>
          </cell>
          <cell r="G590">
            <v>15</v>
          </cell>
          <cell r="H590" t="str">
            <v>Romita</v>
          </cell>
          <cell r="I590">
            <v>30000</v>
          </cell>
          <cell r="J590" t="str">
            <v>Multigrado</v>
          </cell>
          <cell r="K590" t="str">
            <v>GAVIA DE RIONDA</v>
          </cell>
          <cell r="L590">
            <v>0</v>
          </cell>
          <cell r="M590" t="str">
            <v>GAVIA DE RIONDA</v>
          </cell>
          <cell r="T590" t="e">
            <v>#REF!</v>
          </cell>
        </row>
        <row r="591">
          <cell r="A591" t="str">
            <v>MONTE DE HOYOS</v>
          </cell>
          <cell r="B591" t="str">
            <v>11DPR1760R</v>
          </cell>
          <cell r="C591" t="str">
            <v>X</v>
          </cell>
          <cell r="E591" t="str">
            <v>MIGUEL HIDALGO</v>
          </cell>
          <cell r="F591">
            <v>162</v>
          </cell>
          <cell r="G591">
            <v>4</v>
          </cell>
          <cell r="H591" t="str">
            <v>Romita</v>
          </cell>
          <cell r="I591">
            <v>85000</v>
          </cell>
          <cell r="J591" t="str">
            <v>Completa</v>
          </cell>
          <cell r="K591" t="str">
            <v>MONTE DE HOYOS</v>
          </cell>
          <cell r="L591">
            <v>0</v>
          </cell>
          <cell r="M591" t="str">
            <v>MONTE DE HOYOS</v>
          </cell>
          <cell r="T591" t="e">
            <v>#REF!</v>
          </cell>
        </row>
        <row r="592">
          <cell r="A592" t="str">
            <v>SAN GONZALO</v>
          </cell>
          <cell r="B592" t="str">
            <v>11EJN0327P</v>
          </cell>
          <cell r="D592" t="str">
            <v>X</v>
          </cell>
          <cell r="E592" t="str">
            <v>PADRE DE LA PATRIA</v>
          </cell>
          <cell r="F592">
            <v>511</v>
          </cell>
          <cell r="G592">
            <v>5</v>
          </cell>
          <cell r="H592" t="str">
            <v>Romita</v>
          </cell>
          <cell r="I592">
            <v>30000</v>
          </cell>
          <cell r="J592" t="str">
            <v>Multigrado</v>
          </cell>
          <cell r="K592" t="str">
            <v>SAN GONZALO</v>
          </cell>
          <cell r="L592">
            <v>0</v>
          </cell>
          <cell r="M592" t="str">
            <v>SAN GONZALO</v>
          </cell>
          <cell r="T592" t="e">
            <v>#REF!</v>
          </cell>
        </row>
        <row r="593">
          <cell r="A593" t="str">
            <v>ROMITA</v>
          </cell>
          <cell r="B593" t="str">
            <v>11DJN2705O</v>
          </cell>
          <cell r="C593" t="str">
            <v>X</v>
          </cell>
          <cell r="E593" t="str">
            <v>CUAUHTEMOC</v>
          </cell>
          <cell r="F593">
            <v>85</v>
          </cell>
          <cell r="G593">
            <v>15</v>
          </cell>
          <cell r="H593" t="str">
            <v>Romita</v>
          </cell>
          <cell r="I593">
            <v>30000</v>
          </cell>
          <cell r="J593" t="str">
            <v>Multigrado</v>
          </cell>
          <cell r="K593" t="str">
            <v>ROMA S/N</v>
          </cell>
          <cell r="L593" t="str">
            <v>COLONIA ROMA</v>
          </cell>
          <cell r="M593" t="str">
            <v>ROMITA</v>
          </cell>
          <cell r="T593" t="e">
            <v>#REF!</v>
          </cell>
        </row>
        <row r="594">
          <cell r="A594" t="str">
            <v>ROMITA</v>
          </cell>
          <cell r="B594" t="str">
            <v>11DPR2048J</v>
          </cell>
          <cell r="C594" t="str">
            <v>X</v>
          </cell>
          <cell r="E594" t="str">
            <v>FRANCISCO I. MADERO</v>
          </cell>
          <cell r="F594">
            <v>22</v>
          </cell>
          <cell r="G594">
            <v>4</v>
          </cell>
          <cell r="H594" t="str">
            <v>Romita</v>
          </cell>
          <cell r="I594">
            <v>85000</v>
          </cell>
          <cell r="J594" t="str">
            <v>Completa</v>
          </cell>
          <cell r="K594" t="str">
            <v>AVENIDA ALLENDE NUM. 88</v>
          </cell>
          <cell r="L594" t="str">
            <v>CENTRO</v>
          </cell>
          <cell r="M594" t="str">
            <v>ROMITA</v>
          </cell>
          <cell r="T594" t="e">
            <v>#REF!</v>
          </cell>
        </row>
        <row r="595">
          <cell r="A595" t="str">
            <v>LA CASETA</v>
          </cell>
          <cell r="B595" t="str">
            <v>11DPR2789C</v>
          </cell>
          <cell r="C595" t="str">
            <v>X</v>
          </cell>
          <cell r="E595" t="str">
            <v>INSURGENTES PIPILA</v>
          </cell>
          <cell r="F595">
            <v>22</v>
          </cell>
          <cell r="G595">
            <v>4</v>
          </cell>
          <cell r="H595" t="str">
            <v>Romita</v>
          </cell>
          <cell r="I595">
            <v>30000</v>
          </cell>
          <cell r="J595" t="str">
            <v>Multigrado</v>
          </cell>
          <cell r="K595" t="str">
            <v>LA CASETA</v>
          </cell>
          <cell r="L595">
            <v>0</v>
          </cell>
          <cell r="M595" t="str">
            <v>LA CASETA</v>
          </cell>
          <cell r="T595" t="e">
            <v>#REF!</v>
          </cell>
        </row>
        <row r="596">
          <cell r="A596" t="str">
            <v>ROMITA</v>
          </cell>
          <cell r="B596" t="str">
            <v>11DJN0071G</v>
          </cell>
          <cell r="E596" t="str">
            <v>GUADALUPE VICTORIA</v>
          </cell>
          <cell r="F596">
            <v>85</v>
          </cell>
          <cell r="G596">
            <v>15</v>
          </cell>
          <cell r="H596" t="str">
            <v>Romita</v>
          </cell>
          <cell r="I596">
            <v>85000</v>
          </cell>
          <cell r="J596" t="str">
            <v>Completa</v>
          </cell>
          <cell r="K596" t="str">
            <v>5 DE FEBRERO S/N</v>
          </cell>
          <cell r="L596">
            <v>0</v>
          </cell>
          <cell r="M596" t="str">
            <v>ROMITA</v>
          </cell>
          <cell r="T596" t="e">
            <v>#REF!</v>
          </cell>
        </row>
        <row r="597">
          <cell r="A597" t="str">
            <v>EL JAGüEY</v>
          </cell>
          <cell r="B597" t="str">
            <v>11DJN2509M</v>
          </cell>
          <cell r="C597" t="str">
            <v>X</v>
          </cell>
          <cell r="E597" t="str">
            <v>AMADO NERVO</v>
          </cell>
          <cell r="F597">
            <v>85</v>
          </cell>
          <cell r="G597">
            <v>15</v>
          </cell>
          <cell r="H597" t="str">
            <v>Romita</v>
          </cell>
          <cell r="I597">
            <v>30000</v>
          </cell>
          <cell r="J597" t="str">
            <v>Multigrado</v>
          </cell>
          <cell r="K597" t="str">
            <v>EL JAGUEY</v>
          </cell>
          <cell r="L597">
            <v>0</v>
          </cell>
          <cell r="M597" t="str">
            <v>EL JAGüEY</v>
          </cell>
          <cell r="T597" t="e">
            <v>#REF!</v>
          </cell>
        </row>
        <row r="598">
          <cell r="A598" t="str">
            <v>TIERRAS BLANCAS</v>
          </cell>
          <cell r="B598" t="str">
            <v>11DPR2126X</v>
          </cell>
          <cell r="D598" t="str">
            <v>X</v>
          </cell>
          <cell r="E598" t="str">
            <v>VICENTE GUERRERO</v>
          </cell>
          <cell r="F598">
            <v>162</v>
          </cell>
          <cell r="G598">
            <v>4</v>
          </cell>
          <cell r="H598" t="str">
            <v>Romita</v>
          </cell>
          <cell r="I598">
            <v>30000</v>
          </cell>
          <cell r="J598" t="str">
            <v>Multigrado</v>
          </cell>
          <cell r="K598" t="str">
            <v>TIERRAS BLANCAS</v>
          </cell>
          <cell r="L598">
            <v>0</v>
          </cell>
          <cell r="M598" t="str">
            <v>TIERRAS BLANCAS</v>
          </cell>
          <cell r="T598" t="e">
            <v>#REF!</v>
          </cell>
        </row>
        <row r="599">
          <cell r="A599" t="str">
            <v>LAS LAJAS</v>
          </cell>
          <cell r="B599" t="str">
            <v>11DPR2743H</v>
          </cell>
          <cell r="C599" t="str">
            <v>X</v>
          </cell>
          <cell r="E599" t="str">
            <v>NIÑO ARTILLERO</v>
          </cell>
          <cell r="F599">
            <v>162</v>
          </cell>
          <cell r="G599">
            <v>4</v>
          </cell>
          <cell r="H599" t="str">
            <v>Romita</v>
          </cell>
          <cell r="I599">
            <v>30000</v>
          </cell>
          <cell r="J599" t="str">
            <v>Multigrado</v>
          </cell>
          <cell r="K599" t="str">
            <v>LAS LAJAS</v>
          </cell>
          <cell r="L599">
            <v>0</v>
          </cell>
          <cell r="M599" t="str">
            <v>LAS LAJAS</v>
          </cell>
          <cell r="T599" t="e">
            <v>#REF!</v>
          </cell>
        </row>
        <row r="600">
          <cell r="A600" t="str">
            <v>SAN ANTONIO CERRO PRIETO (CERRO PRIETO)</v>
          </cell>
          <cell r="B600" t="str">
            <v>11DJN0205F</v>
          </cell>
          <cell r="C600" t="str">
            <v>X</v>
          </cell>
          <cell r="E600" t="str">
            <v>FRANCISCO I. MADERO</v>
          </cell>
          <cell r="F600">
            <v>85</v>
          </cell>
          <cell r="G600">
            <v>15</v>
          </cell>
          <cell r="H600" t="str">
            <v>Romita</v>
          </cell>
          <cell r="I600">
            <v>30000</v>
          </cell>
          <cell r="J600" t="str">
            <v>Multigrado</v>
          </cell>
          <cell r="K600" t="str">
            <v>CERRO PRIETO</v>
          </cell>
          <cell r="L600">
            <v>0</v>
          </cell>
          <cell r="M600" t="str">
            <v>SAN ANTONIO CERRO PRIETO (CERRO PRIETO)</v>
          </cell>
          <cell r="T600" t="e">
            <v>#REF!</v>
          </cell>
        </row>
        <row r="601">
          <cell r="A601" t="str">
            <v>LA SARDINA</v>
          </cell>
          <cell r="B601" t="str">
            <v>11DJN0209B</v>
          </cell>
          <cell r="D601" t="str">
            <v>X</v>
          </cell>
          <cell r="E601" t="str">
            <v>JOSE MARIA LICEAGA</v>
          </cell>
          <cell r="F601">
            <v>85</v>
          </cell>
          <cell r="G601">
            <v>15</v>
          </cell>
          <cell r="H601" t="str">
            <v>Romita</v>
          </cell>
          <cell r="I601">
            <v>85000</v>
          </cell>
          <cell r="J601" t="str">
            <v>Completa</v>
          </cell>
          <cell r="K601" t="str">
            <v>LA SARDINA</v>
          </cell>
          <cell r="L601">
            <v>0</v>
          </cell>
          <cell r="M601" t="str">
            <v>LA SARDINA</v>
          </cell>
          <cell r="T601" t="e">
            <v>#REF!</v>
          </cell>
        </row>
        <row r="602">
          <cell r="A602" t="str">
            <v>EL ESCOPLO</v>
          </cell>
          <cell r="B602" t="str">
            <v>11DJN1103P</v>
          </cell>
          <cell r="D602" t="str">
            <v>X</v>
          </cell>
          <cell r="E602" t="str">
            <v>MARIA DE MAEZTU</v>
          </cell>
          <cell r="F602">
            <v>85</v>
          </cell>
          <cell r="G602">
            <v>15</v>
          </cell>
          <cell r="H602" t="str">
            <v>Romita</v>
          </cell>
          <cell r="I602">
            <v>30000</v>
          </cell>
          <cell r="J602" t="str">
            <v>Multigrado</v>
          </cell>
          <cell r="K602" t="str">
            <v>EL ESCOPLO</v>
          </cell>
          <cell r="L602">
            <v>0</v>
          </cell>
          <cell r="M602" t="str">
            <v>EL ESCOPLO</v>
          </cell>
          <cell r="T602" t="e">
            <v>#REF!</v>
          </cell>
        </row>
        <row r="603">
          <cell r="A603" t="str">
            <v>ROMITA</v>
          </cell>
          <cell r="B603" t="str">
            <v>11DJN2505Q</v>
          </cell>
          <cell r="D603" t="str">
            <v>X</v>
          </cell>
          <cell r="E603" t="str">
            <v>IGNACIO LOPEZ RAYON</v>
          </cell>
          <cell r="F603">
            <v>85</v>
          </cell>
          <cell r="G603">
            <v>15</v>
          </cell>
          <cell r="H603" t="str">
            <v>Romita</v>
          </cell>
          <cell r="I603">
            <v>85000</v>
          </cell>
          <cell r="J603" t="str">
            <v>Completa</v>
          </cell>
          <cell r="K603" t="str">
            <v>TARAHUMARAS S/N</v>
          </cell>
          <cell r="L603" t="str">
            <v>CUAUHTEMOC</v>
          </cell>
          <cell r="M603" t="str">
            <v>ROMITA</v>
          </cell>
          <cell r="T603" t="e">
            <v>#REF!</v>
          </cell>
        </row>
        <row r="604">
          <cell r="A604" t="str">
            <v>SAN ANTONIO CERRO PRIETO (CERRO PRIETO)</v>
          </cell>
          <cell r="B604" t="str">
            <v>11DPR1764N</v>
          </cell>
          <cell r="C604" t="str">
            <v>X</v>
          </cell>
          <cell r="E604" t="str">
            <v>GREGORIO TORRES QUINTERO</v>
          </cell>
          <cell r="F604">
            <v>162</v>
          </cell>
          <cell r="G604">
            <v>4</v>
          </cell>
          <cell r="H604" t="str">
            <v>Romita</v>
          </cell>
          <cell r="I604">
            <v>85000</v>
          </cell>
          <cell r="J604" t="str">
            <v>Completa</v>
          </cell>
          <cell r="K604" t="str">
            <v>SAN ANTONIO CERRO PRIETO</v>
          </cell>
          <cell r="L604">
            <v>0</v>
          </cell>
          <cell r="M604" t="str">
            <v>SAN ANTONIO CERRO PRIETO (CERRO PRIETO)</v>
          </cell>
          <cell r="T604" t="e">
            <v>#REF!</v>
          </cell>
        </row>
        <row r="605">
          <cell r="A605" t="str">
            <v>GAVIA DE RIVAS</v>
          </cell>
          <cell r="B605" t="str">
            <v>11DPR3730K</v>
          </cell>
          <cell r="C605" t="str">
            <v>X</v>
          </cell>
          <cell r="E605" t="str">
            <v>JUANA DE ASBAJE</v>
          </cell>
          <cell r="F605">
            <v>78</v>
          </cell>
          <cell r="G605">
            <v>4</v>
          </cell>
          <cell r="H605" t="str">
            <v>Romita</v>
          </cell>
          <cell r="I605">
            <v>30000</v>
          </cell>
          <cell r="J605" t="str">
            <v>Multigrado</v>
          </cell>
          <cell r="K605" t="str">
            <v>GAVIA DE RIVAS</v>
          </cell>
          <cell r="L605">
            <v>0</v>
          </cell>
          <cell r="M605" t="str">
            <v>GAVIA DE RIVAS</v>
          </cell>
          <cell r="T605" t="e">
            <v>#REF!</v>
          </cell>
        </row>
        <row r="606">
          <cell r="A606" t="str">
            <v>EL CAMALEON</v>
          </cell>
          <cell r="B606" t="str">
            <v>11ETV0905N</v>
          </cell>
          <cell r="D606" t="str">
            <v>X</v>
          </cell>
          <cell r="E606" t="str">
            <v>QUETZALCOATL</v>
          </cell>
          <cell r="F606">
            <v>533</v>
          </cell>
          <cell r="G606">
            <v>5</v>
          </cell>
          <cell r="H606" t="str">
            <v>Romita</v>
          </cell>
          <cell r="I606">
            <v>85000</v>
          </cell>
          <cell r="J606" t="str">
            <v>Completa</v>
          </cell>
          <cell r="K606" t="str">
            <v>EL CAMALEON</v>
          </cell>
          <cell r="L606">
            <v>0</v>
          </cell>
          <cell r="M606" t="str">
            <v>EL CAMALEON</v>
          </cell>
          <cell r="T606" t="e">
            <v>#REF!</v>
          </cell>
        </row>
        <row r="607">
          <cell r="A607" t="str">
            <v>MONTE DE HOYOS</v>
          </cell>
          <cell r="B607" t="str">
            <v>11DJN0321W</v>
          </cell>
          <cell r="C607" t="str">
            <v>X</v>
          </cell>
          <cell r="E607" t="str">
            <v>JUAN RUIZ DE ALARCON</v>
          </cell>
          <cell r="F607">
            <v>85</v>
          </cell>
          <cell r="G607">
            <v>15</v>
          </cell>
          <cell r="H607" t="str">
            <v>Romita</v>
          </cell>
          <cell r="I607">
            <v>30000</v>
          </cell>
          <cell r="J607" t="str">
            <v>Multigrado</v>
          </cell>
          <cell r="K607" t="str">
            <v>MONTE DE HOYOS</v>
          </cell>
          <cell r="L607">
            <v>0</v>
          </cell>
          <cell r="M607" t="str">
            <v>MONTE DE HOYOS</v>
          </cell>
          <cell r="T607" t="e">
            <v>#REF!</v>
          </cell>
        </row>
        <row r="608">
          <cell r="A608" t="str">
            <v>SANTA EFIGENIA</v>
          </cell>
          <cell r="B608" t="str">
            <v>11DJN0326R</v>
          </cell>
          <cell r="C608" t="str">
            <v>X</v>
          </cell>
          <cell r="E608" t="str">
            <v>ERASMO CASTELLANOS QUINTO</v>
          </cell>
          <cell r="F608">
            <v>85</v>
          </cell>
          <cell r="G608">
            <v>15</v>
          </cell>
          <cell r="H608" t="str">
            <v>Romita</v>
          </cell>
          <cell r="I608">
            <v>30000</v>
          </cell>
          <cell r="J608" t="str">
            <v>Multigrado</v>
          </cell>
          <cell r="K608" t="str">
            <v>SANTA EFIGENIA</v>
          </cell>
          <cell r="L608">
            <v>0</v>
          </cell>
          <cell r="M608" t="str">
            <v>SANTA EFIGENIA</v>
          </cell>
          <cell r="T608" t="e">
            <v>#REF!</v>
          </cell>
        </row>
        <row r="609">
          <cell r="A609" t="str">
            <v>LOS AMOLES</v>
          </cell>
          <cell r="B609" t="str">
            <v>11DPR1950I</v>
          </cell>
          <cell r="C609" t="str">
            <v>X</v>
          </cell>
          <cell r="E609" t="str">
            <v>MONTES DE OCA</v>
          </cell>
          <cell r="F609">
            <v>162</v>
          </cell>
          <cell r="G609">
            <v>4</v>
          </cell>
          <cell r="H609" t="str">
            <v>Romita</v>
          </cell>
          <cell r="I609">
            <v>82000</v>
          </cell>
          <cell r="J609" t="str">
            <v>Completa</v>
          </cell>
          <cell r="K609" t="str">
            <v>LOS AMOLES</v>
          </cell>
          <cell r="L609">
            <v>0</v>
          </cell>
          <cell r="M609" t="str">
            <v>LOS AMOLES</v>
          </cell>
          <cell r="T609" t="e">
            <v>#REF!</v>
          </cell>
        </row>
        <row r="610">
          <cell r="A610" t="str">
            <v>EL CARMEN DE SANCHEZ (LA PONZOÑA)</v>
          </cell>
          <cell r="B610" t="str">
            <v>11ETV0733L</v>
          </cell>
          <cell r="D610" t="str">
            <v>X</v>
          </cell>
          <cell r="E610" t="str">
            <v>JUAN ESCUTIA</v>
          </cell>
          <cell r="F610">
            <v>533</v>
          </cell>
          <cell r="G610">
            <v>5</v>
          </cell>
          <cell r="H610" t="str">
            <v>Romita</v>
          </cell>
          <cell r="I610">
            <v>85000</v>
          </cell>
          <cell r="J610" t="str">
            <v>Completa</v>
          </cell>
          <cell r="K610" t="str">
            <v>CARMEN DE SANCHEZ</v>
          </cell>
          <cell r="L610">
            <v>0</v>
          </cell>
          <cell r="M610" t="str">
            <v>EL CARMEN DE SANCHEZ (LA PONZOÑA)</v>
          </cell>
          <cell r="T610" t="e">
            <v>#REF!</v>
          </cell>
        </row>
        <row r="611">
          <cell r="A611" t="str">
            <v>ROMITA</v>
          </cell>
          <cell r="B611" t="str">
            <v>11DJN3433U</v>
          </cell>
          <cell r="C611" t="str">
            <v>X</v>
          </cell>
          <cell r="E611" t="str">
            <v>ROSAURA ZAPATA CANO</v>
          </cell>
          <cell r="F611">
            <v>85</v>
          </cell>
          <cell r="G611">
            <v>15</v>
          </cell>
          <cell r="H611" t="str">
            <v>Romita</v>
          </cell>
          <cell r="I611">
            <v>30000</v>
          </cell>
          <cell r="J611" t="str">
            <v>Multigrado</v>
          </cell>
          <cell r="K611" t="str">
            <v>AVENIDA ARBOL GRANDE S/N</v>
          </cell>
          <cell r="L611" t="str">
            <v>CAMPO VERDE</v>
          </cell>
          <cell r="M611" t="str">
            <v>ROMITA</v>
          </cell>
          <cell r="T611" t="e">
            <v>#REF!</v>
          </cell>
        </row>
        <row r="612">
          <cell r="A612" t="str">
            <v>SAN CLEMENTE</v>
          </cell>
          <cell r="B612" t="str">
            <v>11DJN2698V</v>
          </cell>
          <cell r="C612" t="str">
            <v>X</v>
          </cell>
          <cell r="E612" t="str">
            <v>EMILIANO ZAPATA</v>
          </cell>
          <cell r="F612">
            <v>85</v>
          </cell>
          <cell r="G612">
            <v>15</v>
          </cell>
          <cell r="H612" t="str">
            <v>Romita</v>
          </cell>
          <cell r="I612">
            <v>30000</v>
          </cell>
          <cell r="J612" t="str">
            <v>Multigrado</v>
          </cell>
          <cell r="K612" t="str">
            <v>SAN CLEMENTE</v>
          </cell>
          <cell r="L612">
            <v>0</v>
          </cell>
          <cell r="M612" t="str">
            <v>SAN CLEMENTE</v>
          </cell>
          <cell r="T612" t="e">
            <v>#REF!</v>
          </cell>
        </row>
        <row r="613">
          <cell r="A613" t="str">
            <v>SAN ISIDRO OJO DE AGUA</v>
          </cell>
          <cell r="B613" t="str">
            <v>11DJN2907K</v>
          </cell>
          <cell r="C613" t="str">
            <v>X</v>
          </cell>
          <cell r="E613" t="str">
            <v>RABINDRANATH TAGORE</v>
          </cell>
          <cell r="F613">
            <v>85</v>
          </cell>
          <cell r="G613">
            <v>15</v>
          </cell>
          <cell r="H613" t="str">
            <v>Romita</v>
          </cell>
          <cell r="I613">
            <v>30000</v>
          </cell>
          <cell r="J613" t="str">
            <v>Multigrado</v>
          </cell>
          <cell r="K613" t="str">
            <v>OJO DE AGUA</v>
          </cell>
          <cell r="L613">
            <v>0</v>
          </cell>
          <cell r="M613" t="str">
            <v>SAN ISIDRO OJO DE AGUA</v>
          </cell>
          <cell r="T613" t="e">
            <v>#REF!</v>
          </cell>
        </row>
        <row r="614">
          <cell r="A614" t="str">
            <v>SANTA ROSA DE RIVAS</v>
          </cell>
          <cell r="B614" t="str">
            <v>11DJN1048M</v>
          </cell>
          <cell r="D614" t="str">
            <v>X</v>
          </cell>
          <cell r="E614" t="str">
            <v>NETZAHUALCOYOTL</v>
          </cell>
          <cell r="F614">
            <v>85</v>
          </cell>
          <cell r="G614">
            <v>15</v>
          </cell>
          <cell r="H614" t="str">
            <v>Romita</v>
          </cell>
          <cell r="I614">
            <v>85000</v>
          </cell>
          <cell r="J614" t="str">
            <v>Completa</v>
          </cell>
          <cell r="K614" t="str">
            <v>SANTA ROSA DE RIVAS</v>
          </cell>
          <cell r="L614">
            <v>0</v>
          </cell>
          <cell r="M614" t="str">
            <v>SANTA ROSA DE RIVAS</v>
          </cell>
          <cell r="T614" t="e">
            <v>#REF!</v>
          </cell>
        </row>
        <row r="615">
          <cell r="A615" t="str">
            <v>SAN ANTONIO LOMA DE PORTILLO</v>
          </cell>
          <cell r="B615" t="str">
            <v>11ETV0591D</v>
          </cell>
          <cell r="D615" t="str">
            <v>X</v>
          </cell>
          <cell r="E615" t="str">
            <v>FRIDA KAHLO</v>
          </cell>
          <cell r="F615">
            <v>533</v>
          </cell>
          <cell r="G615">
            <v>5</v>
          </cell>
          <cell r="H615" t="str">
            <v>Romita</v>
          </cell>
          <cell r="I615">
            <v>85000</v>
          </cell>
          <cell r="J615" t="str">
            <v>Completa</v>
          </cell>
          <cell r="K615" t="str">
            <v>LOMA DE PORTILLO</v>
          </cell>
          <cell r="L615">
            <v>0</v>
          </cell>
          <cell r="M615" t="str">
            <v>SAN ANTONIO LOMA DE PORTILLO</v>
          </cell>
          <cell r="T615" t="e">
            <v>#REF!</v>
          </cell>
        </row>
        <row r="616">
          <cell r="A616" t="str">
            <v>LOS AMOLES</v>
          </cell>
          <cell r="B616" t="str">
            <v>11DJN0900D</v>
          </cell>
          <cell r="D616" t="str">
            <v>X</v>
          </cell>
          <cell r="E616" t="str">
            <v>JOSE DE JESUS FLORES ESTRADA</v>
          </cell>
          <cell r="F616">
            <v>85</v>
          </cell>
          <cell r="G616">
            <v>15</v>
          </cell>
          <cell r="H616" t="str">
            <v>Romita</v>
          </cell>
          <cell r="I616">
            <v>30000</v>
          </cell>
          <cell r="J616" t="str">
            <v>Multigrado</v>
          </cell>
          <cell r="K616" t="str">
            <v>LOS AMOLES</v>
          </cell>
          <cell r="L616">
            <v>0</v>
          </cell>
          <cell r="M616" t="str">
            <v>LOS AMOLES</v>
          </cell>
          <cell r="T616" t="e">
            <v>#REF!</v>
          </cell>
        </row>
        <row r="617">
          <cell r="A617" t="str">
            <v>SAN GONZALO</v>
          </cell>
          <cell r="B617" t="str">
            <v>11ETV0736I</v>
          </cell>
          <cell r="D617" t="str">
            <v>X</v>
          </cell>
          <cell r="E617" t="str">
            <v>EMILIANO ZAPATA</v>
          </cell>
          <cell r="F617">
            <v>533</v>
          </cell>
          <cell r="G617">
            <v>5</v>
          </cell>
          <cell r="H617" t="str">
            <v>Romita</v>
          </cell>
          <cell r="I617">
            <v>85000</v>
          </cell>
          <cell r="J617" t="str">
            <v>Completa</v>
          </cell>
          <cell r="K617" t="str">
            <v>SAN GONZALO</v>
          </cell>
          <cell r="L617">
            <v>0</v>
          </cell>
          <cell r="M617" t="str">
            <v>SAN GONZALO</v>
          </cell>
          <cell r="T617" t="e">
            <v>#REF!</v>
          </cell>
        </row>
        <row r="618">
          <cell r="A618" t="str">
            <v>SAN JOSE DE LA ANGOSTURA (EJIDO PASO DE LEON)</v>
          </cell>
          <cell r="B618" t="str">
            <v>11DJN2818R</v>
          </cell>
          <cell r="D618" t="str">
            <v>X</v>
          </cell>
          <cell r="E618" t="str">
            <v>JEAN PIAGET</v>
          </cell>
          <cell r="F618">
            <v>85</v>
          </cell>
          <cell r="G618">
            <v>15</v>
          </cell>
          <cell r="H618" t="str">
            <v>Romita</v>
          </cell>
          <cell r="I618">
            <v>30000</v>
          </cell>
          <cell r="J618" t="str">
            <v>Multigrado</v>
          </cell>
          <cell r="K618" t="str">
            <v>LA ANGOSTURA</v>
          </cell>
          <cell r="L618">
            <v>0</v>
          </cell>
          <cell r="M618" t="str">
            <v>SAN JOSE DE LA ANGOSTURA (EJIDO PASO DE LEON)</v>
          </cell>
          <cell r="T618" t="e">
            <v>#REF!</v>
          </cell>
        </row>
        <row r="619">
          <cell r="A619" t="str">
            <v>SAN ISIDRO OJO DE AGUA</v>
          </cell>
          <cell r="B619" t="str">
            <v>11ETV0872M</v>
          </cell>
          <cell r="D619" t="str">
            <v>X</v>
          </cell>
          <cell r="E619" t="str">
            <v>ALVARO OBREGON SALIDO</v>
          </cell>
          <cell r="F619">
            <v>533</v>
          </cell>
          <cell r="G619">
            <v>5</v>
          </cell>
          <cell r="H619" t="str">
            <v>Romita</v>
          </cell>
          <cell r="I619">
            <v>85000</v>
          </cell>
          <cell r="J619" t="str">
            <v>Completa</v>
          </cell>
          <cell r="K619" t="str">
            <v>SAN ISIDRO OJO DE AGUA</v>
          </cell>
          <cell r="L619">
            <v>0</v>
          </cell>
          <cell r="M619" t="str">
            <v>SAN ISIDRO OJO DE AGUA</v>
          </cell>
          <cell r="T619" t="e">
            <v>#REF!</v>
          </cell>
        </row>
        <row r="620">
          <cell r="A620" t="str">
            <v>EL MARMOL</v>
          </cell>
          <cell r="B620" t="str">
            <v>11DJN2783S</v>
          </cell>
          <cell r="D620" t="str">
            <v>X</v>
          </cell>
          <cell r="E620" t="str">
            <v>CANDIDO NAVARRO</v>
          </cell>
          <cell r="F620">
            <v>85</v>
          </cell>
          <cell r="G620">
            <v>15</v>
          </cell>
          <cell r="H620" t="str">
            <v>Romita</v>
          </cell>
          <cell r="I620">
            <v>30000</v>
          </cell>
          <cell r="J620" t="str">
            <v>Multigrado</v>
          </cell>
          <cell r="K620" t="str">
            <v>EL MARMOL</v>
          </cell>
          <cell r="L620">
            <v>0</v>
          </cell>
          <cell r="M620" t="str">
            <v>EL MARMOL</v>
          </cell>
          <cell r="T620" t="e">
            <v>#REF!</v>
          </cell>
        </row>
        <row r="621">
          <cell r="A621" t="str">
            <v>EL CARMEN DE SANCHEZ (LA PONZOÑA)</v>
          </cell>
          <cell r="B621" t="str">
            <v>11DJN2782T</v>
          </cell>
          <cell r="C621" t="str">
            <v>X</v>
          </cell>
          <cell r="E621" t="str">
            <v>CANDIDO NAVARRO</v>
          </cell>
          <cell r="F621">
            <v>85</v>
          </cell>
          <cell r="G621">
            <v>15</v>
          </cell>
          <cell r="H621" t="str">
            <v>Romita</v>
          </cell>
          <cell r="I621">
            <v>30000</v>
          </cell>
          <cell r="J621" t="str">
            <v>Multigrado</v>
          </cell>
          <cell r="K621" t="str">
            <v>CARMEN DE SANCHEZ</v>
          </cell>
          <cell r="L621">
            <v>0</v>
          </cell>
          <cell r="M621" t="str">
            <v>EL CARMEN DE SANCHEZ (LA PONZOÑA)</v>
          </cell>
          <cell r="T621" t="e">
            <v>#REF!</v>
          </cell>
        </row>
        <row r="622">
          <cell r="A622" t="str">
            <v>MEZQUITE GORDO</v>
          </cell>
          <cell r="B622" t="str">
            <v>11ETV0227F</v>
          </cell>
          <cell r="C622" t="str">
            <v>X</v>
          </cell>
          <cell r="E622" t="str">
            <v>JAIME TORRES BODET</v>
          </cell>
          <cell r="F622">
            <v>533</v>
          </cell>
          <cell r="G622">
            <v>5</v>
          </cell>
          <cell r="H622" t="str">
            <v>Romita</v>
          </cell>
          <cell r="I622">
            <v>48000</v>
          </cell>
          <cell r="J622" t="str">
            <v>Completa</v>
          </cell>
          <cell r="K622" t="str">
            <v>MEZQUITE GORDO</v>
          </cell>
          <cell r="L622">
            <v>0</v>
          </cell>
          <cell r="M622" t="str">
            <v>MEZQUITE GORDO</v>
          </cell>
          <cell r="T622" t="e">
            <v>#REF!</v>
          </cell>
        </row>
        <row r="623">
          <cell r="A623" t="str">
            <v>SANTA ROSALIA DE GAVIA (SANTA ROSALIA)</v>
          </cell>
          <cell r="B623" t="str">
            <v>11DJN4132E</v>
          </cell>
          <cell r="C623" t="str">
            <v>X</v>
          </cell>
          <cell r="E623" t="str">
            <v>JOSE ANTONIO TORRES</v>
          </cell>
          <cell r="F623">
            <v>85</v>
          </cell>
          <cell r="G623">
            <v>15</v>
          </cell>
          <cell r="H623" t="str">
            <v>Romita</v>
          </cell>
          <cell r="I623">
            <v>30000</v>
          </cell>
          <cell r="J623" t="str">
            <v>Multigrado</v>
          </cell>
          <cell r="K623" t="str">
            <v>SANTA ROSALIA DE GAVIA</v>
          </cell>
          <cell r="L623">
            <v>0</v>
          </cell>
          <cell r="M623" t="str">
            <v>SANTA ROSALIA DE GAVIA (SANTA ROSALIA)</v>
          </cell>
          <cell r="T623" t="e">
            <v>#REF!</v>
          </cell>
        </row>
        <row r="624">
          <cell r="A624" t="str">
            <v>LA CRUZ DE AGUILAR</v>
          </cell>
          <cell r="B624" t="str">
            <v>11DJN0939P</v>
          </cell>
          <cell r="C624" t="str">
            <v>X</v>
          </cell>
          <cell r="E624" t="str">
            <v>30 DE ABRIL DIA DEL NIÑO</v>
          </cell>
          <cell r="F624">
            <v>85</v>
          </cell>
          <cell r="G624">
            <v>15</v>
          </cell>
          <cell r="H624" t="str">
            <v>Romita</v>
          </cell>
          <cell r="I624">
            <v>30000</v>
          </cell>
          <cell r="J624" t="str">
            <v>Multigrado</v>
          </cell>
          <cell r="K624" t="str">
            <v>CRUZ DE AGUILAR</v>
          </cell>
          <cell r="L624">
            <v>0</v>
          </cell>
          <cell r="M624" t="str">
            <v>LA CRUZ DE AGUILAR</v>
          </cell>
          <cell r="T624" t="e">
            <v>#REF!</v>
          </cell>
        </row>
        <row r="625">
          <cell r="A625" t="str">
            <v>LUZ DE SILVA</v>
          </cell>
          <cell r="B625" t="str">
            <v>11DJN4217L</v>
          </cell>
          <cell r="C625" t="str">
            <v>X</v>
          </cell>
          <cell r="E625" t="str">
            <v>IGNACIO ZARAGOZA</v>
          </cell>
          <cell r="F625">
            <v>85</v>
          </cell>
          <cell r="G625">
            <v>15</v>
          </cell>
          <cell r="H625" t="str">
            <v>Romita</v>
          </cell>
          <cell r="I625">
            <v>30000</v>
          </cell>
          <cell r="J625" t="str">
            <v>Multigrado</v>
          </cell>
          <cell r="K625" t="str">
            <v>LUZ DE SILVA</v>
          </cell>
          <cell r="L625">
            <v>0</v>
          </cell>
          <cell r="M625" t="str">
            <v>LUZ DE SILVA</v>
          </cell>
          <cell r="T625" t="e">
            <v>#REF!</v>
          </cell>
        </row>
        <row r="626">
          <cell r="A626" t="str">
            <v>LA CRUZ DE AGUILAR</v>
          </cell>
          <cell r="B626" t="str">
            <v>11DPR1763O</v>
          </cell>
          <cell r="C626" t="str">
            <v>X</v>
          </cell>
          <cell r="E626" t="str">
            <v>PEDRO MORENO</v>
          </cell>
          <cell r="F626">
            <v>162</v>
          </cell>
          <cell r="G626">
            <v>4</v>
          </cell>
          <cell r="H626" t="str">
            <v>Romita</v>
          </cell>
          <cell r="I626">
            <v>85000</v>
          </cell>
          <cell r="J626" t="str">
            <v>Completa</v>
          </cell>
          <cell r="K626" t="str">
            <v>CRUZ DE AGUILAR</v>
          </cell>
          <cell r="L626">
            <v>0</v>
          </cell>
          <cell r="M626" t="str">
            <v>LA CRUZ DE AGUILAR</v>
          </cell>
          <cell r="T626" t="e">
            <v>#REF!</v>
          </cell>
        </row>
        <row r="627">
          <cell r="A627" t="str">
            <v>SALAMANCA</v>
          </cell>
          <cell r="B627" t="str">
            <v>11DJN0174C</v>
          </cell>
          <cell r="C627" t="str">
            <v>X</v>
          </cell>
          <cell r="E627" t="str">
            <v>AUGUSTO FEDERICO FROEBEL</v>
          </cell>
          <cell r="F627">
            <v>63</v>
          </cell>
          <cell r="G627">
            <v>14</v>
          </cell>
          <cell r="H627" t="str">
            <v>Salamanca</v>
          </cell>
          <cell r="I627">
            <v>85000</v>
          </cell>
          <cell r="J627" t="str">
            <v>Completa</v>
          </cell>
          <cell r="K627" t="str">
            <v>RIO LERMA NUM. 232-A</v>
          </cell>
          <cell r="L627" t="str">
            <v>ZONA CENTRO</v>
          </cell>
          <cell r="M627" t="str">
            <v>SALAMANCA</v>
          </cell>
          <cell r="T627" t="e">
            <v>#REF!</v>
          </cell>
        </row>
        <row r="628">
          <cell r="A628" t="str">
            <v>EL CIRCUITO</v>
          </cell>
          <cell r="B628" t="str">
            <v>11DPR0252G</v>
          </cell>
          <cell r="C628" t="str">
            <v>X</v>
          </cell>
          <cell r="E628" t="str">
            <v>MARGARITA MAZA DE JUAREZ</v>
          </cell>
          <cell r="F628">
            <v>124</v>
          </cell>
          <cell r="G628">
            <v>19</v>
          </cell>
          <cell r="H628" t="str">
            <v>Salamanca</v>
          </cell>
          <cell r="I628">
            <v>30000</v>
          </cell>
          <cell r="J628" t="str">
            <v>Multigrado</v>
          </cell>
          <cell r="K628" t="str">
            <v>EL CIRCUITO</v>
          </cell>
          <cell r="L628" t="str">
            <v>EL CIRCUITO</v>
          </cell>
          <cell r="M628" t="str">
            <v>EL CIRCUITO</v>
          </cell>
          <cell r="T628" t="e">
            <v>#REF!</v>
          </cell>
        </row>
        <row r="629">
          <cell r="A629" t="str">
            <v>LOS LOBOS</v>
          </cell>
          <cell r="B629" t="str">
            <v>11ETV0392E</v>
          </cell>
          <cell r="C629" t="str">
            <v>X</v>
          </cell>
          <cell r="E629" t="str">
            <v>TELESECUNDARIA NUM. 381</v>
          </cell>
          <cell r="F629">
            <v>547</v>
          </cell>
          <cell r="G629">
            <v>8</v>
          </cell>
          <cell r="H629" t="str">
            <v>Salamanca</v>
          </cell>
          <cell r="I629">
            <v>85000</v>
          </cell>
          <cell r="J629" t="str">
            <v>Completa</v>
          </cell>
          <cell r="K629" t="str">
            <v>LOS LOBOS</v>
          </cell>
          <cell r="L629" t="str">
            <v>LOS LOBOS</v>
          </cell>
          <cell r="M629" t="str">
            <v>LOS LOBOS</v>
          </cell>
          <cell r="T629" t="e">
            <v>#REF!</v>
          </cell>
        </row>
        <row r="630">
          <cell r="A630" t="str">
            <v>SOTELO</v>
          </cell>
          <cell r="B630" t="str">
            <v>11ETV0791B</v>
          </cell>
          <cell r="C630" t="str">
            <v>X</v>
          </cell>
          <cell r="E630" t="str">
            <v>TELESECUNDARIA NUM. 791</v>
          </cell>
          <cell r="F630">
            <v>547</v>
          </cell>
          <cell r="G630">
            <v>8</v>
          </cell>
          <cell r="H630" t="str">
            <v>Salamanca</v>
          </cell>
          <cell r="I630">
            <v>65000</v>
          </cell>
          <cell r="J630" t="str">
            <v>Completa</v>
          </cell>
          <cell r="K630" t="str">
            <v>SOTELO</v>
          </cell>
          <cell r="L630" t="str">
            <v>SOTELO</v>
          </cell>
          <cell r="M630" t="str">
            <v>SOTELO</v>
          </cell>
          <cell r="T630" t="e">
            <v>#REF!</v>
          </cell>
        </row>
        <row r="631">
          <cell r="A631" t="str">
            <v>VALTIERRILLA</v>
          </cell>
          <cell r="B631" t="str">
            <v>11EPR0728A</v>
          </cell>
          <cell r="C631" t="str">
            <v>X</v>
          </cell>
          <cell r="E631" t="str">
            <v>AGUSTIN MELGAR</v>
          </cell>
          <cell r="F631">
            <v>546</v>
          </cell>
          <cell r="G631">
            <v>6</v>
          </cell>
          <cell r="H631" t="str">
            <v>Salamanca</v>
          </cell>
          <cell r="I631">
            <v>85000</v>
          </cell>
          <cell r="J631" t="str">
            <v>Completa</v>
          </cell>
          <cell r="K631" t="str">
            <v>MORELOS NUM. 117</v>
          </cell>
          <cell r="L631" t="str">
            <v>ZONA CENTRO, VALTIRILLA</v>
          </cell>
          <cell r="M631" t="str">
            <v>VALTIERRILLA</v>
          </cell>
          <cell r="T631" t="e">
            <v>#REF!</v>
          </cell>
        </row>
        <row r="632">
          <cell r="A632" t="str">
            <v>VALENCIA</v>
          </cell>
          <cell r="B632" t="str">
            <v>11ETV0594A</v>
          </cell>
          <cell r="C632" t="str">
            <v>X</v>
          </cell>
          <cell r="E632" t="str">
            <v>TELESECUNDARIA NUM. 594</v>
          </cell>
          <cell r="F632">
            <v>547</v>
          </cell>
          <cell r="G632">
            <v>8</v>
          </cell>
          <cell r="H632" t="str">
            <v>Salamanca</v>
          </cell>
          <cell r="I632">
            <v>85000</v>
          </cell>
          <cell r="J632" t="str">
            <v>Completa</v>
          </cell>
          <cell r="K632" t="str">
            <v>VALENCIA</v>
          </cell>
          <cell r="L632" t="str">
            <v>VALENCIA</v>
          </cell>
          <cell r="M632" t="str">
            <v>VALENCIA</v>
          </cell>
          <cell r="T632" t="e">
            <v>#REF!</v>
          </cell>
        </row>
        <row r="633">
          <cell r="A633" t="str">
            <v>PALO BLANCO</v>
          </cell>
          <cell r="B633" t="str">
            <v>11ETV0928Y</v>
          </cell>
          <cell r="C633" t="str">
            <v>X</v>
          </cell>
          <cell r="E633" t="str">
            <v>TELESECUNDARIA NUM. 928</v>
          </cell>
          <cell r="F633">
            <v>547</v>
          </cell>
          <cell r="G633">
            <v>8</v>
          </cell>
          <cell r="H633" t="str">
            <v>Salamanca</v>
          </cell>
          <cell r="I633">
            <v>50000</v>
          </cell>
          <cell r="J633" t="str">
            <v>Completa</v>
          </cell>
          <cell r="K633" t="str">
            <v>PALO BLANCO</v>
          </cell>
          <cell r="L633" t="str">
            <v>BLANCO</v>
          </cell>
          <cell r="M633" t="str">
            <v>PALO BLANCO</v>
          </cell>
          <cell r="T633" t="e">
            <v>#REF!</v>
          </cell>
        </row>
        <row r="634">
          <cell r="A634" t="str">
            <v>CERRO BLANCO DE MANCERA</v>
          </cell>
          <cell r="B634" t="str">
            <v>11DJN1117S</v>
          </cell>
          <cell r="C634" t="str">
            <v>X</v>
          </cell>
          <cell r="E634" t="str">
            <v>JOSE MARIA VELAZCO</v>
          </cell>
          <cell r="F634">
            <v>5</v>
          </cell>
          <cell r="G634">
            <v>14</v>
          </cell>
          <cell r="H634" t="str">
            <v>Salamanca</v>
          </cell>
          <cell r="I634">
            <v>25500</v>
          </cell>
          <cell r="J634" t="str">
            <v>Multigrado</v>
          </cell>
          <cell r="K634" t="str">
            <v>CERRO BLANCO DE MANCERA</v>
          </cell>
          <cell r="L634" t="str">
            <v>MANCERA</v>
          </cell>
          <cell r="M634" t="str">
            <v>CERRO BLANCO DE MANCERA</v>
          </cell>
          <cell r="T634" t="e">
            <v>#REF!</v>
          </cell>
        </row>
        <row r="635">
          <cell r="A635" t="str">
            <v>VALTIERRILLA</v>
          </cell>
          <cell r="B635" t="str">
            <v>11DJN2916S</v>
          </cell>
          <cell r="C635" t="str">
            <v>X</v>
          </cell>
          <cell r="E635" t="str">
            <v>JAIME TORRES BODET</v>
          </cell>
          <cell r="F635">
            <v>62</v>
          </cell>
          <cell r="G635">
            <v>14</v>
          </cell>
          <cell r="H635" t="str">
            <v>Salamanca</v>
          </cell>
          <cell r="I635">
            <v>85000</v>
          </cell>
          <cell r="J635" t="str">
            <v>Completa</v>
          </cell>
          <cell r="K635" t="str">
            <v>20 DE NOVIEMBRE NUM. 243</v>
          </cell>
          <cell r="L635" t="str">
            <v>VALTIERRILLA</v>
          </cell>
          <cell r="M635" t="str">
            <v>VALTIERRILLA</v>
          </cell>
          <cell r="T635" t="e">
            <v>#REF!</v>
          </cell>
        </row>
        <row r="636">
          <cell r="A636" t="str">
            <v>SAN RAFAEL DE URUETARO</v>
          </cell>
          <cell r="B636" t="str">
            <v>11DPR0935J</v>
          </cell>
          <cell r="C636" t="str">
            <v>X</v>
          </cell>
          <cell r="E636" t="str">
            <v>ANDRES DELGADO</v>
          </cell>
          <cell r="F636">
            <v>124</v>
          </cell>
          <cell r="G636">
            <v>19</v>
          </cell>
          <cell r="H636" t="str">
            <v>Salamanca</v>
          </cell>
          <cell r="I636">
            <v>20000</v>
          </cell>
          <cell r="J636" t="str">
            <v>Multigrado</v>
          </cell>
          <cell r="K636" t="str">
            <v>SAN RAFAEL DE URUETARO</v>
          </cell>
          <cell r="L636" t="str">
            <v>SAN RAFAEL DE URUETARO</v>
          </cell>
          <cell r="M636" t="str">
            <v>SAN RAFAEL DE URUETARO</v>
          </cell>
          <cell r="T636" t="e">
            <v>#REF!</v>
          </cell>
        </row>
        <row r="637">
          <cell r="A637" t="str">
            <v>VALTIERRILLA</v>
          </cell>
          <cell r="B637" t="str">
            <v>11DPR3077L</v>
          </cell>
          <cell r="C637" t="str">
            <v>X</v>
          </cell>
          <cell r="E637" t="str">
            <v>JUANA DE ASBAJE</v>
          </cell>
          <cell r="F637">
            <v>83</v>
          </cell>
          <cell r="G637">
            <v>19</v>
          </cell>
          <cell r="H637" t="str">
            <v>Salamanca</v>
          </cell>
          <cell r="I637">
            <v>85000</v>
          </cell>
          <cell r="J637" t="str">
            <v>Completa</v>
          </cell>
          <cell r="K637" t="str">
            <v>OBREGON NUM. 98</v>
          </cell>
          <cell r="L637" t="str">
            <v>VALTIERRILLA</v>
          </cell>
          <cell r="M637" t="str">
            <v>VALTIERRILLA</v>
          </cell>
          <cell r="T637" t="e">
            <v>#REF!</v>
          </cell>
        </row>
        <row r="638">
          <cell r="A638" t="str">
            <v>LOS PRIETOS (EL CAJON)</v>
          </cell>
          <cell r="B638" t="str">
            <v>11EPR0785S</v>
          </cell>
          <cell r="C638" t="str">
            <v>X</v>
          </cell>
          <cell r="E638" t="str">
            <v>INDEPENDENCIA</v>
          </cell>
          <cell r="F638">
            <v>546</v>
          </cell>
          <cell r="G638">
            <v>6</v>
          </cell>
          <cell r="H638" t="str">
            <v>Salamanca</v>
          </cell>
          <cell r="I638">
            <v>85000</v>
          </cell>
          <cell r="J638" t="str">
            <v>Completa</v>
          </cell>
          <cell r="K638" t="str">
            <v>INSURGENTES</v>
          </cell>
          <cell r="L638" t="str">
            <v>LOS PRIETOS</v>
          </cell>
          <cell r="M638" t="str">
            <v>LOS PRIETOS (EL CAJON)</v>
          </cell>
          <cell r="T638" t="e">
            <v>#REF!</v>
          </cell>
        </row>
        <row r="639">
          <cell r="A639" t="str">
            <v>SALAMANCA</v>
          </cell>
          <cell r="B639" t="str">
            <v>11DPR0848O</v>
          </cell>
          <cell r="C639" t="str">
            <v>X</v>
          </cell>
          <cell r="E639" t="str">
            <v>LIC. BENITO JUAREZ</v>
          </cell>
          <cell r="F639">
            <v>123</v>
          </cell>
          <cell r="G639">
            <v>19</v>
          </cell>
          <cell r="H639" t="str">
            <v>Salamanca</v>
          </cell>
          <cell r="I639">
            <v>85000</v>
          </cell>
          <cell r="J639" t="str">
            <v>Completa</v>
          </cell>
          <cell r="K639" t="str">
            <v>ARBOL GRANDE S/N</v>
          </cell>
          <cell r="L639" t="str">
            <v>BELLAVISTA</v>
          </cell>
          <cell r="M639" t="str">
            <v>SALAMANCA</v>
          </cell>
          <cell r="T639" t="e">
            <v>#REF!</v>
          </cell>
        </row>
        <row r="640">
          <cell r="A640" t="str">
            <v>PERICO DE CORNEJO</v>
          </cell>
          <cell r="B640" t="str">
            <v>11DPR0117B</v>
          </cell>
          <cell r="C640" t="str">
            <v>X</v>
          </cell>
          <cell r="E640" t="str">
            <v>JUSTO SIERRA</v>
          </cell>
          <cell r="F640">
            <v>83</v>
          </cell>
          <cell r="G640">
            <v>19</v>
          </cell>
          <cell r="H640" t="str">
            <v>Salamanca</v>
          </cell>
          <cell r="I640">
            <v>30000</v>
          </cell>
          <cell r="J640" t="str">
            <v>Multigrado</v>
          </cell>
          <cell r="K640" t="str">
            <v>PERICO DE CORNEJO</v>
          </cell>
          <cell r="L640" t="str">
            <v>PERICO DE CORNEJO</v>
          </cell>
          <cell r="M640" t="str">
            <v>PERICO DE CORNEJO</v>
          </cell>
          <cell r="T640" t="e">
            <v>#REF!</v>
          </cell>
        </row>
        <row r="641">
          <cell r="A641" t="str">
            <v>SAN BERNARDO</v>
          </cell>
          <cell r="B641" t="str">
            <v>11DPR0119Z</v>
          </cell>
          <cell r="D641" t="str">
            <v>X</v>
          </cell>
          <cell r="E641" t="str">
            <v>JOSE MARIA MORELOS</v>
          </cell>
          <cell r="F641">
            <v>83</v>
          </cell>
          <cell r="G641">
            <v>19</v>
          </cell>
          <cell r="H641" t="str">
            <v>Salamanca</v>
          </cell>
          <cell r="I641">
            <v>85000</v>
          </cell>
          <cell r="J641" t="str">
            <v>Completa</v>
          </cell>
          <cell r="K641" t="str">
            <v>JOSE MARIA MORELOS Y PAVON</v>
          </cell>
          <cell r="L641" t="str">
            <v>SAN BERNARDO</v>
          </cell>
          <cell r="M641" t="str">
            <v>SAN BERNARDO</v>
          </cell>
          <cell r="T641" t="e">
            <v>#REF!</v>
          </cell>
        </row>
        <row r="642">
          <cell r="A642" t="str">
            <v>VALTIERRILLA</v>
          </cell>
          <cell r="B642" t="str">
            <v>11EJN0005G</v>
          </cell>
          <cell r="C642" t="str">
            <v>X</v>
          </cell>
          <cell r="E642" t="str">
            <v>TOMASA ESTEVES</v>
          </cell>
          <cell r="F642">
            <v>529</v>
          </cell>
          <cell r="G642">
            <v>8</v>
          </cell>
          <cell r="H642" t="str">
            <v>Salamanca</v>
          </cell>
          <cell r="I642">
            <v>85000</v>
          </cell>
          <cell r="J642" t="str">
            <v>Completa</v>
          </cell>
          <cell r="K642" t="str">
            <v>HIDALGO NUM. 1162</v>
          </cell>
          <cell r="L642" t="str">
            <v>VALTIERRILLA</v>
          </cell>
          <cell r="M642" t="str">
            <v>VALTIERRILLA</v>
          </cell>
          <cell r="T642" t="e">
            <v>#REF!</v>
          </cell>
        </row>
        <row r="643">
          <cell r="A643" t="str">
            <v>SALAMANCA</v>
          </cell>
          <cell r="B643" t="str">
            <v>11DJN2838E</v>
          </cell>
          <cell r="C643" t="str">
            <v>X</v>
          </cell>
          <cell r="E643" t="str">
            <v>JEAN PIAGET</v>
          </cell>
          <cell r="F643">
            <v>62</v>
          </cell>
          <cell r="G643">
            <v>14</v>
          </cell>
          <cell r="H643" t="str">
            <v>Salamanca</v>
          </cell>
          <cell r="I643">
            <v>85000</v>
          </cell>
          <cell r="J643" t="str">
            <v>Completa</v>
          </cell>
          <cell r="K643" t="str">
            <v>BENITO JUAREZ NUM. 8</v>
          </cell>
          <cell r="L643" t="str">
            <v>LA CRUZ</v>
          </cell>
          <cell r="M643" t="str">
            <v>SALAMANCA</v>
          </cell>
          <cell r="T643" t="e">
            <v>#REF!</v>
          </cell>
        </row>
        <row r="644">
          <cell r="A644" t="str">
            <v>CERRO BLANCO</v>
          </cell>
          <cell r="B644" t="str">
            <v>11DPR2578Z</v>
          </cell>
          <cell r="C644" t="str">
            <v>X</v>
          </cell>
          <cell r="E644" t="str">
            <v>EMILIANO ZAPATA</v>
          </cell>
          <cell r="F644">
            <v>124</v>
          </cell>
          <cell r="G644">
            <v>19</v>
          </cell>
          <cell r="H644" t="str">
            <v>Salamanca</v>
          </cell>
          <cell r="I644">
            <v>30000</v>
          </cell>
          <cell r="J644" t="str">
            <v>Multigrado</v>
          </cell>
          <cell r="K644" t="str">
            <v>ALBINO GARCIA</v>
          </cell>
          <cell r="L644" t="str">
            <v>CERRO BLANCO</v>
          </cell>
          <cell r="M644" t="str">
            <v>CERRO BLANCO</v>
          </cell>
          <cell r="T644" t="e">
            <v>#REF!</v>
          </cell>
        </row>
        <row r="645">
          <cell r="A645" t="str">
            <v>SALAMANCA</v>
          </cell>
          <cell r="B645" t="str">
            <v>11DPR3785N</v>
          </cell>
          <cell r="C645" t="str">
            <v>X</v>
          </cell>
          <cell r="E645" t="str">
            <v>21 DE MARZO</v>
          </cell>
          <cell r="F645">
            <v>123</v>
          </cell>
          <cell r="G645">
            <v>19</v>
          </cell>
          <cell r="H645" t="str">
            <v>Salamanca</v>
          </cell>
          <cell r="I645">
            <v>85000</v>
          </cell>
          <cell r="J645" t="str">
            <v>Completa</v>
          </cell>
          <cell r="K645" t="str">
            <v>COMUNICACION PONIENTE NUM. 805</v>
          </cell>
          <cell r="L645" t="str">
            <v>BENITO JUAREZ</v>
          </cell>
          <cell r="M645" t="str">
            <v>SALAMANCA</v>
          </cell>
          <cell r="T645" t="e">
            <v>#REF!</v>
          </cell>
        </row>
        <row r="646">
          <cell r="A646" t="str">
            <v>LABOR DE VALTIERRA</v>
          </cell>
          <cell r="B646" t="str">
            <v>11EPR0266I</v>
          </cell>
          <cell r="D646" t="str">
            <v>X</v>
          </cell>
          <cell r="E646" t="str">
            <v>NIÑOS HEROES</v>
          </cell>
          <cell r="F646">
            <v>546</v>
          </cell>
          <cell r="G646">
            <v>6</v>
          </cell>
          <cell r="H646" t="str">
            <v>Salamanca</v>
          </cell>
          <cell r="I646">
            <v>30000</v>
          </cell>
          <cell r="J646" t="str">
            <v>Multigrado</v>
          </cell>
          <cell r="K646" t="str">
            <v>IGNACIO ALLENDE NUM. 100</v>
          </cell>
          <cell r="L646" t="str">
            <v>VALTIERRA</v>
          </cell>
          <cell r="M646" t="str">
            <v>LABOR DE VALTIERRA</v>
          </cell>
          <cell r="T646" t="e">
            <v>#REF!</v>
          </cell>
        </row>
        <row r="647">
          <cell r="A647" t="str">
            <v>LA COMPAÑIA</v>
          </cell>
          <cell r="B647" t="str">
            <v>11DJN0553M</v>
          </cell>
          <cell r="C647" t="str">
            <v>X</v>
          </cell>
          <cell r="E647" t="str">
            <v>MA. ENRIQUETA CAMARILLO DE PEREYRA</v>
          </cell>
          <cell r="F647">
            <v>63</v>
          </cell>
          <cell r="G647">
            <v>14</v>
          </cell>
          <cell r="H647" t="str">
            <v>Salamanca</v>
          </cell>
          <cell r="I647">
            <v>30000</v>
          </cell>
          <cell r="J647" t="str">
            <v>Multigrado</v>
          </cell>
          <cell r="K647" t="str">
            <v>MATAMOROS NUM. 3</v>
          </cell>
          <cell r="L647" t="str">
            <v>LA COMPAÑIA</v>
          </cell>
          <cell r="M647" t="str">
            <v>LA COMPAÑIA</v>
          </cell>
          <cell r="T647" t="e">
            <v>#REF!</v>
          </cell>
        </row>
        <row r="648">
          <cell r="A648" t="str">
            <v>DOÑA ROSA (EL CHICOTE)</v>
          </cell>
          <cell r="B648" t="str">
            <v>11DJN0752L</v>
          </cell>
          <cell r="C648" t="str">
            <v>X</v>
          </cell>
          <cell r="E648" t="str">
            <v>JOHN DEWEY</v>
          </cell>
          <cell r="F648">
            <v>63</v>
          </cell>
          <cell r="G648">
            <v>14</v>
          </cell>
          <cell r="H648" t="str">
            <v>Salamanca</v>
          </cell>
          <cell r="I648">
            <v>30000</v>
          </cell>
          <cell r="J648" t="str">
            <v>Multigrado</v>
          </cell>
          <cell r="K648" t="str">
            <v>AVENIDA SALAMANCA</v>
          </cell>
          <cell r="L648" t="str">
            <v>DOÑA ROSA</v>
          </cell>
          <cell r="M648" t="str">
            <v>DOÑA ROSA (EL CHICOTE)</v>
          </cell>
          <cell r="T648" t="e">
            <v>#REF!</v>
          </cell>
        </row>
        <row r="649">
          <cell r="A649" t="str">
            <v>SAN JOSE TEMASCATIO</v>
          </cell>
          <cell r="B649" t="str">
            <v>11DJN4318J</v>
          </cell>
          <cell r="C649" t="str">
            <v>X</v>
          </cell>
          <cell r="E649" t="str">
            <v>PROFR. DONACIANO LUCERO AVILA</v>
          </cell>
          <cell r="F649">
            <v>63</v>
          </cell>
          <cell r="G649">
            <v>14</v>
          </cell>
          <cell r="H649" t="str">
            <v>Salamanca</v>
          </cell>
          <cell r="I649">
            <v>30000</v>
          </cell>
          <cell r="J649" t="str">
            <v>Multigrado</v>
          </cell>
          <cell r="K649" t="str">
            <v>SAN JOSE TEMASCATIO</v>
          </cell>
          <cell r="L649">
            <v>0</v>
          </cell>
          <cell r="M649" t="str">
            <v>SAN JOSE TEMASCATIO</v>
          </cell>
          <cell r="T649" t="e">
            <v>#REF!</v>
          </cell>
        </row>
        <row r="650">
          <cell r="A650" t="str">
            <v>SALAMANCA</v>
          </cell>
          <cell r="B650" t="str">
            <v>11DPR0957V</v>
          </cell>
          <cell r="C650" t="str">
            <v>X</v>
          </cell>
          <cell r="E650" t="str">
            <v>LIC. BENITO JUAREZ</v>
          </cell>
          <cell r="F650">
            <v>123</v>
          </cell>
          <cell r="G650">
            <v>19</v>
          </cell>
          <cell r="H650" t="str">
            <v>Salamanca</v>
          </cell>
          <cell r="I650">
            <v>60000</v>
          </cell>
          <cell r="J650" t="str">
            <v>Completa</v>
          </cell>
          <cell r="K650" t="str">
            <v>ARBOL GRANDE S/N</v>
          </cell>
          <cell r="L650" t="str">
            <v>BELLAVISTA</v>
          </cell>
          <cell r="M650" t="str">
            <v>SALAMANCA</v>
          </cell>
          <cell r="T650" t="e">
            <v>#REF!</v>
          </cell>
        </row>
        <row r="651">
          <cell r="A651" t="str">
            <v>SALAMANCA</v>
          </cell>
          <cell r="B651" t="str">
            <v>11DJN4215N</v>
          </cell>
          <cell r="C651" t="str">
            <v>X</v>
          </cell>
          <cell r="E651" t="str">
            <v>GABRIELA MISTRAL</v>
          </cell>
          <cell r="F651">
            <v>62</v>
          </cell>
          <cell r="G651">
            <v>14</v>
          </cell>
          <cell r="H651" t="str">
            <v>Salamanca</v>
          </cell>
          <cell r="I651">
            <v>30000</v>
          </cell>
          <cell r="J651" t="str">
            <v>Multigrado</v>
          </cell>
          <cell r="K651" t="str">
            <v>HIDALGO NUM. 812</v>
          </cell>
          <cell r="L651" t="str">
            <v>ZONA CENTRO</v>
          </cell>
          <cell r="M651" t="str">
            <v>SALAMANCA</v>
          </cell>
          <cell r="T651" t="e">
            <v>#REF!</v>
          </cell>
        </row>
        <row r="652">
          <cell r="A652" t="str">
            <v>LA CAL</v>
          </cell>
          <cell r="B652" t="str">
            <v>11DPR0657Y</v>
          </cell>
          <cell r="C652" t="str">
            <v>X</v>
          </cell>
          <cell r="E652" t="str">
            <v>BENITO JUAREZ</v>
          </cell>
          <cell r="F652">
            <v>124</v>
          </cell>
          <cell r="G652">
            <v>19</v>
          </cell>
          <cell r="H652" t="str">
            <v>Salamanca</v>
          </cell>
          <cell r="I652">
            <v>25000</v>
          </cell>
          <cell r="J652" t="str">
            <v>Multigrado</v>
          </cell>
          <cell r="K652" t="str">
            <v>LA CAL</v>
          </cell>
          <cell r="L652" t="str">
            <v>LA CAL</v>
          </cell>
          <cell r="M652" t="str">
            <v>LA CAL</v>
          </cell>
          <cell r="T652" t="e">
            <v>#REF!</v>
          </cell>
        </row>
        <row r="653">
          <cell r="A653" t="str">
            <v>SALAMANCA</v>
          </cell>
          <cell r="B653" t="str">
            <v>11EJN0045H</v>
          </cell>
          <cell r="C653" t="str">
            <v>X</v>
          </cell>
          <cell r="E653" t="str">
            <v>MARIA ENRIQUETA</v>
          </cell>
          <cell r="F653">
            <v>509</v>
          </cell>
          <cell r="G653">
            <v>8</v>
          </cell>
          <cell r="H653" t="str">
            <v>Salamanca</v>
          </cell>
          <cell r="I653">
            <v>80000</v>
          </cell>
          <cell r="J653" t="str">
            <v>Completa</v>
          </cell>
          <cell r="K653" t="str">
            <v>PIRUL NUM. 112</v>
          </cell>
          <cell r="L653" t="str">
            <v>FRACCIONAMIENTO VILLARREAL</v>
          </cell>
          <cell r="M653" t="str">
            <v>SALAMANCA</v>
          </cell>
          <cell r="T653" t="e">
            <v>#REF!</v>
          </cell>
        </row>
        <row r="654">
          <cell r="A654" t="str">
            <v>SALAMANCA</v>
          </cell>
          <cell r="B654" t="str">
            <v>11EJN1188L</v>
          </cell>
          <cell r="D654" t="str">
            <v>X</v>
          </cell>
          <cell r="E654" t="str">
            <v>2004 AÑO DE LA EDUCACION PREESCOLAR OBLIGATORIA</v>
          </cell>
          <cell r="F654">
            <v>509</v>
          </cell>
          <cell r="G654">
            <v>8</v>
          </cell>
          <cell r="H654" t="str">
            <v>Salamanca</v>
          </cell>
          <cell r="I654">
            <v>30000</v>
          </cell>
          <cell r="J654" t="str">
            <v>Multigrado</v>
          </cell>
          <cell r="K654" t="str">
            <v>LUIS DE VELAZCO ORIENTE NUM. 102</v>
          </cell>
          <cell r="L654" t="str">
            <v>LOS VIRREYES I</v>
          </cell>
          <cell r="M654" t="str">
            <v>SALAMANCA</v>
          </cell>
          <cell r="T654" t="e">
            <v>#REF!</v>
          </cell>
        </row>
        <row r="655">
          <cell r="A655" t="str">
            <v>SALAMANCA</v>
          </cell>
          <cell r="B655" t="str">
            <v>11EPR0860I</v>
          </cell>
          <cell r="C655" t="str">
            <v>X</v>
          </cell>
          <cell r="E655" t="str">
            <v>SOLIDARIDAD</v>
          </cell>
          <cell r="F655">
            <v>546</v>
          </cell>
          <cell r="G655">
            <v>6</v>
          </cell>
          <cell r="H655" t="str">
            <v>Salamanca</v>
          </cell>
          <cell r="I655">
            <v>85000</v>
          </cell>
          <cell r="J655" t="str">
            <v>Completa</v>
          </cell>
          <cell r="K655" t="str">
            <v>SERAFINES NUM. 515</v>
          </cell>
          <cell r="L655" t="str">
            <v>LA GLORIA</v>
          </cell>
          <cell r="M655" t="str">
            <v>SALAMANCA</v>
          </cell>
          <cell r="T655" t="e">
            <v>#REF!</v>
          </cell>
        </row>
        <row r="656">
          <cell r="A656" t="str">
            <v>URUETARO</v>
          </cell>
          <cell r="B656" t="str">
            <v>11ETV0143Y</v>
          </cell>
          <cell r="C656" t="str">
            <v>X</v>
          </cell>
          <cell r="E656" t="str">
            <v>TELESECUNDARIA NUM. 149</v>
          </cell>
          <cell r="F656">
            <v>547</v>
          </cell>
          <cell r="G656">
            <v>8</v>
          </cell>
          <cell r="H656" t="str">
            <v>Salamanca</v>
          </cell>
          <cell r="I656">
            <v>80000</v>
          </cell>
          <cell r="J656" t="str">
            <v>Completa</v>
          </cell>
          <cell r="K656" t="str">
            <v>URUETARO</v>
          </cell>
          <cell r="L656" t="str">
            <v>URUETARO</v>
          </cell>
          <cell r="M656" t="str">
            <v>URUETARO</v>
          </cell>
          <cell r="T656" t="e">
            <v>#REF!</v>
          </cell>
        </row>
        <row r="657">
          <cell r="A657" t="str">
            <v>UNION DE LIEBRES (LAS CONEJAS)</v>
          </cell>
          <cell r="B657" t="str">
            <v>11DJN0903A</v>
          </cell>
          <cell r="C657" t="str">
            <v>X</v>
          </cell>
          <cell r="E657" t="str">
            <v>IGNACIO LOPEZ RAYON</v>
          </cell>
          <cell r="F657">
            <v>63</v>
          </cell>
          <cell r="G657">
            <v>14</v>
          </cell>
          <cell r="H657" t="str">
            <v>Salamanca</v>
          </cell>
          <cell r="I657">
            <v>30000</v>
          </cell>
          <cell r="J657" t="str">
            <v>Multigrado</v>
          </cell>
          <cell r="K657" t="str">
            <v>UNION DE LIEBRES</v>
          </cell>
          <cell r="L657" t="str">
            <v>UNION DE LIEBRES</v>
          </cell>
          <cell r="M657" t="str">
            <v>UNION DE LIEBRES (LAS CONEJAS)</v>
          </cell>
          <cell r="T657" t="e">
            <v>#REF!</v>
          </cell>
        </row>
        <row r="658">
          <cell r="A658" t="str">
            <v>SANTA RITA</v>
          </cell>
          <cell r="B658" t="str">
            <v>11DJN2427C</v>
          </cell>
          <cell r="C658" t="str">
            <v>X</v>
          </cell>
          <cell r="E658" t="str">
            <v>LUIS E. RUIZ</v>
          </cell>
          <cell r="F658">
            <v>62</v>
          </cell>
          <cell r="G658">
            <v>14</v>
          </cell>
          <cell r="H658" t="str">
            <v>Salamanca</v>
          </cell>
          <cell r="I658">
            <v>30000</v>
          </cell>
          <cell r="J658" t="str">
            <v>Multigrado</v>
          </cell>
          <cell r="K658" t="str">
            <v>BENITO JUAREZ NUM. 48</v>
          </cell>
          <cell r="L658" t="str">
            <v>SANTA RITA</v>
          </cell>
          <cell r="M658" t="str">
            <v>SANTA RITA</v>
          </cell>
          <cell r="T658" t="e">
            <v>#REF!</v>
          </cell>
        </row>
        <row r="659">
          <cell r="A659" t="str">
            <v>PALO BLANCO</v>
          </cell>
          <cell r="B659" t="str">
            <v>11DPR0116C</v>
          </cell>
          <cell r="C659" t="str">
            <v>X</v>
          </cell>
          <cell r="E659" t="str">
            <v>RAFAEL RAMIREZ</v>
          </cell>
          <cell r="F659">
            <v>124</v>
          </cell>
          <cell r="G659">
            <v>19</v>
          </cell>
          <cell r="H659" t="str">
            <v>Salamanca</v>
          </cell>
          <cell r="I659">
            <v>30000</v>
          </cell>
          <cell r="J659" t="str">
            <v>Multigrado</v>
          </cell>
          <cell r="K659" t="str">
            <v>PALO BLANCO</v>
          </cell>
          <cell r="L659" t="str">
            <v>PALO BLANCO</v>
          </cell>
          <cell r="M659" t="str">
            <v>PALO BLANCO</v>
          </cell>
          <cell r="T659" t="e">
            <v>#REF!</v>
          </cell>
        </row>
        <row r="660">
          <cell r="A660" t="str">
            <v>SAN JOAQUIN</v>
          </cell>
          <cell r="B660" t="str">
            <v>11DPR2263Z</v>
          </cell>
          <cell r="C660" t="str">
            <v>X</v>
          </cell>
          <cell r="E660" t="str">
            <v>ADOLFO LOPEZ MATEOS</v>
          </cell>
          <cell r="F660">
            <v>124</v>
          </cell>
          <cell r="G660">
            <v>19</v>
          </cell>
          <cell r="H660" t="str">
            <v>Salamanca</v>
          </cell>
          <cell r="I660">
            <v>30000</v>
          </cell>
          <cell r="J660" t="str">
            <v>Multigrado</v>
          </cell>
          <cell r="K660" t="str">
            <v>SAN JOAQUIN</v>
          </cell>
          <cell r="L660" t="str">
            <v>SAN JOAQUIN</v>
          </cell>
          <cell r="M660" t="str">
            <v>SAN JOAQUIN</v>
          </cell>
          <cell r="T660" t="e">
            <v>#REF!</v>
          </cell>
        </row>
        <row r="661">
          <cell r="A661" t="str">
            <v>VALTIERRILLA</v>
          </cell>
          <cell r="B661" t="str">
            <v>11ETV0006V</v>
          </cell>
          <cell r="C661" t="str">
            <v>X</v>
          </cell>
          <cell r="E661" t="str">
            <v>TELESECUNDARIA NUM. 23</v>
          </cell>
          <cell r="F661">
            <v>547</v>
          </cell>
          <cell r="G661">
            <v>8</v>
          </cell>
          <cell r="H661" t="str">
            <v>Salamanca</v>
          </cell>
          <cell r="I661">
            <v>85000</v>
          </cell>
          <cell r="J661" t="str">
            <v>Completa</v>
          </cell>
          <cell r="K661" t="str">
            <v>HIDALGO NUM. 1250</v>
          </cell>
          <cell r="L661" t="str">
            <v>VALTIERRILLA</v>
          </cell>
          <cell r="M661" t="str">
            <v>VALTIERRILLA</v>
          </cell>
          <cell r="T661" t="e">
            <v>#REF!</v>
          </cell>
        </row>
        <row r="662">
          <cell r="A662" t="str">
            <v>LA ORDEÑA</v>
          </cell>
          <cell r="B662" t="str">
            <v>11ETV0338K</v>
          </cell>
          <cell r="C662" t="str">
            <v>X</v>
          </cell>
          <cell r="E662" t="str">
            <v>TELESECUNDARIA NUM. 345</v>
          </cell>
          <cell r="F662">
            <v>547</v>
          </cell>
          <cell r="G662">
            <v>8</v>
          </cell>
          <cell r="H662" t="str">
            <v>Salamanca</v>
          </cell>
          <cell r="I662">
            <v>70000</v>
          </cell>
          <cell r="J662" t="str">
            <v>Completa</v>
          </cell>
          <cell r="K662" t="str">
            <v>LA ORDEÑA</v>
          </cell>
          <cell r="L662" t="str">
            <v>LA ORDEÑA</v>
          </cell>
          <cell r="M662" t="str">
            <v>LA ORDEÑA</v>
          </cell>
          <cell r="T662" t="e">
            <v>#REF!</v>
          </cell>
        </row>
        <row r="663">
          <cell r="A663" t="str">
            <v>PUERTO DE VALLE</v>
          </cell>
          <cell r="B663" t="str">
            <v>11ETV0909J</v>
          </cell>
          <cell r="C663" t="str">
            <v>X</v>
          </cell>
          <cell r="E663" t="str">
            <v>TELESECUNDARIA NUM. 909</v>
          </cell>
          <cell r="F663">
            <v>547</v>
          </cell>
          <cell r="G663">
            <v>8</v>
          </cell>
          <cell r="H663" t="str">
            <v>Salamanca</v>
          </cell>
          <cell r="I663">
            <v>45000</v>
          </cell>
          <cell r="J663" t="str">
            <v>Completa</v>
          </cell>
          <cell r="K663" t="str">
            <v>PUERTO DE VALLE</v>
          </cell>
          <cell r="L663" t="str">
            <v>PUERTO DE VALLE</v>
          </cell>
          <cell r="M663" t="str">
            <v>PUERTO DE VALLE</v>
          </cell>
          <cell r="T663" t="e">
            <v>#REF!</v>
          </cell>
        </row>
        <row r="664">
          <cell r="A664" t="str">
            <v>LA HACIENDITA (LA TALONERA)</v>
          </cell>
          <cell r="B664" t="str">
            <v>11DJN1123C</v>
          </cell>
          <cell r="C664" t="str">
            <v>X</v>
          </cell>
          <cell r="E664" t="str">
            <v>DIEGO RIVERA</v>
          </cell>
          <cell r="F664">
            <v>63</v>
          </cell>
          <cell r="G664">
            <v>14</v>
          </cell>
          <cell r="H664" t="str">
            <v>Salamanca</v>
          </cell>
          <cell r="I664">
            <v>30000</v>
          </cell>
          <cell r="J664" t="str">
            <v>Multigrado</v>
          </cell>
          <cell r="K664" t="str">
            <v>LA HACIENDITA</v>
          </cell>
          <cell r="L664" t="str">
            <v>LA HACIENDITA</v>
          </cell>
          <cell r="M664" t="str">
            <v>LA HACIENDITA (LA TALONERA)</v>
          </cell>
          <cell r="T664" t="e">
            <v>#REF!</v>
          </cell>
        </row>
        <row r="665">
          <cell r="A665" t="str">
            <v>SALAMANCA</v>
          </cell>
          <cell r="B665" t="str">
            <v>11DJN4272E</v>
          </cell>
          <cell r="C665" t="str">
            <v>X</v>
          </cell>
          <cell r="E665" t="str">
            <v>JARDIN DE NIÑOS</v>
          </cell>
          <cell r="F665">
            <v>63</v>
          </cell>
          <cell r="G665">
            <v>14</v>
          </cell>
          <cell r="H665" t="str">
            <v>Salamanca</v>
          </cell>
          <cell r="I665">
            <v>25000</v>
          </cell>
          <cell r="J665" t="str">
            <v>Multigrado</v>
          </cell>
          <cell r="K665" t="str">
            <v>13 DE JUNIO S/N</v>
          </cell>
          <cell r="L665" t="str">
            <v>ARTILLERO FELIPE ANGELES</v>
          </cell>
          <cell r="M665" t="str">
            <v>SALAMANCA</v>
          </cell>
          <cell r="T665" t="e">
            <v>#REF!</v>
          </cell>
        </row>
        <row r="666">
          <cell r="A666" t="str">
            <v>LABOR DE VALTIERRA</v>
          </cell>
          <cell r="B666" t="str">
            <v>11DPR0108U</v>
          </cell>
          <cell r="C666" t="str">
            <v>X</v>
          </cell>
          <cell r="E666" t="str">
            <v>MELCHOR OCAMPO</v>
          </cell>
          <cell r="F666">
            <v>124</v>
          </cell>
          <cell r="G666">
            <v>19</v>
          </cell>
          <cell r="H666" t="str">
            <v>Salamanca</v>
          </cell>
          <cell r="I666">
            <v>30000</v>
          </cell>
          <cell r="J666" t="str">
            <v>Multigrado</v>
          </cell>
          <cell r="K666" t="str">
            <v>LABOR DE VALTIERRA</v>
          </cell>
          <cell r="L666" t="str">
            <v>LABOR DE VALTIERRA</v>
          </cell>
          <cell r="M666" t="str">
            <v>LABOR DE VALTIERRA</v>
          </cell>
          <cell r="T666" t="e">
            <v>#REF!</v>
          </cell>
        </row>
        <row r="667">
          <cell r="A667" t="str">
            <v>LA PALMA</v>
          </cell>
          <cell r="B667" t="str">
            <v>11DPR0115D</v>
          </cell>
          <cell r="C667" t="str">
            <v>X</v>
          </cell>
          <cell r="E667" t="str">
            <v>JUSTO SIERRA</v>
          </cell>
          <cell r="F667">
            <v>124</v>
          </cell>
          <cell r="G667">
            <v>19</v>
          </cell>
          <cell r="H667" t="str">
            <v>Salamanca</v>
          </cell>
          <cell r="I667">
            <v>30000</v>
          </cell>
          <cell r="J667" t="str">
            <v>Multigrado</v>
          </cell>
          <cell r="K667" t="str">
            <v>LA PALMA</v>
          </cell>
          <cell r="L667" t="str">
            <v>LA PALMA</v>
          </cell>
          <cell r="M667" t="str">
            <v>LA PALMA</v>
          </cell>
          <cell r="T667" t="e">
            <v>#REF!</v>
          </cell>
        </row>
        <row r="668">
          <cell r="A668" t="str">
            <v>SALAMANCA</v>
          </cell>
          <cell r="B668" t="str">
            <v>11DJN0400I</v>
          </cell>
          <cell r="D668" t="str">
            <v>X</v>
          </cell>
          <cell r="E668" t="str">
            <v>SOR JUANA INES DE LA CRUZ</v>
          </cell>
          <cell r="F668">
            <v>94</v>
          </cell>
          <cell r="G668">
            <v>14</v>
          </cell>
          <cell r="H668" t="str">
            <v>Salamanca</v>
          </cell>
          <cell r="I668">
            <v>82000</v>
          </cell>
          <cell r="J668" t="str">
            <v>Completa</v>
          </cell>
          <cell r="K668" t="str">
            <v>LA PAZ S/N</v>
          </cell>
          <cell r="L668" t="str">
            <v>INFONAVIT I</v>
          </cell>
          <cell r="M668" t="str">
            <v>SALAMANCA</v>
          </cell>
          <cell r="T668" t="e">
            <v>#REF!</v>
          </cell>
        </row>
        <row r="669">
          <cell r="A669" t="str">
            <v>SAN BERNARDO</v>
          </cell>
          <cell r="B669" t="str">
            <v>11DJN0749Y</v>
          </cell>
          <cell r="C669" t="str">
            <v>X</v>
          </cell>
          <cell r="E669" t="str">
            <v>GUILLERMO PRIETO</v>
          </cell>
          <cell r="F669">
            <v>94</v>
          </cell>
          <cell r="G669">
            <v>14</v>
          </cell>
          <cell r="H669" t="str">
            <v>Salamanca</v>
          </cell>
          <cell r="I669">
            <v>30000</v>
          </cell>
          <cell r="J669" t="str">
            <v>Multigrado</v>
          </cell>
          <cell r="K669" t="str">
            <v>LAZARO CARDENAS</v>
          </cell>
          <cell r="L669" t="str">
            <v>SAN BERNARDO</v>
          </cell>
          <cell r="M669" t="str">
            <v>SAN BERNARDO</v>
          </cell>
          <cell r="T669" t="e">
            <v>#REF!</v>
          </cell>
        </row>
        <row r="670">
          <cell r="A670" t="str">
            <v>CUATRO DE ALTAMIRA</v>
          </cell>
          <cell r="B670" t="str">
            <v>11DPR0105X</v>
          </cell>
          <cell r="C670" t="str">
            <v>X</v>
          </cell>
          <cell r="E670" t="str">
            <v>LAZARO CARDENAS</v>
          </cell>
          <cell r="F670">
            <v>124</v>
          </cell>
          <cell r="G670">
            <v>19</v>
          </cell>
          <cell r="H670" t="str">
            <v>Salamanca</v>
          </cell>
          <cell r="I670">
            <v>30000</v>
          </cell>
          <cell r="J670" t="str">
            <v>Multigrado</v>
          </cell>
          <cell r="K670" t="str">
            <v>CUATRO DE ALTAMIRA</v>
          </cell>
          <cell r="L670" t="str">
            <v>CUATRO DE ALTAMIRA</v>
          </cell>
          <cell r="M670" t="str">
            <v>CUATRO DE ALTAMIRA</v>
          </cell>
          <cell r="T670" t="e">
            <v>#REF!</v>
          </cell>
        </row>
        <row r="671">
          <cell r="A671" t="str">
            <v>SALAMANCA</v>
          </cell>
          <cell r="B671" t="str">
            <v>11DPR3710X</v>
          </cell>
          <cell r="C671" t="str">
            <v>X</v>
          </cell>
          <cell r="E671" t="str">
            <v>LA INDEPENDENCIA DE MEXICO</v>
          </cell>
          <cell r="F671">
            <v>124</v>
          </cell>
          <cell r="G671">
            <v>19</v>
          </cell>
          <cell r="H671" t="str">
            <v>Salamanca</v>
          </cell>
          <cell r="I671">
            <v>85000</v>
          </cell>
          <cell r="J671" t="str">
            <v>Completa</v>
          </cell>
          <cell r="K671" t="str">
            <v>ESTADO DE CAMPECHE NUM. 300</v>
          </cell>
          <cell r="L671" t="str">
            <v>18 DE MARZO</v>
          </cell>
          <cell r="M671" t="str">
            <v>SALAMANCA</v>
          </cell>
          <cell r="T671" t="e">
            <v>#REF!</v>
          </cell>
        </row>
        <row r="672">
          <cell r="A672" t="str">
            <v>SALAMANCA</v>
          </cell>
          <cell r="B672" t="str">
            <v>11EPR0477M</v>
          </cell>
          <cell r="C672" t="str">
            <v>X</v>
          </cell>
          <cell r="E672" t="str">
            <v>EXPROPIACION PETROLERA</v>
          </cell>
          <cell r="F672">
            <v>516</v>
          </cell>
          <cell r="G672">
            <v>6</v>
          </cell>
          <cell r="H672" t="str">
            <v>Salamanca</v>
          </cell>
          <cell r="I672">
            <v>85000</v>
          </cell>
          <cell r="J672" t="str">
            <v>Completa</v>
          </cell>
          <cell r="K672" t="str">
            <v>EMILIO CARRANZA NUM. 425</v>
          </cell>
          <cell r="L672" t="str">
            <v>ZONA CENTRO</v>
          </cell>
          <cell r="M672" t="str">
            <v>SALAMANCA</v>
          </cell>
          <cell r="T672" t="e">
            <v>#REF!</v>
          </cell>
        </row>
        <row r="673">
          <cell r="A673" t="str">
            <v>SALAMANCA</v>
          </cell>
          <cell r="B673" t="str">
            <v>11EPR0503U</v>
          </cell>
          <cell r="C673" t="str">
            <v>X</v>
          </cell>
          <cell r="E673" t="str">
            <v>MTRA. RAQUEL CONTRERAS CACHU</v>
          </cell>
          <cell r="F673">
            <v>516</v>
          </cell>
          <cell r="G673">
            <v>6</v>
          </cell>
          <cell r="H673" t="str">
            <v>Salamanca</v>
          </cell>
          <cell r="I673">
            <v>55000</v>
          </cell>
          <cell r="J673" t="str">
            <v>Completa</v>
          </cell>
          <cell r="K673" t="str">
            <v>EMILIO CARRANZA NUM. 425</v>
          </cell>
          <cell r="L673" t="str">
            <v>ZONA CENTRO</v>
          </cell>
          <cell r="M673" t="str">
            <v>SALAMANCA</v>
          </cell>
          <cell r="T673" t="e">
            <v>#REF!</v>
          </cell>
        </row>
        <row r="674">
          <cell r="A674" t="str">
            <v>SOTELO</v>
          </cell>
          <cell r="B674" t="str">
            <v>11DJN0161Z</v>
          </cell>
          <cell r="C674" t="str">
            <v>X</v>
          </cell>
          <cell r="E674" t="str">
            <v>MANUEL CERVANTES IMAZ</v>
          </cell>
          <cell r="F674">
            <v>94</v>
          </cell>
          <cell r="G674">
            <v>14</v>
          </cell>
          <cell r="H674" t="str">
            <v>Salamanca</v>
          </cell>
          <cell r="I674">
            <v>30000</v>
          </cell>
          <cell r="J674" t="str">
            <v>Multigrado</v>
          </cell>
          <cell r="K674" t="str">
            <v>CANAL ABAJO</v>
          </cell>
          <cell r="L674" t="str">
            <v>SOTELO</v>
          </cell>
          <cell r="M674" t="str">
            <v>SOTELO</v>
          </cell>
          <cell r="T674" t="e">
            <v>#REF!</v>
          </cell>
        </row>
        <row r="675">
          <cell r="A675" t="str">
            <v>PUERTO DE VALLE</v>
          </cell>
          <cell r="B675" t="str">
            <v>11DJN0169R</v>
          </cell>
          <cell r="C675" t="str">
            <v>X</v>
          </cell>
          <cell r="E675" t="str">
            <v>MIGUEL F. MARTINEZ</v>
          </cell>
          <cell r="F675">
            <v>94</v>
          </cell>
          <cell r="G675">
            <v>14</v>
          </cell>
          <cell r="H675" t="str">
            <v>Salamanca</v>
          </cell>
          <cell r="I675">
            <v>25000</v>
          </cell>
          <cell r="J675" t="str">
            <v>Multigrado</v>
          </cell>
          <cell r="K675" t="str">
            <v>PRIVADA EL PIPILA S/N</v>
          </cell>
          <cell r="L675" t="str">
            <v>PUERTO DE VALLE</v>
          </cell>
          <cell r="M675" t="str">
            <v>PUERTO DE VALLE</v>
          </cell>
          <cell r="T675" t="e">
            <v>#REF!</v>
          </cell>
        </row>
        <row r="676">
          <cell r="A676" t="str">
            <v>GODOY</v>
          </cell>
          <cell r="B676" t="str">
            <v>11DJN2802Q</v>
          </cell>
          <cell r="C676" t="str">
            <v>X</v>
          </cell>
          <cell r="E676" t="str">
            <v>J. LUIS VIVES</v>
          </cell>
          <cell r="F676">
            <v>62</v>
          </cell>
          <cell r="G676">
            <v>14</v>
          </cell>
          <cell r="H676" t="str">
            <v>Salamanca</v>
          </cell>
          <cell r="I676">
            <v>30000</v>
          </cell>
          <cell r="J676" t="str">
            <v>Multigrado</v>
          </cell>
          <cell r="K676" t="str">
            <v>GODOY</v>
          </cell>
          <cell r="L676" t="str">
            <v>GODOY</v>
          </cell>
          <cell r="M676" t="str">
            <v>GODOY</v>
          </cell>
          <cell r="T676" t="e">
            <v>#REF!</v>
          </cell>
        </row>
        <row r="677">
          <cell r="A677" t="str">
            <v>SAN JOSE DE LA MONTAÑA</v>
          </cell>
          <cell r="B677" t="str">
            <v>11DJN2525D</v>
          </cell>
          <cell r="C677" t="str">
            <v>X</v>
          </cell>
          <cell r="E677" t="str">
            <v>AXAYACATL</v>
          </cell>
          <cell r="F677">
            <v>62</v>
          </cell>
          <cell r="G677">
            <v>14</v>
          </cell>
          <cell r="H677" t="str">
            <v>Salamanca</v>
          </cell>
          <cell r="I677">
            <v>30000</v>
          </cell>
          <cell r="J677" t="str">
            <v>Multigrado</v>
          </cell>
          <cell r="K677" t="str">
            <v>SAN JOSE DE LA MONTAÑA</v>
          </cell>
          <cell r="L677" t="str">
            <v>SAN JOSE DE LA MONTAÑA</v>
          </cell>
          <cell r="M677" t="str">
            <v>SAN JOSE DE LA MONTAÑA</v>
          </cell>
          <cell r="T677" t="e">
            <v>#REF!</v>
          </cell>
        </row>
        <row r="678">
          <cell r="A678" t="str">
            <v>SALAMANCA</v>
          </cell>
          <cell r="B678" t="str">
            <v>11EPR0253E</v>
          </cell>
          <cell r="C678" t="str">
            <v>X</v>
          </cell>
          <cell r="E678" t="str">
            <v>FRANCISCO I. MADERO</v>
          </cell>
          <cell r="F678">
            <v>516</v>
          </cell>
          <cell r="G678">
            <v>6</v>
          </cell>
          <cell r="H678" t="str">
            <v>Salamanca</v>
          </cell>
          <cell r="I678">
            <v>85000</v>
          </cell>
          <cell r="J678" t="str">
            <v>Completa</v>
          </cell>
          <cell r="K678" t="str">
            <v>PIRUL NUM. 200</v>
          </cell>
          <cell r="L678" t="str">
            <v>FRACCIONAMIENTO VILLARREAL</v>
          </cell>
          <cell r="M678" t="str">
            <v>SALAMANCA</v>
          </cell>
          <cell r="T678" t="e">
            <v>#REF!</v>
          </cell>
        </row>
        <row r="679">
          <cell r="A679" t="str">
            <v>COLONIA MORELOS (EL CHIQUIADOR)</v>
          </cell>
          <cell r="B679" t="str">
            <v>11DJN0158L</v>
          </cell>
          <cell r="C679" t="str">
            <v>X</v>
          </cell>
          <cell r="E679" t="str">
            <v>FRANCISCO GONZALEZ BOCANEGRA</v>
          </cell>
          <cell r="F679">
            <v>94</v>
          </cell>
          <cell r="G679">
            <v>14</v>
          </cell>
          <cell r="H679" t="str">
            <v>Salamanca</v>
          </cell>
          <cell r="I679">
            <v>30000</v>
          </cell>
          <cell r="J679" t="str">
            <v>Multigrado</v>
          </cell>
          <cell r="K679" t="str">
            <v>MORELOS S/N</v>
          </cell>
          <cell r="L679" t="str">
            <v>MORELOS</v>
          </cell>
          <cell r="M679" t="str">
            <v>COLONIA MORELOS (EL CHIQUIADOR)</v>
          </cell>
          <cell r="T679" t="e">
            <v>#REF!</v>
          </cell>
        </row>
        <row r="680">
          <cell r="A680" t="str">
            <v>VALENCIA</v>
          </cell>
          <cell r="B680" t="str">
            <v>11DJN0756H</v>
          </cell>
          <cell r="C680" t="str">
            <v>X</v>
          </cell>
          <cell r="E680" t="str">
            <v>PROFR. RAFAEL RAMIREZ</v>
          </cell>
          <cell r="F680">
            <v>62</v>
          </cell>
          <cell r="G680">
            <v>14</v>
          </cell>
          <cell r="H680" t="str">
            <v>Salamanca</v>
          </cell>
          <cell r="I680">
            <v>20000</v>
          </cell>
          <cell r="J680" t="str">
            <v>Multigrado</v>
          </cell>
          <cell r="K680" t="str">
            <v>VALENCIA</v>
          </cell>
          <cell r="L680" t="str">
            <v>VALENCIA</v>
          </cell>
          <cell r="M680" t="str">
            <v>VALENCIA</v>
          </cell>
          <cell r="T680" t="e">
            <v>#REF!</v>
          </cell>
        </row>
        <row r="681">
          <cell r="A681" t="str">
            <v>DOÑA ROSA (EL CHICOTE)</v>
          </cell>
          <cell r="B681" t="str">
            <v>11ETV0670Q</v>
          </cell>
          <cell r="C681" t="str">
            <v>X</v>
          </cell>
          <cell r="E681" t="str">
            <v>TELESECUNDARIA NUM. 654</v>
          </cell>
          <cell r="F681">
            <v>547</v>
          </cell>
          <cell r="G681">
            <v>8</v>
          </cell>
          <cell r="H681" t="str">
            <v>Salamanca</v>
          </cell>
          <cell r="I681">
            <v>70000</v>
          </cell>
          <cell r="J681" t="str">
            <v>Completa</v>
          </cell>
          <cell r="K681" t="str">
            <v>DOÑA ROSA</v>
          </cell>
          <cell r="L681" t="str">
            <v>DOÑA ROSA</v>
          </cell>
          <cell r="M681" t="str">
            <v>DOÑA ROSA (EL CHICOTE)</v>
          </cell>
          <cell r="T681" t="e">
            <v>#REF!</v>
          </cell>
        </row>
        <row r="682">
          <cell r="A682" t="str">
            <v>LA LUZ (LA CAL)</v>
          </cell>
          <cell r="B682" t="str">
            <v>11DJN0511N</v>
          </cell>
          <cell r="C682" t="str">
            <v>X</v>
          </cell>
          <cell r="E682" t="str">
            <v>LAUREANA W. GONZALEZ</v>
          </cell>
          <cell r="F682">
            <v>62</v>
          </cell>
          <cell r="G682">
            <v>14</v>
          </cell>
          <cell r="H682" t="str">
            <v>Salamanca</v>
          </cell>
          <cell r="I682">
            <v>85000</v>
          </cell>
          <cell r="J682" t="str">
            <v>Completa</v>
          </cell>
          <cell r="K682" t="str">
            <v>MIGUEL HIDALGO</v>
          </cell>
          <cell r="L682" t="str">
            <v>LA LUZ</v>
          </cell>
          <cell r="M682" t="str">
            <v>LA LUZ (LA CAL)</v>
          </cell>
          <cell r="T682" t="e">
            <v>#REF!</v>
          </cell>
        </row>
        <row r="683">
          <cell r="A683" t="str">
            <v>SALAMANCA</v>
          </cell>
          <cell r="B683" t="str">
            <v>11EJN0419F</v>
          </cell>
          <cell r="C683" t="str">
            <v>X</v>
          </cell>
          <cell r="E683" t="str">
            <v>MARIA GUADALUPE CONTRERAS MORALES</v>
          </cell>
          <cell r="F683">
            <v>529</v>
          </cell>
          <cell r="G683">
            <v>8</v>
          </cell>
          <cell r="H683" t="str">
            <v>Salamanca</v>
          </cell>
          <cell r="I683">
            <v>85000</v>
          </cell>
          <cell r="J683" t="str">
            <v>Completa</v>
          </cell>
          <cell r="K683" t="str">
            <v>SERAFINES S/N</v>
          </cell>
          <cell r="L683" t="str">
            <v>LA GLORIA</v>
          </cell>
          <cell r="M683" t="str">
            <v>SALAMANCA</v>
          </cell>
          <cell r="T683" t="e">
            <v>#REF!</v>
          </cell>
        </row>
        <row r="684">
          <cell r="A684" t="str">
            <v>SALAMANCA</v>
          </cell>
          <cell r="B684" t="str">
            <v>11DPR1933S</v>
          </cell>
          <cell r="D684" t="str">
            <v>X</v>
          </cell>
          <cell r="E684" t="str">
            <v>EL PIPILA</v>
          </cell>
          <cell r="F684">
            <v>179</v>
          </cell>
          <cell r="G684">
            <v>19</v>
          </cell>
          <cell r="H684" t="str">
            <v>Salamanca</v>
          </cell>
          <cell r="I684">
            <v>85000</v>
          </cell>
          <cell r="J684" t="str">
            <v>Completa</v>
          </cell>
          <cell r="K684" t="str">
            <v>LABORES S/N</v>
          </cell>
          <cell r="L684" t="str">
            <v>INFONAVIT I</v>
          </cell>
          <cell r="M684" t="str">
            <v>SALAMANCA</v>
          </cell>
          <cell r="T684" t="e">
            <v>#REF!</v>
          </cell>
        </row>
        <row r="685">
          <cell r="A685" t="str">
            <v>BARRON</v>
          </cell>
          <cell r="B685" t="str">
            <v>11ETV0788O</v>
          </cell>
          <cell r="C685" t="str">
            <v>X</v>
          </cell>
          <cell r="E685" t="str">
            <v>TELESECUNDARIA NUM. 788</v>
          </cell>
          <cell r="F685">
            <v>547</v>
          </cell>
          <cell r="G685">
            <v>8</v>
          </cell>
          <cell r="H685" t="str">
            <v>Salamanca</v>
          </cell>
          <cell r="I685">
            <v>70000</v>
          </cell>
          <cell r="J685" t="str">
            <v>Completa</v>
          </cell>
          <cell r="K685" t="str">
            <v>JUAREZ NUM. 28</v>
          </cell>
          <cell r="L685" t="str">
            <v>BARRON</v>
          </cell>
          <cell r="M685" t="str">
            <v>BARRON</v>
          </cell>
          <cell r="T685" t="e">
            <v>#REF!</v>
          </cell>
        </row>
        <row r="686">
          <cell r="A686" t="str">
            <v>CUATRO DE ALTAMIRA</v>
          </cell>
          <cell r="B686" t="str">
            <v>11ETV0927Z</v>
          </cell>
          <cell r="D686" t="str">
            <v>X</v>
          </cell>
          <cell r="E686" t="str">
            <v>TELESECUNDARIA NUM. 927</v>
          </cell>
          <cell r="F686">
            <v>547</v>
          </cell>
          <cell r="G686">
            <v>8</v>
          </cell>
          <cell r="H686" t="str">
            <v>Salamanca</v>
          </cell>
          <cell r="I686">
            <v>85000</v>
          </cell>
          <cell r="J686" t="str">
            <v>Completa</v>
          </cell>
          <cell r="K686" t="str">
            <v>CUATRO DE ALTAMIRA</v>
          </cell>
          <cell r="L686" t="str">
            <v>CUATRO DE ALTAMIRA</v>
          </cell>
          <cell r="M686" t="str">
            <v>CUATRO DE ALTAMIRA</v>
          </cell>
          <cell r="T686" t="e">
            <v>#REF!</v>
          </cell>
        </row>
        <row r="687">
          <cell r="A687" t="str">
            <v>PALO BLANCO</v>
          </cell>
          <cell r="B687" t="str">
            <v>11DJN0164W</v>
          </cell>
          <cell r="D687" t="str">
            <v>X</v>
          </cell>
          <cell r="E687" t="str">
            <v>ABRAHAM CASTELLANOS</v>
          </cell>
          <cell r="F687">
            <v>94</v>
          </cell>
          <cell r="G687">
            <v>14</v>
          </cell>
          <cell r="H687" t="str">
            <v>Salamanca</v>
          </cell>
          <cell r="I687">
            <v>25000</v>
          </cell>
          <cell r="J687" t="str">
            <v>Multigrado</v>
          </cell>
          <cell r="K687" t="str">
            <v>VICENTE GUERRERO</v>
          </cell>
          <cell r="L687" t="str">
            <v>PALO BLANCO</v>
          </cell>
          <cell r="M687" t="str">
            <v>PALO BLANCO</v>
          </cell>
          <cell r="T687" t="e">
            <v>#REF!</v>
          </cell>
        </row>
        <row r="688">
          <cell r="A688" t="str">
            <v>SALAMANCA</v>
          </cell>
          <cell r="B688" t="str">
            <v>11DJN0402G</v>
          </cell>
          <cell r="D688" t="str">
            <v>X</v>
          </cell>
          <cell r="E688" t="str">
            <v>FRANCISCO GABILONDO SOLER</v>
          </cell>
          <cell r="F688">
            <v>94</v>
          </cell>
          <cell r="G688">
            <v>14</v>
          </cell>
          <cell r="H688" t="str">
            <v>Salamanca</v>
          </cell>
          <cell r="I688">
            <v>85000</v>
          </cell>
          <cell r="J688" t="str">
            <v>Completa</v>
          </cell>
          <cell r="K688" t="str">
            <v>EFREN SANCHEZ NUM. 206</v>
          </cell>
          <cell r="L688" t="str">
            <v>HUMANISTA</v>
          </cell>
          <cell r="M688" t="str">
            <v>SALAMANCA</v>
          </cell>
          <cell r="T688" t="e">
            <v>#REF!</v>
          </cell>
        </row>
        <row r="689">
          <cell r="A689" t="str">
            <v>SALAMANCA</v>
          </cell>
          <cell r="B689" t="str">
            <v>11EJN0024V</v>
          </cell>
          <cell r="C689" t="str">
            <v>X</v>
          </cell>
          <cell r="E689" t="str">
            <v>FRIDA KHALO CALDERON</v>
          </cell>
          <cell r="F689">
            <v>509</v>
          </cell>
          <cell r="G689">
            <v>8</v>
          </cell>
          <cell r="H689" t="str">
            <v>Salamanca</v>
          </cell>
          <cell r="I689">
            <v>30000</v>
          </cell>
          <cell r="J689" t="str">
            <v>Multigrado</v>
          </cell>
          <cell r="K689" t="str">
            <v>AVENIDA DEL TRABAJO NUM. 1236</v>
          </cell>
          <cell r="L689" t="str">
            <v>SANROQUE</v>
          </cell>
          <cell r="M689" t="str">
            <v>SALAMANCA</v>
          </cell>
          <cell r="T689" t="e">
            <v>#REF!</v>
          </cell>
        </row>
        <row r="690">
          <cell r="A690" t="str">
            <v>SALAMANCA</v>
          </cell>
          <cell r="B690" t="str">
            <v>11DPR3885M</v>
          </cell>
          <cell r="C690" t="str">
            <v>X</v>
          </cell>
          <cell r="E690" t="str">
            <v>FUNDACION ANDANAC NISSAN, SALAMANCA</v>
          </cell>
          <cell r="F690">
            <v>179</v>
          </cell>
          <cell r="G690">
            <v>19</v>
          </cell>
          <cell r="H690" t="str">
            <v>Salamanca</v>
          </cell>
          <cell r="I690">
            <v>70000</v>
          </cell>
          <cell r="J690" t="str">
            <v>Completa</v>
          </cell>
          <cell r="K690" t="str">
            <v>RINCONADA DE LA CRUZ S/N</v>
          </cell>
          <cell r="L690" t="str">
            <v>FRACCIONAMIENTO EL CAMPANARIO</v>
          </cell>
          <cell r="M690" t="str">
            <v>SALAMANCA</v>
          </cell>
          <cell r="T690" t="e">
            <v>#REF!</v>
          </cell>
        </row>
        <row r="691">
          <cell r="A691" t="str">
            <v>SALAMANCA</v>
          </cell>
          <cell r="B691" t="str">
            <v>11EJN0292Q</v>
          </cell>
          <cell r="C691" t="str">
            <v>X</v>
          </cell>
          <cell r="E691" t="str">
            <v>MAESTRA ELENA TORRES CUELLAR</v>
          </cell>
          <cell r="F691">
            <v>509</v>
          </cell>
          <cell r="G691">
            <v>8</v>
          </cell>
          <cell r="H691" t="str">
            <v>Salamanca</v>
          </cell>
          <cell r="I691">
            <v>85000</v>
          </cell>
          <cell r="J691" t="str">
            <v>Completa</v>
          </cell>
          <cell r="K691" t="str">
            <v>GREMIOS NUM. 156</v>
          </cell>
          <cell r="L691" t="str">
            <v>INFONAVIT I</v>
          </cell>
          <cell r="M691" t="str">
            <v>SALAMANCA</v>
          </cell>
          <cell r="T691" t="e">
            <v>#REF!</v>
          </cell>
        </row>
        <row r="692">
          <cell r="A692" t="str">
            <v>LA CAMPANA</v>
          </cell>
          <cell r="B692" t="str">
            <v>11ETV0669A</v>
          </cell>
          <cell r="C692" t="str">
            <v>X</v>
          </cell>
          <cell r="E692" t="str">
            <v>TELESECUNDARIA NUM. 655</v>
          </cell>
          <cell r="F692">
            <v>547</v>
          </cell>
          <cell r="G692">
            <v>8</v>
          </cell>
          <cell r="H692" t="str">
            <v>Salamanca</v>
          </cell>
          <cell r="I692">
            <v>70000</v>
          </cell>
          <cell r="J692" t="str">
            <v>Completa</v>
          </cell>
          <cell r="K692" t="str">
            <v>LA CAMPANA</v>
          </cell>
          <cell r="L692" t="str">
            <v>LA CAMPANA</v>
          </cell>
          <cell r="M692" t="str">
            <v>LA CAMPANA</v>
          </cell>
          <cell r="T692" t="e">
            <v>#REF!</v>
          </cell>
        </row>
        <row r="693">
          <cell r="A693" t="str">
            <v>SALAMANCA</v>
          </cell>
          <cell r="B693" t="str">
            <v>11DPR1158I</v>
          </cell>
          <cell r="C693" t="str">
            <v>X</v>
          </cell>
          <cell r="E693" t="str">
            <v>LAZARO CARDENAS</v>
          </cell>
          <cell r="F693">
            <v>179</v>
          </cell>
          <cell r="G693">
            <v>19</v>
          </cell>
          <cell r="H693" t="str">
            <v>Salamanca</v>
          </cell>
          <cell r="I693">
            <v>85000</v>
          </cell>
          <cell r="J693" t="str">
            <v>Completa</v>
          </cell>
          <cell r="K693" t="str">
            <v>LABORES S/N</v>
          </cell>
          <cell r="L693" t="str">
            <v>INFONAVIT I</v>
          </cell>
          <cell r="M693" t="str">
            <v>SALAMANCA</v>
          </cell>
          <cell r="T693" t="e">
            <v>#REF!</v>
          </cell>
        </row>
        <row r="694">
          <cell r="A694" t="str">
            <v>LA JOYITA DE VILLAFAÑA</v>
          </cell>
          <cell r="B694" t="str">
            <v>11DPR1266Q</v>
          </cell>
          <cell r="C694" t="str">
            <v>X</v>
          </cell>
          <cell r="E694" t="str">
            <v>MIGUEL HIDALGO</v>
          </cell>
          <cell r="F694">
            <v>179</v>
          </cell>
          <cell r="G694">
            <v>19</v>
          </cell>
          <cell r="H694" t="str">
            <v>Salamanca</v>
          </cell>
          <cell r="I694">
            <v>30000</v>
          </cell>
          <cell r="J694" t="str">
            <v>Multigrado</v>
          </cell>
          <cell r="K694" t="str">
            <v>JOYITA DE VILLAFAÑA</v>
          </cell>
          <cell r="L694" t="str">
            <v>JOYITA DE VILLAFAÑA</v>
          </cell>
          <cell r="M694" t="str">
            <v>LA JOYITA DE VILLAFAÑA</v>
          </cell>
          <cell r="T694" t="e">
            <v>#REF!</v>
          </cell>
        </row>
        <row r="695">
          <cell r="A695" t="str">
            <v>SAUZ DE CRUCES</v>
          </cell>
          <cell r="B695" t="str">
            <v>11DPR1334X</v>
          </cell>
          <cell r="C695" t="str">
            <v>X</v>
          </cell>
          <cell r="E695" t="str">
            <v>EMILIANO ZAPATA</v>
          </cell>
          <cell r="F695">
            <v>179</v>
          </cell>
          <cell r="G695">
            <v>19</v>
          </cell>
          <cell r="H695" t="str">
            <v>Salamanca</v>
          </cell>
          <cell r="I695">
            <v>25000</v>
          </cell>
          <cell r="J695" t="str">
            <v>Multigrado</v>
          </cell>
          <cell r="K695" t="str">
            <v>SAUZ DE CRUCES</v>
          </cell>
          <cell r="L695" t="str">
            <v>SAUZ DE CRUCES</v>
          </cell>
          <cell r="M695" t="str">
            <v>SAUZ DE CRUCES</v>
          </cell>
          <cell r="T695" t="e">
            <v>#REF!</v>
          </cell>
        </row>
        <row r="696">
          <cell r="A696" t="str">
            <v>BUENAVISTA DE VALTIERRA</v>
          </cell>
          <cell r="B696" t="str">
            <v>11DPR1572Y</v>
          </cell>
          <cell r="C696" t="str">
            <v>X</v>
          </cell>
          <cell r="E696" t="str">
            <v>IGNACIO RAMIREZ</v>
          </cell>
          <cell r="F696">
            <v>124</v>
          </cell>
          <cell r="G696">
            <v>19</v>
          </cell>
          <cell r="H696" t="str">
            <v>Salamanca</v>
          </cell>
          <cell r="I696">
            <v>20000</v>
          </cell>
          <cell r="J696" t="str">
            <v>Multigrado</v>
          </cell>
          <cell r="K696" t="str">
            <v>BUENAVISTA DE VALTIERRA</v>
          </cell>
          <cell r="L696" t="str">
            <v>BUENAVISTA DE VALTIERRA</v>
          </cell>
          <cell r="M696" t="str">
            <v>BUENAVISTA DE VALTIERRA</v>
          </cell>
          <cell r="T696" t="e">
            <v>#REF!</v>
          </cell>
        </row>
        <row r="697">
          <cell r="A697" t="str">
            <v>SALAMANCA</v>
          </cell>
          <cell r="B697" t="str">
            <v>11EJN0353N</v>
          </cell>
          <cell r="C697" t="str">
            <v>X</v>
          </cell>
          <cell r="E697" t="str">
            <v>ROSAURA ZAPATA CANO</v>
          </cell>
          <cell r="F697">
            <v>529</v>
          </cell>
          <cell r="G697">
            <v>8</v>
          </cell>
          <cell r="H697" t="str">
            <v>Salamanca</v>
          </cell>
          <cell r="I697">
            <v>85000</v>
          </cell>
          <cell r="J697" t="str">
            <v>Completa</v>
          </cell>
          <cell r="K697" t="str">
            <v>MONTE ATHOS NUM. 201</v>
          </cell>
          <cell r="L697" t="str">
            <v>INFONAVIT III (FRACCIONAMIENTO EL MONTE)</v>
          </cell>
          <cell r="M697" t="str">
            <v>SALAMANCA</v>
          </cell>
          <cell r="T697" t="e">
            <v>#REF!</v>
          </cell>
        </row>
        <row r="698">
          <cell r="A698" t="str">
            <v>SALAMANCA</v>
          </cell>
          <cell r="B698" t="str">
            <v>11DPR0331T</v>
          </cell>
          <cell r="D698" t="str">
            <v>X</v>
          </cell>
          <cell r="E698" t="str">
            <v>LAZARO CARDENAS</v>
          </cell>
          <cell r="F698">
            <v>179</v>
          </cell>
          <cell r="G698">
            <v>19</v>
          </cell>
          <cell r="H698" t="str">
            <v>Salamanca</v>
          </cell>
          <cell r="I698">
            <v>55000</v>
          </cell>
          <cell r="J698" t="str">
            <v>Completa</v>
          </cell>
          <cell r="K698" t="str">
            <v>NETZAHUALPILLI Y XOLOTL S/N</v>
          </cell>
          <cell r="L698" t="str">
            <v>SAN PEDRO</v>
          </cell>
          <cell r="M698" t="str">
            <v>SALAMANCA</v>
          </cell>
          <cell r="T698" t="e">
            <v>#REF!</v>
          </cell>
        </row>
        <row r="699">
          <cell r="A699" t="str">
            <v>UNION DE LIEBRES (LAS CONEJAS)</v>
          </cell>
          <cell r="B699" t="str">
            <v>11DPR0653B</v>
          </cell>
          <cell r="C699" t="str">
            <v>X</v>
          </cell>
          <cell r="E699" t="str">
            <v>SANTOS DEGOLLADO</v>
          </cell>
          <cell r="F699">
            <v>179</v>
          </cell>
          <cell r="G699">
            <v>19</v>
          </cell>
          <cell r="H699" t="str">
            <v>Salamanca</v>
          </cell>
          <cell r="I699">
            <v>25000</v>
          </cell>
          <cell r="J699" t="str">
            <v>Multigrado</v>
          </cell>
          <cell r="K699" t="str">
            <v>UNION DE LIEBRES</v>
          </cell>
          <cell r="L699" t="str">
            <v>UNION DE LIEBRES</v>
          </cell>
          <cell r="M699" t="str">
            <v>UNION DE LIEBRES (LAS CONEJAS)</v>
          </cell>
          <cell r="T699" t="e">
            <v>#REF!</v>
          </cell>
        </row>
        <row r="700">
          <cell r="A700" t="str">
            <v>EL CARACOL</v>
          </cell>
          <cell r="B700" t="str">
            <v>11DPR0952Z</v>
          </cell>
          <cell r="C700" t="str">
            <v>X</v>
          </cell>
          <cell r="E700" t="str">
            <v>JAIME TORRES BODET</v>
          </cell>
          <cell r="F700">
            <v>179</v>
          </cell>
          <cell r="G700">
            <v>19</v>
          </cell>
          <cell r="H700" t="str">
            <v>Salamanca</v>
          </cell>
          <cell r="I700">
            <v>20000</v>
          </cell>
          <cell r="J700" t="str">
            <v>Multigrado</v>
          </cell>
          <cell r="K700" t="str">
            <v>EL CARACOL</v>
          </cell>
          <cell r="L700" t="str">
            <v>EL CARACOL</v>
          </cell>
          <cell r="M700" t="str">
            <v>EL CARACOL</v>
          </cell>
          <cell r="T700" t="e">
            <v>#REF!</v>
          </cell>
        </row>
        <row r="701">
          <cell r="A701" t="str">
            <v>LOMA PELADA</v>
          </cell>
          <cell r="B701" t="str">
            <v>11DJN0129Q</v>
          </cell>
          <cell r="C701" t="str">
            <v>X</v>
          </cell>
          <cell r="E701" t="str">
            <v>MARGARITA MAZA DE JUAREZ</v>
          </cell>
          <cell r="F701">
            <v>5</v>
          </cell>
          <cell r="G701">
            <v>14</v>
          </cell>
          <cell r="H701" t="str">
            <v>Salamanca</v>
          </cell>
          <cell r="I701">
            <v>85000</v>
          </cell>
          <cell r="J701" t="str">
            <v>Completa</v>
          </cell>
          <cell r="K701" t="str">
            <v>CERRADA CANTADOR S/N</v>
          </cell>
          <cell r="L701" t="str">
            <v>LOMA DE SAN ANTONIO</v>
          </cell>
          <cell r="M701" t="str">
            <v>LOMA PELADA</v>
          </cell>
          <cell r="T701" t="e">
            <v>#REF!</v>
          </cell>
        </row>
        <row r="702">
          <cell r="A702" t="str">
            <v>LOS CENIZOS</v>
          </cell>
          <cell r="B702" t="str">
            <v>11DPR2680M</v>
          </cell>
          <cell r="C702" t="str">
            <v>X</v>
          </cell>
          <cell r="E702" t="str">
            <v>NIÑOS HEROES</v>
          </cell>
          <cell r="F702">
            <v>179</v>
          </cell>
          <cell r="G702">
            <v>19</v>
          </cell>
          <cell r="H702" t="str">
            <v>Salamanca</v>
          </cell>
          <cell r="I702">
            <v>30000</v>
          </cell>
          <cell r="J702" t="str">
            <v>Multigrado</v>
          </cell>
          <cell r="K702" t="str">
            <v>LOS CENIZOS</v>
          </cell>
          <cell r="L702" t="str">
            <v>LOS CENIZOS</v>
          </cell>
          <cell r="M702" t="str">
            <v>LOS CENIZOS</v>
          </cell>
          <cell r="T702" t="e">
            <v>#REF!</v>
          </cell>
        </row>
        <row r="703">
          <cell r="A703" t="str">
            <v>LOCOS DE COVARRUBIAS</v>
          </cell>
          <cell r="B703" t="str">
            <v>11DPR2757K</v>
          </cell>
          <cell r="C703" t="str">
            <v>X</v>
          </cell>
          <cell r="E703" t="str">
            <v>GENERAL LAZARO CARDENAS</v>
          </cell>
          <cell r="F703">
            <v>179</v>
          </cell>
          <cell r="G703">
            <v>19</v>
          </cell>
          <cell r="H703" t="str">
            <v>Salamanca</v>
          </cell>
          <cell r="I703">
            <v>30000</v>
          </cell>
          <cell r="J703" t="str">
            <v>Multigrado</v>
          </cell>
          <cell r="K703" t="str">
            <v>LOCOS DE COVARRUBIAS</v>
          </cell>
          <cell r="L703" t="str">
            <v>LOS LOCOS DE COVARRUBIAS</v>
          </cell>
          <cell r="M703" t="str">
            <v>LOCOS DE COVARRUBIAS</v>
          </cell>
          <cell r="T703" t="e">
            <v>#REF!</v>
          </cell>
        </row>
        <row r="704">
          <cell r="A704" t="str">
            <v>JOYA DE CORTES (JOYA GRANDE)</v>
          </cell>
          <cell r="B704" t="str">
            <v>11DPR3166E</v>
          </cell>
          <cell r="C704" t="str">
            <v>X</v>
          </cell>
          <cell r="E704" t="str">
            <v>VALENTIN GOMEZ FARIAS</v>
          </cell>
          <cell r="F704">
            <v>179</v>
          </cell>
          <cell r="G704">
            <v>19</v>
          </cell>
          <cell r="H704" t="str">
            <v>Salamanca</v>
          </cell>
          <cell r="I704">
            <v>30000</v>
          </cell>
          <cell r="J704" t="str">
            <v>Multigrado</v>
          </cell>
          <cell r="K704" t="str">
            <v>JOYA DE CORTES</v>
          </cell>
          <cell r="L704" t="str">
            <v>JOYA DE CORTES</v>
          </cell>
          <cell r="M704" t="str">
            <v>JOYA DE CORTES (JOYA GRANDE)</v>
          </cell>
          <cell r="T704" t="e">
            <v>#REF!</v>
          </cell>
        </row>
        <row r="705">
          <cell r="A705" t="str">
            <v>URUETARO</v>
          </cell>
          <cell r="B705" t="str">
            <v>11DJN0037Z</v>
          </cell>
          <cell r="D705" t="str">
            <v>X</v>
          </cell>
          <cell r="E705" t="str">
            <v>MANUEL M. PONCE</v>
          </cell>
          <cell r="F705">
            <v>94</v>
          </cell>
          <cell r="G705">
            <v>14</v>
          </cell>
          <cell r="H705" t="str">
            <v>Salamanca</v>
          </cell>
          <cell r="I705">
            <v>25000</v>
          </cell>
          <cell r="J705" t="str">
            <v>Multigrado</v>
          </cell>
          <cell r="K705" t="str">
            <v>5 DE MAYO S/N Y MARIANO ESCOBEDO</v>
          </cell>
          <cell r="L705" t="str">
            <v>URUETARO</v>
          </cell>
          <cell r="M705" t="str">
            <v>URUETARO</v>
          </cell>
          <cell r="T705" t="e">
            <v>#REF!</v>
          </cell>
        </row>
        <row r="706">
          <cell r="A706" t="str">
            <v>VALTIERRILLA</v>
          </cell>
          <cell r="B706" t="str">
            <v>11DJN4430D</v>
          </cell>
          <cell r="C706" t="str">
            <v>X</v>
          </cell>
          <cell r="E706" t="str">
            <v>GABRIEL GARCIA MARQUEZ</v>
          </cell>
          <cell r="F706">
            <v>62</v>
          </cell>
          <cell r="G706">
            <v>14</v>
          </cell>
          <cell r="H706" t="str">
            <v>Salamanca</v>
          </cell>
          <cell r="I706">
            <v>29000</v>
          </cell>
          <cell r="J706" t="str">
            <v>Multigrado</v>
          </cell>
          <cell r="K706" t="str">
            <v>20 DE NOVIEMBRE NUM. 243</v>
          </cell>
          <cell r="L706" t="str">
            <v>VALTIERRILLA</v>
          </cell>
          <cell r="M706" t="str">
            <v>VALTIERRILLA</v>
          </cell>
          <cell r="T706" t="e">
            <v>#REF!</v>
          </cell>
        </row>
        <row r="707">
          <cell r="A707" t="str">
            <v>LA LUZ (LA CAL)</v>
          </cell>
          <cell r="B707" t="str">
            <v>11DJN4431C</v>
          </cell>
          <cell r="C707" t="str">
            <v>X</v>
          </cell>
          <cell r="E707" t="str">
            <v>PABLO NERUDA</v>
          </cell>
          <cell r="F707">
            <v>62</v>
          </cell>
          <cell r="G707">
            <v>14</v>
          </cell>
          <cell r="H707" t="str">
            <v>Salamanca</v>
          </cell>
          <cell r="I707">
            <v>25000</v>
          </cell>
          <cell r="J707" t="str">
            <v>Multigrado</v>
          </cell>
          <cell r="K707" t="str">
            <v>MIGUEL HIDALGO</v>
          </cell>
          <cell r="L707" t="str">
            <v>LA LUZ</v>
          </cell>
          <cell r="M707" t="str">
            <v>LA LUZ (LA CAL)</v>
          </cell>
          <cell r="T707" t="e">
            <v>#REF!</v>
          </cell>
        </row>
        <row r="708">
          <cell r="A708" t="str">
            <v>SALAMANCA</v>
          </cell>
          <cell r="B708" t="str">
            <v>11EJN0004H</v>
          </cell>
          <cell r="C708" t="str">
            <v>X</v>
          </cell>
          <cell r="E708" t="str">
            <v>NARCISO MENDOZA</v>
          </cell>
          <cell r="F708">
            <v>509</v>
          </cell>
          <cell r="G708">
            <v>8</v>
          </cell>
          <cell r="H708" t="str">
            <v>Salamanca</v>
          </cell>
          <cell r="I708">
            <v>85000</v>
          </cell>
          <cell r="J708" t="str">
            <v>Completa</v>
          </cell>
          <cell r="K708" t="str">
            <v>FRACCIONAMIENTO JOYAS DEL SUR S/N</v>
          </cell>
          <cell r="L708" t="str">
            <v>FRACCIONAMIENTO JOYAS DEL SUR</v>
          </cell>
          <cell r="M708" t="str">
            <v>SALAMANCA</v>
          </cell>
          <cell r="T708" t="e">
            <v>#REF!</v>
          </cell>
        </row>
        <row r="709">
          <cell r="A709" t="str">
            <v>SAN BERNARDO</v>
          </cell>
          <cell r="B709" t="str">
            <v>11ETV0276O</v>
          </cell>
          <cell r="C709" t="str">
            <v>X</v>
          </cell>
          <cell r="E709" t="str">
            <v>TELESECUNDARIA NUM. 282</v>
          </cell>
          <cell r="F709">
            <v>547</v>
          </cell>
          <cell r="G709">
            <v>8</v>
          </cell>
          <cell r="H709" t="str">
            <v>Salamanca</v>
          </cell>
          <cell r="I709">
            <v>85000</v>
          </cell>
          <cell r="J709" t="str">
            <v>Completa</v>
          </cell>
          <cell r="K709" t="str">
            <v>SAN BERNARDO</v>
          </cell>
          <cell r="L709" t="str">
            <v>SAN BERNARDO</v>
          </cell>
          <cell r="M709" t="str">
            <v>SAN BERNARDO</v>
          </cell>
          <cell r="T709" t="e">
            <v>#REF!</v>
          </cell>
        </row>
        <row r="710">
          <cell r="A710" t="str">
            <v>LOMA PELADA</v>
          </cell>
          <cell r="B710" t="str">
            <v>11ETV0672O</v>
          </cell>
          <cell r="D710" t="str">
            <v>X</v>
          </cell>
          <cell r="E710" t="str">
            <v>TELESECUNDARIA NUM. 653</v>
          </cell>
          <cell r="F710">
            <v>518</v>
          </cell>
          <cell r="G710">
            <v>8</v>
          </cell>
          <cell r="H710" t="str">
            <v>Salamanca</v>
          </cell>
          <cell r="I710">
            <v>85000</v>
          </cell>
          <cell r="J710" t="str">
            <v>Completa</v>
          </cell>
          <cell r="K710" t="str">
            <v>LA CURVA SEGUIR DERECHO SIN CRUZAR CANAL</v>
          </cell>
          <cell r="L710" t="str">
            <v>LOMA DE SAN ANTONIO</v>
          </cell>
          <cell r="M710" t="str">
            <v>LOMA PELADA</v>
          </cell>
          <cell r="T710" t="e">
            <v>#REF!</v>
          </cell>
        </row>
        <row r="711">
          <cell r="A711" t="str">
            <v>LOS LOBOS</v>
          </cell>
          <cell r="B711" t="str">
            <v>11DJN0406C</v>
          </cell>
          <cell r="C711" t="str">
            <v>X</v>
          </cell>
          <cell r="E711" t="str">
            <v>JUSTO SIERRA</v>
          </cell>
          <cell r="F711">
            <v>94</v>
          </cell>
          <cell r="G711">
            <v>14</v>
          </cell>
          <cell r="H711" t="str">
            <v>Salamanca</v>
          </cell>
          <cell r="I711">
            <v>30000</v>
          </cell>
          <cell r="J711" t="str">
            <v>Multigrado</v>
          </cell>
          <cell r="K711" t="str">
            <v>INDEPENDENCIA S/N</v>
          </cell>
          <cell r="L711" t="str">
            <v>LOS LOBOS</v>
          </cell>
          <cell r="M711" t="str">
            <v>LOS LOBOS</v>
          </cell>
          <cell r="T711" t="e">
            <v>#REF!</v>
          </cell>
        </row>
        <row r="712">
          <cell r="A712" t="str">
            <v>BARRON</v>
          </cell>
          <cell r="B712" t="str">
            <v>11DJN0757G</v>
          </cell>
          <cell r="D712" t="str">
            <v>X</v>
          </cell>
          <cell r="E712" t="str">
            <v>GENERAL MARIANO ESCOBEDO</v>
          </cell>
          <cell r="F712">
            <v>14</v>
          </cell>
          <cell r="G712">
            <v>14</v>
          </cell>
          <cell r="H712" t="str">
            <v>Salamanca</v>
          </cell>
          <cell r="I712">
            <v>85000</v>
          </cell>
          <cell r="J712" t="str">
            <v>Completa</v>
          </cell>
          <cell r="K712" t="str">
            <v>BARRON</v>
          </cell>
          <cell r="L712" t="str">
            <v>BARRON</v>
          </cell>
          <cell r="M712" t="str">
            <v>BARRON</v>
          </cell>
          <cell r="T712" t="e">
            <v>#REF!</v>
          </cell>
        </row>
        <row r="713">
          <cell r="A713" t="str">
            <v>LA ORDEÑA</v>
          </cell>
          <cell r="B713" t="str">
            <v>11DPR0114E</v>
          </cell>
          <cell r="D713" t="str">
            <v>X</v>
          </cell>
          <cell r="E713" t="str">
            <v>IGNACIO ALLENDE</v>
          </cell>
          <cell r="F713">
            <v>66</v>
          </cell>
          <cell r="G713">
            <v>19</v>
          </cell>
          <cell r="H713" t="str">
            <v>Salamanca</v>
          </cell>
          <cell r="I713">
            <v>45000</v>
          </cell>
          <cell r="J713" t="str">
            <v>Completa</v>
          </cell>
          <cell r="K713" t="str">
            <v>LA ORDEÑA</v>
          </cell>
          <cell r="L713" t="str">
            <v>LA ORDEÑA</v>
          </cell>
          <cell r="M713" t="str">
            <v>LA ORDEÑA</v>
          </cell>
          <cell r="T713" t="e">
            <v>#REF!</v>
          </cell>
        </row>
        <row r="714">
          <cell r="A714" t="str">
            <v>OTEROS</v>
          </cell>
          <cell r="B714" t="str">
            <v>11DJN2421I</v>
          </cell>
          <cell r="C714" t="str">
            <v>X</v>
          </cell>
          <cell r="E714" t="str">
            <v>JUAN ENRIQUE PESTALOZZI</v>
          </cell>
          <cell r="F714">
            <v>14</v>
          </cell>
          <cell r="G714">
            <v>14</v>
          </cell>
          <cell r="H714" t="str">
            <v>Salamanca</v>
          </cell>
          <cell r="I714">
            <v>25000</v>
          </cell>
          <cell r="J714" t="str">
            <v>Multigrado</v>
          </cell>
          <cell r="K714" t="str">
            <v>CAZADORA S/N</v>
          </cell>
          <cell r="L714" t="str">
            <v>OTEROS</v>
          </cell>
          <cell r="M714" t="str">
            <v>OTEROS</v>
          </cell>
          <cell r="T714" t="e">
            <v>#REF!</v>
          </cell>
        </row>
        <row r="715">
          <cell r="A715" t="str">
            <v>SANTO DOMINGO</v>
          </cell>
          <cell r="B715" t="str">
            <v>11ETV0228E</v>
          </cell>
          <cell r="C715" t="str">
            <v>X</v>
          </cell>
          <cell r="E715" t="str">
            <v>TELESECUNDARIA NUM. 236</v>
          </cell>
          <cell r="F715">
            <v>518</v>
          </cell>
          <cell r="G715">
            <v>8</v>
          </cell>
          <cell r="H715" t="str">
            <v>Salamanca</v>
          </cell>
          <cell r="I715">
            <v>85000</v>
          </cell>
          <cell r="J715" t="str">
            <v>Completa</v>
          </cell>
          <cell r="K715" t="str">
            <v>SANTO DOMINGO</v>
          </cell>
          <cell r="L715" t="str">
            <v>SANTO DOMINGO</v>
          </cell>
          <cell r="M715" t="str">
            <v>SANTO DOMINGO</v>
          </cell>
          <cell r="T715" t="e">
            <v>#REF!</v>
          </cell>
        </row>
        <row r="716">
          <cell r="A716" t="str">
            <v>SANTIAGUILLO DE GARCIA</v>
          </cell>
          <cell r="B716" t="str">
            <v>11ETV0762G</v>
          </cell>
          <cell r="C716" t="str">
            <v>X</v>
          </cell>
          <cell r="E716" t="str">
            <v>TELESECUNDARIA NUM. 761</v>
          </cell>
          <cell r="F716">
            <v>518</v>
          </cell>
          <cell r="G716">
            <v>8</v>
          </cell>
          <cell r="H716" t="str">
            <v>Salamanca</v>
          </cell>
          <cell r="I716">
            <v>85000</v>
          </cell>
          <cell r="J716" t="str">
            <v>Completa</v>
          </cell>
          <cell r="K716" t="str">
            <v>SANTIAGUILLO DE GARCIA</v>
          </cell>
          <cell r="L716" t="str">
            <v>SANTIAGUILLO DE GARCIA</v>
          </cell>
          <cell r="M716" t="str">
            <v>SANTIAGUILLO DE GARCIA</v>
          </cell>
          <cell r="T716" t="e">
            <v>#REF!</v>
          </cell>
        </row>
        <row r="717">
          <cell r="A717" t="str">
            <v>LA ORDEÑA</v>
          </cell>
          <cell r="B717" t="str">
            <v>11DJN0208C</v>
          </cell>
          <cell r="C717" t="str">
            <v>X</v>
          </cell>
          <cell r="E717" t="str">
            <v>DAVID G. BERLANGA</v>
          </cell>
          <cell r="F717">
            <v>14</v>
          </cell>
          <cell r="G717">
            <v>14</v>
          </cell>
          <cell r="H717" t="str">
            <v>Salamanca</v>
          </cell>
          <cell r="I717">
            <v>29000</v>
          </cell>
          <cell r="J717" t="str">
            <v>Multigrado</v>
          </cell>
          <cell r="K717" t="str">
            <v>LA ORDEÑA</v>
          </cell>
          <cell r="L717" t="str">
            <v>LA ORDEÑA</v>
          </cell>
          <cell r="M717" t="str">
            <v>LA ORDEÑA</v>
          </cell>
          <cell r="T717" t="e">
            <v>#REF!</v>
          </cell>
        </row>
        <row r="718">
          <cell r="A718" t="str">
            <v>COLONIA LAZARO CARDENAS</v>
          </cell>
          <cell r="B718" t="str">
            <v>11DJN2524E</v>
          </cell>
          <cell r="C718" t="str">
            <v>X</v>
          </cell>
          <cell r="E718" t="str">
            <v>JOSE IGNACIO BARTOLACHE</v>
          </cell>
          <cell r="F718">
            <v>14</v>
          </cell>
          <cell r="G718">
            <v>14</v>
          </cell>
          <cell r="H718" t="str">
            <v>Salamanca</v>
          </cell>
          <cell r="I718">
            <v>30000</v>
          </cell>
          <cell r="J718" t="str">
            <v>Multigrado</v>
          </cell>
          <cell r="K718" t="str">
            <v>LAZARO CARDENAS NUM. 600</v>
          </cell>
          <cell r="L718" t="str">
            <v>EJIDAL LAZARO CARDENAS</v>
          </cell>
          <cell r="M718" t="str">
            <v>COLONIA LAZARO CARDENAS</v>
          </cell>
          <cell r="T718" t="e">
            <v>#REF!</v>
          </cell>
        </row>
        <row r="719">
          <cell r="A719" t="str">
            <v>LA CAPILLA</v>
          </cell>
          <cell r="B719" t="str">
            <v>11ETV0009S</v>
          </cell>
          <cell r="D719" t="str">
            <v>X</v>
          </cell>
          <cell r="E719" t="str">
            <v>TELESECUNDARIA NUM. 26</v>
          </cell>
          <cell r="F719">
            <v>518</v>
          </cell>
          <cell r="G719">
            <v>8</v>
          </cell>
          <cell r="H719" t="str">
            <v>Salamanca</v>
          </cell>
          <cell r="I719">
            <v>85000</v>
          </cell>
          <cell r="J719" t="str">
            <v>Completa</v>
          </cell>
          <cell r="K719" t="str">
            <v>INDEPENDENCIA A UN LADO DE PRIMARIA</v>
          </cell>
          <cell r="L719" t="str">
            <v>LA CAPILLA</v>
          </cell>
          <cell r="M719" t="str">
            <v>LA CAPILLA</v>
          </cell>
          <cell r="T719" t="e">
            <v>#REF!</v>
          </cell>
        </row>
        <row r="720">
          <cell r="A720" t="str">
            <v>SAN JOSE TEMASCATIO</v>
          </cell>
          <cell r="B720" t="str">
            <v>11ETV0142Z</v>
          </cell>
          <cell r="D720" t="str">
            <v>X</v>
          </cell>
          <cell r="E720" t="str">
            <v>TELESECUNDARIA NUM. 150</v>
          </cell>
          <cell r="F720">
            <v>518</v>
          </cell>
          <cell r="G720">
            <v>8</v>
          </cell>
          <cell r="H720" t="str">
            <v>Salamanca</v>
          </cell>
          <cell r="I720">
            <v>85000</v>
          </cell>
          <cell r="J720" t="str">
            <v>Completa</v>
          </cell>
          <cell r="K720" t="str">
            <v>FRANCISCO VILLA S/N</v>
          </cell>
          <cell r="L720" t="str">
            <v>LOMA DE FLORES</v>
          </cell>
          <cell r="M720" t="str">
            <v>SAN JOSE TEMASCATIO</v>
          </cell>
          <cell r="T720" t="e">
            <v>#REF!</v>
          </cell>
        </row>
        <row r="721">
          <cell r="A721" t="str">
            <v>EL GUARICHO</v>
          </cell>
          <cell r="B721" t="str">
            <v>11ETV0911Y</v>
          </cell>
          <cell r="C721" t="str">
            <v>X</v>
          </cell>
          <cell r="E721" t="str">
            <v>TELESECUNDARIA NUM. 911</v>
          </cell>
          <cell r="F721">
            <v>518</v>
          </cell>
          <cell r="G721">
            <v>8</v>
          </cell>
          <cell r="H721" t="str">
            <v>Salamanca</v>
          </cell>
          <cell r="I721">
            <v>85000</v>
          </cell>
          <cell r="J721" t="str">
            <v>Completa</v>
          </cell>
          <cell r="K721" t="str">
            <v>EL GUARICHO DESPUES DE REPRESA EN ZAPOTE DE COVARRUBIAS</v>
          </cell>
          <cell r="L721" t="str">
            <v>EL GUARICHO</v>
          </cell>
          <cell r="M721" t="str">
            <v>EL GUARICHO</v>
          </cell>
          <cell r="T721" t="e">
            <v>#REF!</v>
          </cell>
        </row>
        <row r="722">
          <cell r="A722" t="str">
            <v>LABOR DE VALTIERRA</v>
          </cell>
          <cell r="B722" t="str">
            <v>11ETV0005W</v>
          </cell>
          <cell r="D722" t="str">
            <v>X</v>
          </cell>
          <cell r="E722" t="str">
            <v>TELESECUNDARIA NUM. 22</v>
          </cell>
          <cell r="F722">
            <v>518</v>
          </cell>
          <cell r="G722">
            <v>8</v>
          </cell>
          <cell r="H722" t="str">
            <v>Salamanca</v>
          </cell>
          <cell r="I722">
            <v>85000</v>
          </cell>
          <cell r="J722" t="str">
            <v>Completa</v>
          </cell>
          <cell r="K722" t="str">
            <v>LABOR DE VALTIERRA</v>
          </cell>
          <cell r="L722" t="str">
            <v>LABOR DE VALTIERRA</v>
          </cell>
          <cell r="M722" t="str">
            <v>LABOR DE VALTIERRA</v>
          </cell>
          <cell r="T722" t="e">
            <v>#REF!</v>
          </cell>
        </row>
        <row r="723">
          <cell r="A723" t="str">
            <v>LABOR DE VALTIERRA</v>
          </cell>
          <cell r="B723" t="str">
            <v>11DJN0297M</v>
          </cell>
          <cell r="D723" t="str">
            <v>X</v>
          </cell>
          <cell r="E723" t="str">
            <v>ERASMO CASTELLANOS QUINTO</v>
          </cell>
          <cell r="F723">
            <v>94</v>
          </cell>
          <cell r="G723">
            <v>14</v>
          </cell>
          <cell r="H723" t="str">
            <v>Salamanca</v>
          </cell>
          <cell r="I723">
            <v>30000</v>
          </cell>
          <cell r="J723" t="str">
            <v>Multigrado</v>
          </cell>
          <cell r="K723" t="str">
            <v>MELCHOR OCAMPO S/N</v>
          </cell>
          <cell r="L723" t="str">
            <v>LABOR DE VALTIERRA</v>
          </cell>
          <cell r="M723" t="str">
            <v>LABOR DE VALTIERRA</v>
          </cell>
          <cell r="T723" t="e">
            <v>#REF!</v>
          </cell>
        </row>
        <row r="724">
          <cell r="A724" t="str">
            <v>ANCON (LA HACIENDA DE ANCON)</v>
          </cell>
          <cell r="B724" t="str">
            <v>11DJN0902B</v>
          </cell>
          <cell r="C724" t="str">
            <v>X</v>
          </cell>
          <cell r="E724" t="str">
            <v>ALFREDO NOBEL</v>
          </cell>
          <cell r="F724">
            <v>14</v>
          </cell>
          <cell r="G724">
            <v>14</v>
          </cell>
          <cell r="H724" t="str">
            <v>Salamanca</v>
          </cell>
          <cell r="I724">
            <v>30000</v>
          </cell>
          <cell r="J724" t="str">
            <v>Multigrado</v>
          </cell>
          <cell r="K724" t="str">
            <v>ANCON</v>
          </cell>
          <cell r="L724" t="str">
            <v>ANCON</v>
          </cell>
          <cell r="M724" t="str">
            <v>ANCON (LA HACIENDA DE ANCON)</v>
          </cell>
          <cell r="T724" t="e">
            <v>#REF!</v>
          </cell>
        </row>
        <row r="725">
          <cell r="A725" t="str">
            <v>EX-HACIENDA DE JESUS</v>
          </cell>
          <cell r="B725" t="str">
            <v>11DPR0796Z</v>
          </cell>
          <cell r="C725" t="str">
            <v>X</v>
          </cell>
          <cell r="E725" t="str">
            <v>EMILIANO ZAPATA</v>
          </cell>
          <cell r="F725">
            <v>161</v>
          </cell>
          <cell r="G725">
            <v>15</v>
          </cell>
          <cell r="H725" t="str">
            <v>San Diego de la Unión</v>
          </cell>
          <cell r="I725">
            <v>30000</v>
          </cell>
          <cell r="J725" t="str">
            <v>Multigrado</v>
          </cell>
          <cell r="K725" t="str">
            <v>EX-HACIENDA DE JESUS</v>
          </cell>
          <cell r="L725">
            <v>0</v>
          </cell>
          <cell r="M725" t="str">
            <v>EX-HACIENDA DE JESUS</v>
          </cell>
          <cell r="T725" t="e">
            <v>#REF!</v>
          </cell>
        </row>
        <row r="726">
          <cell r="A726" t="str">
            <v>MULATOS</v>
          </cell>
          <cell r="B726" t="str">
            <v>11EJN0389B</v>
          </cell>
          <cell r="C726" t="str">
            <v>X</v>
          </cell>
          <cell r="E726" t="str">
            <v>ALFARO SIQUEIROS</v>
          </cell>
          <cell r="F726">
            <v>519</v>
          </cell>
          <cell r="G726">
            <v>7</v>
          </cell>
          <cell r="H726" t="str">
            <v>San Diego de la Unión</v>
          </cell>
          <cell r="I726">
            <v>30000</v>
          </cell>
          <cell r="J726" t="str">
            <v>Multigrado</v>
          </cell>
          <cell r="K726" t="str">
            <v>MULATOS</v>
          </cell>
          <cell r="L726">
            <v>0</v>
          </cell>
          <cell r="M726" t="str">
            <v>MULATOS</v>
          </cell>
          <cell r="T726" t="e">
            <v>#REF!</v>
          </cell>
        </row>
        <row r="727">
          <cell r="A727" t="str">
            <v>SAN JUAN PAN DE ARRIBA</v>
          </cell>
          <cell r="B727" t="str">
            <v>11ETV0344V</v>
          </cell>
          <cell r="C727" t="str">
            <v>X</v>
          </cell>
          <cell r="E727" t="str">
            <v>TELESECUNDARIA NUM. 350</v>
          </cell>
          <cell r="F727">
            <v>548</v>
          </cell>
          <cell r="G727">
            <v>2</v>
          </cell>
          <cell r="H727" t="str">
            <v>San Diego de la Unión</v>
          </cell>
          <cell r="I727">
            <v>85000</v>
          </cell>
          <cell r="J727" t="str">
            <v>Completa</v>
          </cell>
          <cell r="K727" t="str">
            <v>SAN JUAN PAN DE ARRIBA</v>
          </cell>
          <cell r="L727">
            <v>0</v>
          </cell>
          <cell r="M727" t="str">
            <v>SAN JUAN PAN DE ARRIBA</v>
          </cell>
          <cell r="T727" t="e">
            <v>#REF!</v>
          </cell>
        </row>
        <row r="728">
          <cell r="A728" t="str">
            <v>PROVIDENCIA</v>
          </cell>
          <cell r="B728" t="str">
            <v>11ETV0969Y</v>
          </cell>
          <cell r="C728" t="str">
            <v>X</v>
          </cell>
          <cell r="E728" t="str">
            <v>TELESECUNDARIA NUM. 969</v>
          </cell>
          <cell r="F728">
            <v>548</v>
          </cell>
          <cell r="G728">
            <v>2</v>
          </cell>
          <cell r="H728" t="str">
            <v>San Diego de la Unión</v>
          </cell>
          <cell r="I728">
            <v>85000</v>
          </cell>
          <cell r="J728" t="str">
            <v>Completa</v>
          </cell>
          <cell r="K728" t="str">
            <v>PROVIDENCIA</v>
          </cell>
          <cell r="L728">
            <v>0</v>
          </cell>
          <cell r="M728" t="str">
            <v>PROVIDENCIA</v>
          </cell>
          <cell r="T728" t="e">
            <v>#REF!</v>
          </cell>
        </row>
        <row r="729">
          <cell r="A729" t="str">
            <v>EX-HACIENDA NORIA DE ALDAY (LA NORIA)</v>
          </cell>
          <cell r="B729" t="str">
            <v>11DPR0101A</v>
          </cell>
          <cell r="C729" t="str">
            <v>X</v>
          </cell>
          <cell r="E729" t="str">
            <v>MARIANO MATAMOROS</v>
          </cell>
          <cell r="F729">
            <v>161</v>
          </cell>
          <cell r="G729">
            <v>15</v>
          </cell>
          <cell r="H729" t="str">
            <v>San Diego de la Unión</v>
          </cell>
          <cell r="I729">
            <v>30000</v>
          </cell>
          <cell r="J729" t="str">
            <v>Multigrado</v>
          </cell>
          <cell r="K729" t="str">
            <v>LA NORIA</v>
          </cell>
          <cell r="L729">
            <v>0</v>
          </cell>
          <cell r="M729" t="str">
            <v>EX-HACIENDA NORIA DE ALDAY (LA NORIA)</v>
          </cell>
          <cell r="T729" t="e">
            <v>#REF!</v>
          </cell>
        </row>
        <row r="730">
          <cell r="A730" t="str">
            <v>EX-HACIENDA LA JAULA</v>
          </cell>
          <cell r="B730" t="str">
            <v>11DPR0798X</v>
          </cell>
          <cell r="D730" t="str">
            <v>X</v>
          </cell>
          <cell r="E730" t="str">
            <v>MIGUEL HIDALGO</v>
          </cell>
          <cell r="F730">
            <v>161</v>
          </cell>
          <cell r="G730">
            <v>15</v>
          </cell>
          <cell r="H730" t="str">
            <v>San Diego de la Unión</v>
          </cell>
          <cell r="I730">
            <v>85000</v>
          </cell>
          <cell r="J730" t="str">
            <v>Completa</v>
          </cell>
          <cell r="K730" t="str">
            <v>LA JAULA</v>
          </cell>
          <cell r="L730">
            <v>0</v>
          </cell>
          <cell r="M730" t="str">
            <v>EX-HACIENDA LA JAULA</v>
          </cell>
          <cell r="T730" t="e">
            <v>#REF!</v>
          </cell>
        </row>
        <row r="731">
          <cell r="A731" t="str">
            <v>LA PRESITA DE LA LUZ (LA PRESITA)</v>
          </cell>
          <cell r="B731" t="str">
            <v>11ETV0148T</v>
          </cell>
          <cell r="C731" t="str">
            <v>X</v>
          </cell>
          <cell r="E731" t="str">
            <v>TELESECUNDARIA NUM. 203</v>
          </cell>
          <cell r="F731">
            <v>548</v>
          </cell>
          <cell r="G731">
            <v>2</v>
          </cell>
          <cell r="H731" t="str">
            <v>San Diego de la Unión</v>
          </cell>
          <cell r="I731">
            <v>85000</v>
          </cell>
          <cell r="J731" t="str">
            <v>Completa</v>
          </cell>
          <cell r="K731" t="str">
            <v>LA PRESITA</v>
          </cell>
          <cell r="L731">
            <v>0</v>
          </cell>
          <cell r="M731" t="str">
            <v>LA PRESITA DE LA LUZ (LA PRESITA)</v>
          </cell>
          <cell r="T731" t="e">
            <v>#REF!</v>
          </cell>
        </row>
        <row r="732">
          <cell r="A732" t="str">
            <v>GUANAJUATITO</v>
          </cell>
          <cell r="B732" t="str">
            <v>11DPR1199I</v>
          </cell>
          <cell r="C732" t="str">
            <v>X</v>
          </cell>
          <cell r="E732" t="str">
            <v>IGNACIO ALLENDE</v>
          </cell>
          <cell r="F732">
            <v>161</v>
          </cell>
          <cell r="G732">
            <v>15</v>
          </cell>
          <cell r="H732" t="str">
            <v>San Diego de la Unión</v>
          </cell>
          <cell r="I732">
            <v>30000</v>
          </cell>
          <cell r="J732" t="str">
            <v>Multigrado</v>
          </cell>
          <cell r="K732" t="str">
            <v>GUANAJUATITO</v>
          </cell>
          <cell r="L732">
            <v>0</v>
          </cell>
          <cell r="M732" t="str">
            <v>GUANAJUATITO</v>
          </cell>
          <cell r="T732" t="e">
            <v>#REF!</v>
          </cell>
        </row>
        <row r="733">
          <cell r="A733" t="str">
            <v>ROSA DE CASTILLA</v>
          </cell>
          <cell r="B733" t="str">
            <v>11DPR2860X</v>
          </cell>
          <cell r="C733" t="str">
            <v>X</v>
          </cell>
          <cell r="E733" t="str">
            <v>SOR JUANA INES DE LA CRUZ</v>
          </cell>
          <cell r="F733">
            <v>161</v>
          </cell>
          <cell r="G733">
            <v>15</v>
          </cell>
          <cell r="H733" t="str">
            <v>San Diego de la Unión</v>
          </cell>
          <cell r="I733">
            <v>30000</v>
          </cell>
          <cell r="J733" t="str">
            <v>Multigrado</v>
          </cell>
          <cell r="K733" t="str">
            <v>LA ROSA DE CASTILLA</v>
          </cell>
          <cell r="L733">
            <v>0</v>
          </cell>
          <cell r="M733" t="str">
            <v>ROSA DE CASTILLA</v>
          </cell>
          <cell r="T733" t="e">
            <v>#REF!</v>
          </cell>
        </row>
        <row r="734">
          <cell r="A734" t="str">
            <v>LA PALENCIA DEL SAUCITO</v>
          </cell>
          <cell r="B734" t="str">
            <v>11EJN0255M</v>
          </cell>
          <cell r="C734" t="str">
            <v>X</v>
          </cell>
          <cell r="E734" t="str">
            <v>LAUREANA W. GONZALEZ</v>
          </cell>
          <cell r="F734">
            <v>519</v>
          </cell>
          <cell r="G734">
            <v>7</v>
          </cell>
          <cell r="H734" t="str">
            <v>San Diego de la Unión</v>
          </cell>
          <cell r="I734">
            <v>30000</v>
          </cell>
          <cell r="J734" t="str">
            <v>Multigrado</v>
          </cell>
          <cell r="K734" t="str">
            <v>LA PALENCIA</v>
          </cell>
          <cell r="L734">
            <v>0</v>
          </cell>
          <cell r="M734" t="str">
            <v>LA PALENCIA DEL SAUCITO</v>
          </cell>
          <cell r="T734" t="e">
            <v>#REF!</v>
          </cell>
        </row>
        <row r="735">
          <cell r="A735" t="str">
            <v>EX-HACIENDA NORIA DE ALDAY (LA NORIA)</v>
          </cell>
          <cell r="B735" t="str">
            <v>11DPR2098R</v>
          </cell>
          <cell r="C735" t="str">
            <v>X</v>
          </cell>
          <cell r="E735" t="str">
            <v>MIGUEL HIDALGO</v>
          </cell>
          <cell r="F735">
            <v>161</v>
          </cell>
          <cell r="G735">
            <v>15</v>
          </cell>
          <cell r="H735" t="str">
            <v>San Diego de la Unión</v>
          </cell>
          <cell r="I735">
            <v>85000</v>
          </cell>
          <cell r="J735" t="str">
            <v>Completa</v>
          </cell>
          <cell r="K735" t="str">
            <v>LA NORIA</v>
          </cell>
          <cell r="L735">
            <v>0</v>
          </cell>
          <cell r="M735" t="str">
            <v>EX-HACIENDA NORIA DE ALDAY (LA NORIA)</v>
          </cell>
          <cell r="T735" t="e">
            <v>#REF!</v>
          </cell>
        </row>
        <row r="736">
          <cell r="A736" t="str">
            <v>PARRITAS</v>
          </cell>
          <cell r="B736" t="str">
            <v>11ETV0541W</v>
          </cell>
          <cell r="C736" t="str">
            <v>X</v>
          </cell>
          <cell r="E736" t="str">
            <v>TELESECUNDARIA NUM. 538</v>
          </cell>
          <cell r="F736">
            <v>548</v>
          </cell>
          <cell r="G736">
            <v>2</v>
          </cell>
          <cell r="H736" t="str">
            <v>San Diego de la Unión</v>
          </cell>
          <cell r="I736">
            <v>85000</v>
          </cell>
          <cell r="J736" t="str">
            <v>Completa</v>
          </cell>
          <cell r="K736" t="str">
            <v>LAS PARRITAS</v>
          </cell>
          <cell r="L736">
            <v>0</v>
          </cell>
          <cell r="M736" t="str">
            <v>PARRITAS</v>
          </cell>
          <cell r="T736" t="e">
            <v>#REF!</v>
          </cell>
        </row>
        <row r="737">
          <cell r="A737" t="str">
            <v>CARBONERA</v>
          </cell>
          <cell r="B737" t="str">
            <v>11ETV0691C</v>
          </cell>
          <cell r="C737" t="str">
            <v>X</v>
          </cell>
          <cell r="E737" t="str">
            <v>TELESECUNDARIA NUM. 640</v>
          </cell>
          <cell r="F737">
            <v>548</v>
          </cell>
          <cell r="G737">
            <v>2</v>
          </cell>
          <cell r="H737" t="str">
            <v>San Diego de la Unión</v>
          </cell>
          <cell r="I737">
            <v>85000</v>
          </cell>
          <cell r="J737" t="str">
            <v>Completa</v>
          </cell>
          <cell r="K737" t="str">
            <v>LA CARBONERA</v>
          </cell>
          <cell r="L737" t="str">
            <v>CARBONERA MPIO. 014, LOC. 0674</v>
          </cell>
          <cell r="M737" t="str">
            <v>CARBONERA</v>
          </cell>
          <cell r="T737" t="e">
            <v>#REF!</v>
          </cell>
        </row>
        <row r="738">
          <cell r="A738" t="str">
            <v>EL COLORADO</v>
          </cell>
          <cell r="B738" t="str">
            <v>11ETV1007A</v>
          </cell>
          <cell r="C738" t="str">
            <v>X</v>
          </cell>
          <cell r="E738" t="str">
            <v>TELESECUNDARIA NUM. 1007</v>
          </cell>
          <cell r="F738">
            <v>548</v>
          </cell>
          <cell r="G738">
            <v>2</v>
          </cell>
          <cell r="H738" t="str">
            <v>San Diego de la Unión</v>
          </cell>
          <cell r="I738">
            <v>85000</v>
          </cell>
          <cell r="J738" t="str">
            <v>Completa</v>
          </cell>
          <cell r="K738" t="str">
            <v>EL COLORADO</v>
          </cell>
          <cell r="L738">
            <v>0</v>
          </cell>
          <cell r="M738" t="str">
            <v>EL COLORADO</v>
          </cell>
          <cell r="T738" t="e">
            <v>#REF!</v>
          </cell>
        </row>
        <row r="739">
          <cell r="A739" t="str">
            <v>SAN DIEGO DE LA UNION</v>
          </cell>
          <cell r="B739" t="str">
            <v>11DJN2338J</v>
          </cell>
          <cell r="C739" t="str">
            <v>X</v>
          </cell>
          <cell r="E739" t="str">
            <v>FRANCISCO GABILONDO SOLER</v>
          </cell>
          <cell r="F739">
            <v>42</v>
          </cell>
          <cell r="G739">
            <v>6</v>
          </cell>
          <cell r="H739" t="str">
            <v>San Diego de la Unión</v>
          </cell>
          <cell r="I739">
            <v>85000</v>
          </cell>
          <cell r="J739" t="str">
            <v>Completa</v>
          </cell>
          <cell r="K739" t="str">
            <v>ACEQUIA S/N</v>
          </cell>
          <cell r="L739">
            <v>0</v>
          </cell>
          <cell r="M739" t="str">
            <v>SAN DIEGO DE LA UNION</v>
          </cell>
          <cell r="T739" t="e">
            <v>#REF!</v>
          </cell>
        </row>
        <row r="740">
          <cell r="A740" t="str">
            <v>TRES ESQUINAS</v>
          </cell>
          <cell r="B740" t="str">
            <v>11DJN3664L</v>
          </cell>
          <cell r="C740" t="str">
            <v>X</v>
          </cell>
          <cell r="E740" t="str">
            <v>NIÑOS HEROES</v>
          </cell>
          <cell r="F740">
            <v>42</v>
          </cell>
          <cell r="G740">
            <v>6</v>
          </cell>
          <cell r="H740" t="str">
            <v>San Diego de la Unión</v>
          </cell>
          <cell r="I740">
            <v>30000</v>
          </cell>
          <cell r="J740" t="str">
            <v>Multigrado</v>
          </cell>
          <cell r="K740" t="str">
            <v>TRES ESQUINAS</v>
          </cell>
          <cell r="L740">
            <v>0</v>
          </cell>
          <cell r="M740" t="str">
            <v>TRES ESQUINAS</v>
          </cell>
          <cell r="T740" t="e">
            <v>#REF!</v>
          </cell>
        </row>
        <row r="741">
          <cell r="A741" t="str">
            <v>EX-HACIENDA DE OJUELOS (OJUELOS)</v>
          </cell>
          <cell r="B741" t="str">
            <v>11DPR0179O</v>
          </cell>
          <cell r="C741" t="str">
            <v>X</v>
          </cell>
          <cell r="E741" t="str">
            <v>JUSTO SIERRA</v>
          </cell>
          <cell r="F741">
            <v>41</v>
          </cell>
          <cell r="G741">
            <v>15</v>
          </cell>
          <cell r="H741" t="str">
            <v>San Diego de la Unión</v>
          </cell>
          <cell r="I741">
            <v>30000</v>
          </cell>
          <cell r="J741" t="str">
            <v>Multigrado</v>
          </cell>
          <cell r="K741" t="str">
            <v>OJUELOS</v>
          </cell>
          <cell r="L741">
            <v>0</v>
          </cell>
          <cell r="M741" t="str">
            <v>EX-HACIENDA DE OJUELOS (OJUELOS)</v>
          </cell>
          <cell r="T741" t="e">
            <v>#REF!</v>
          </cell>
        </row>
        <row r="742">
          <cell r="A742" t="str">
            <v>EL ARENAL</v>
          </cell>
          <cell r="B742" t="str">
            <v>11DPR3853U</v>
          </cell>
          <cell r="C742" t="str">
            <v>X</v>
          </cell>
          <cell r="E742" t="str">
            <v>JUSTO SIERRA</v>
          </cell>
          <cell r="F742">
            <v>161</v>
          </cell>
          <cell r="G742">
            <v>15</v>
          </cell>
          <cell r="H742" t="str">
            <v>San Diego de la Unión</v>
          </cell>
          <cell r="I742">
            <v>30000</v>
          </cell>
          <cell r="J742" t="str">
            <v>Multigrado</v>
          </cell>
          <cell r="K742" t="str">
            <v>EL ARENAL</v>
          </cell>
          <cell r="L742">
            <v>0</v>
          </cell>
          <cell r="M742" t="str">
            <v>EL ARENAL</v>
          </cell>
          <cell r="T742" t="e">
            <v>#REF!</v>
          </cell>
        </row>
        <row r="743">
          <cell r="A743" t="str">
            <v>POZO ADEMADO</v>
          </cell>
          <cell r="B743" t="str">
            <v>11ETV0342X</v>
          </cell>
          <cell r="D743" t="str">
            <v>X</v>
          </cell>
          <cell r="E743" t="str">
            <v>TELESECUNDARIA NUM. 351</v>
          </cell>
          <cell r="F743">
            <v>548</v>
          </cell>
          <cell r="G743">
            <v>2</v>
          </cell>
          <cell r="H743" t="str">
            <v>San Diego de la Unión</v>
          </cell>
          <cell r="I743">
            <v>85000</v>
          </cell>
          <cell r="J743" t="str">
            <v>Completa</v>
          </cell>
          <cell r="K743" t="str">
            <v>POZO ADEMADO</v>
          </cell>
          <cell r="L743">
            <v>0</v>
          </cell>
          <cell r="M743" t="str">
            <v>POZO ADEMADO</v>
          </cell>
          <cell r="T743" t="e">
            <v>#REF!</v>
          </cell>
        </row>
        <row r="744">
          <cell r="A744" t="str">
            <v>CATALAN DEL REFUGIO (CATALANES)</v>
          </cell>
          <cell r="B744" t="str">
            <v>11ETV0443V</v>
          </cell>
          <cell r="C744" t="str">
            <v>X</v>
          </cell>
          <cell r="E744" t="str">
            <v>TELESECUNDARIA NUM. 406</v>
          </cell>
          <cell r="F744">
            <v>548</v>
          </cell>
          <cell r="G744">
            <v>2</v>
          </cell>
          <cell r="H744" t="str">
            <v>San Diego de la Unión</v>
          </cell>
          <cell r="I744">
            <v>85000</v>
          </cell>
          <cell r="J744" t="str">
            <v>Completa</v>
          </cell>
          <cell r="K744" t="str">
            <v>CATALAN DEL REFUGIO</v>
          </cell>
          <cell r="L744">
            <v>0</v>
          </cell>
          <cell r="M744" t="str">
            <v>CATALAN DEL REFUGIO (CATALANES)</v>
          </cell>
          <cell r="T744" t="e">
            <v>#REF!</v>
          </cell>
        </row>
        <row r="745">
          <cell r="A745" t="str">
            <v>LA VIRGEN</v>
          </cell>
          <cell r="B745" t="str">
            <v>11DPR1306A</v>
          </cell>
          <cell r="C745" t="str">
            <v>X</v>
          </cell>
          <cell r="E745" t="str">
            <v>ARTICULO 3ro. CONSTITUCIONAL</v>
          </cell>
          <cell r="F745">
            <v>41</v>
          </cell>
          <cell r="G745">
            <v>15</v>
          </cell>
          <cell r="H745" t="str">
            <v>San Diego de la Unión</v>
          </cell>
          <cell r="I745">
            <v>30000</v>
          </cell>
          <cell r="J745" t="str">
            <v>Multigrado</v>
          </cell>
          <cell r="K745" t="str">
            <v>LA VIRGEN</v>
          </cell>
          <cell r="L745">
            <v>0</v>
          </cell>
          <cell r="M745" t="str">
            <v>LA VIRGEN</v>
          </cell>
          <cell r="T745" t="e">
            <v>#REF!</v>
          </cell>
        </row>
        <row r="746">
          <cell r="A746" t="str">
            <v>PRESA DE MONJAS</v>
          </cell>
          <cell r="B746" t="str">
            <v>11ETV0415Z</v>
          </cell>
          <cell r="C746" t="str">
            <v>X</v>
          </cell>
          <cell r="E746" t="str">
            <v>TELESECUNDARIA NUM. 407</v>
          </cell>
          <cell r="F746">
            <v>548</v>
          </cell>
          <cell r="G746">
            <v>2</v>
          </cell>
          <cell r="H746" t="str">
            <v>San Diego de la Unión</v>
          </cell>
          <cell r="I746">
            <v>85000</v>
          </cell>
          <cell r="J746" t="str">
            <v>Completa</v>
          </cell>
          <cell r="K746" t="str">
            <v>PRESA DE MONJAS</v>
          </cell>
          <cell r="L746">
            <v>0</v>
          </cell>
          <cell r="M746" t="str">
            <v>PRESA DE MONJAS</v>
          </cell>
          <cell r="T746" t="e">
            <v>#REF!</v>
          </cell>
        </row>
        <row r="747">
          <cell r="A747" t="str">
            <v>SANTA ANITA</v>
          </cell>
          <cell r="B747" t="str">
            <v>11DPR2714M</v>
          </cell>
          <cell r="C747" t="str">
            <v>X</v>
          </cell>
          <cell r="E747" t="str">
            <v>JOSEFA ORTIZ DE DOMINGUEZ</v>
          </cell>
          <cell r="F747">
            <v>41</v>
          </cell>
          <cell r="G747">
            <v>15</v>
          </cell>
          <cell r="H747" t="str">
            <v>San Diego de la Unión</v>
          </cell>
          <cell r="I747">
            <v>30000</v>
          </cell>
          <cell r="J747" t="str">
            <v>Multigrado</v>
          </cell>
          <cell r="K747" t="str">
            <v>SANTA ANITA</v>
          </cell>
          <cell r="L747">
            <v>0</v>
          </cell>
          <cell r="M747" t="str">
            <v>SANTA ANITA</v>
          </cell>
          <cell r="T747" t="e">
            <v>#REF!</v>
          </cell>
        </row>
        <row r="748">
          <cell r="A748" t="str">
            <v>LA CABAÑA DEL REY</v>
          </cell>
          <cell r="B748" t="str">
            <v>11ETV0912X</v>
          </cell>
          <cell r="C748" t="str">
            <v>X</v>
          </cell>
          <cell r="E748" t="str">
            <v>TELESECUNDARIA NUM. 912</v>
          </cell>
          <cell r="F748">
            <v>548</v>
          </cell>
          <cell r="G748">
            <v>2</v>
          </cell>
          <cell r="H748" t="str">
            <v>San Diego de la Unión</v>
          </cell>
          <cell r="I748">
            <v>85000</v>
          </cell>
          <cell r="J748" t="str">
            <v>Completa</v>
          </cell>
          <cell r="K748" t="str">
            <v>LA CABAÑA</v>
          </cell>
          <cell r="L748" t="str">
            <v>LA CABAÑA</v>
          </cell>
          <cell r="M748" t="str">
            <v>LA CABAÑA DEL REY</v>
          </cell>
          <cell r="T748" t="e">
            <v>#REF!</v>
          </cell>
        </row>
        <row r="749">
          <cell r="A749" t="str">
            <v>POZO ADEMADO</v>
          </cell>
          <cell r="B749" t="str">
            <v>11DPR0181C</v>
          </cell>
          <cell r="C749" t="str">
            <v>X</v>
          </cell>
          <cell r="E749" t="str">
            <v>BENITO JUAREZ</v>
          </cell>
          <cell r="F749">
            <v>41</v>
          </cell>
          <cell r="G749">
            <v>15</v>
          </cell>
          <cell r="H749" t="str">
            <v>San Diego de la Unión</v>
          </cell>
          <cell r="I749">
            <v>30000</v>
          </cell>
          <cell r="J749" t="str">
            <v>Multigrado</v>
          </cell>
          <cell r="K749" t="str">
            <v>POZO ADEMADO</v>
          </cell>
          <cell r="L749">
            <v>0</v>
          </cell>
          <cell r="M749" t="str">
            <v>POZO ADEMADO</v>
          </cell>
          <cell r="T749" t="e">
            <v>#REF!</v>
          </cell>
        </row>
        <row r="750">
          <cell r="A750" t="str">
            <v>SAN JOSE DEL CHARCO</v>
          </cell>
          <cell r="B750" t="str">
            <v>11DPR2485J</v>
          </cell>
          <cell r="C750" t="str">
            <v>X</v>
          </cell>
          <cell r="E750" t="str">
            <v>NIÑOS HEROES</v>
          </cell>
          <cell r="F750">
            <v>41</v>
          </cell>
          <cell r="G750">
            <v>15</v>
          </cell>
          <cell r="H750" t="str">
            <v>San Diego de la Unión</v>
          </cell>
          <cell r="I750">
            <v>30000</v>
          </cell>
          <cell r="J750" t="str">
            <v>Multigrado</v>
          </cell>
          <cell r="K750" t="str">
            <v>SAN JOSE DEL CHARCO</v>
          </cell>
          <cell r="L750">
            <v>0</v>
          </cell>
          <cell r="M750" t="str">
            <v>SAN JOSE DEL CHARCO</v>
          </cell>
          <cell r="T750" t="e">
            <v>#REF!</v>
          </cell>
        </row>
        <row r="751">
          <cell r="A751" t="str">
            <v>COPORO</v>
          </cell>
          <cell r="B751" t="str">
            <v>11DPR3728W</v>
          </cell>
          <cell r="C751" t="str">
            <v>X</v>
          </cell>
          <cell r="E751" t="str">
            <v>CANDIDO NAVARRO</v>
          </cell>
          <cell r="F751">
            <v>41</v>
          </cell>
          <cell r="G751">
            <v>15</v>
          </cell>
          <cell r="H751" t="str">
            <v>San Diego de la Unión</v>
          </cell>
          <cell r="I751">
            <v>30000</v>
          </cell>
          <cell r="J751" t="str">
            <v>Multigrado</v>
          </cell>
          <cell r="K751" t="str">
            <v>COPORO</v>
          </cell>
          <cell r="L751">
            <v>0</v>
          </cell>
          <cell r="M751" t="str">
            <v>COPORO</v>
          </cell>
          <cell r="T751" t="e">
            <v>#REF!</v>
          </cell>
        </row>
        <row r="752">
          <cell r="A752" t="str">
            <v>PEÑUELAS</v>
          </cell>
          <cell r="B752" t="str">
            <v>11ETV0638H</v>
          </cell>
          <cell r="C752" t="str">
            <v>X</v>
          </cell>
          <cell r="E752" t="str">
            <v>TELESECUNDARIA NUM. 641</v>
          </cell>
          <cell r="F752">
            <v>548</v>
          </cell>
          <cell r="G752">
            <v>2</v>
          </cell>
          <cell r="H752" t="str">
            <v>San Diego de la Unión</v>
          </cell>
          <cell r="I752">
            <v>85000</v>
          </cell>
          <cell r="J752" t="str">
            <v>Completa</v>
          </cell>
          <cell r="K752" t="str">
            <v>PEÑUELAS</v>
          </cell>
          <cell r="L752">
            <v>0</v>
          </cell>
          <cell r="M752" t="str">
            <v>PEÑUELAS</v>
          </cell>
          <cell r="T752" t="e">
            <v>#REF!</v>
          </cell>
        </row>
        <row r="753">
          <cell r="A753" t="str">
            <v>EX-HACIENDA LA JAULA</v>
          </cell>
          <cell r="B753" t="str">
            <v>11ETV0821F</v>
          </cell>
          <cell r="C753" t="str">
            <v>X</v>
          </cell>
          <cell r="E753" t="str">
            <v>TELESECUNDARIA NUM. 821</v>
          </cell>
          <cell r="F753">
            <v>548</v>
          </cell>
          <cell r="G753">
            <v>2</v>
          </cell>
          <cell r="H753" t="str">
            <v>San Diego de la Unión</v>
          </cell>
          <cell r="I753">
            <v>85000</v>
          </cell>
          <cell r="J753" t="str">
            <v>Completa</v>
          </cell>
          <cell r="K753" t="str">
            <v>LA JAULA</v>
          </cell>
          <cell r="L753">
            <v>0</v>
          </cell>
          <cell r="M753" t="str">
            <v>EX-HACIENDA LA JAULA</v>
          </cell>
          <cell r="T753" t="e">
            <v>#REF!</v>
          </cell>
        </row>
        <row r="754">
          <cell r="A754" t="str">
            <v>NAINARE</v>
          </cell>
          <cell r="B754" t="str">
            <v>11DPR2760Y</v>
          </cell>
          <cell r="C754" t="str">
            <v>X</v>
          </cell>
          <cell r="E754" t="str">
            <v>JUAN ESCUTIA</v>
          </cell>
          <cell r="F754">
            <v>41</v>
          </cell>
          <cell r="G754">
            <v>15</v>
          </cell>
          <cell r="H754" t="str">
            <v>San Diego de la Unión</v>
          </cell>
          <cell r="I754">
            <v>30000</v>
          </cell>
          <cell r="J754" t="str">
            <v>Multigrado</v>
          </cell>
          <cell r="K754" t="str">
            <v>NAINARE</v>
          </cell>
          <cell r="L754">
            <v>0</v>
          </cell>
          <cell r="M754" t="str">
            <v>NAINARE</v>
          </cell>
          <cell r="T754" t="e">
            <v>#REF!</v>
          </cell>
        </row>
        <row r="755">
          <cell r="A755" t="str">
            <v>MULATOS</v>
          </cell>
          <cell r="B755" t="str">
            <v>11ETV0596Z</v>
          </cell>
          <cell r="C755" t="str">
            <v>X</v>
          </cell>
          <cell r="E755" t="str">
            <v>TELESECUNDARIA NUM. 596</v>
          </cell>
          <cell r="F755">
            <v>548</v>
          </cell>
          <cell r="G755">
            <v>2</v>
          </cell>
          <cell r="H755" t="str">
            <v>San Diego de la Unión</v>
          </cell>
          <cell r="I755">
            <v>85000</v>
          </cell>
          <cell r="J755" t="str">
            <v>Completa</v>
          </cell>
          <cell r="K755" t="str">
            <v>MULATOS</v>
          </cell>
          <cell r="L755">
            <v>0</v>
          </cell>
          <cell r="M755" t="str">
            <v>MULATOS</v>
          </cell>
          <cell r="T755" t="e">
            <v>#REF!</v>
          </cell>
        </row>
        <row r="756">
          <cell r="A756" t="str">
            <v>EL ROSALITO</v>
          </cell>
          <cell r="B756" t="str">
            <v>11ETV0968Z</v>
          </cell>
          <cell r="C756" t="str">
            <v>X</v>
          </cell>
          <cell r="E756" t="str">
            <v>TELESECUNDARIA NUM. 968</v>
          </cell>
          <cell r="F756">
            <v>548</v>
          </cell>
          <cell r="G756">
            <v>2</v>
          </cell>
          <cell r="H756" t="str">
            <v>San Diego de la Unión</v>
          </cell>
          <cell r="I756">
            <v>85000</v>
          </cell>
          <cell r="J756" t="str">
            <v>Completa</v>
          </cell>
          <cell r="K756" t="str">
            <v>EL ROSALITO</v>
          </cell>
          <cell r="L756">
            <v>0</v>
          </cell>
          <cell r="M756" t="str">
            <v>EL ROSALITO</v>
          </cell>
          <cell r="T756" t="e">
            <v>#REF!</v>
          </cell>
        </row>
        <row r="757">
          <cell r="A757" t="str">
            <v>BARRANCA DE CANO (LA BARRANCA)</v>
          </cell>
          <cell r="B757" t="str">
            <v>11DJN3077V</v>
          </cell>
          <cell r="D757" t="str">
            <v>X</v>
          </cell>
          <cell r="E757" t="str">
            <v>LAURO AGUIRRE</v>
          </cell>
          <cell r="F757">
            <v>42</v>
          </cell>
          <cell r="G757">
            <v>6</v>
          </cell>
          <cell r="H757" t="str">
            <v>San Diego de la Unión</v>
          </cell>
          <cell r="I757">
            <v>30000</v>
          </cell>
          <cell r="J757" t="str">
            <v>Multigrado</v>
          </cell>
          <cell r="K757" t="str">
            <v>LA BARRANCA DE CANO</v>
          </cell>
          <cell r="L757">
            <v>0</v>
          </cell>
          <cell r="M757" t="str">
            <v>BARRANCA DE CANO (LA BARRANCA)</v>
          </cell>
          <cell r="T757" t="e">
            <v>#REF!</v>
          </cell>
        </row>
        <row r="758">
          <cell r="A758" t="str">
            <v>RANCHO DE OVEJAS</v>
          </cell>
          <cell r="B758" t="str">
            <v>11DJN2784R</v>
          </cell>
          <cell r="C758" t="str">
            <v>X</v>
          </cell>
          <cell r="E758" t="str">
            <v>FRANCISCO MANUEL SANCHEZ DE TAGLE</v>
          </cell>
          <cell r="F758">
            <v>42</v>
          </cell>
          <cell r="G758">
            <v>6</v>
          </cell>
          <cell r="H758" t="str">
            <v>San Diego de la Unión</v>
          </cell>
          <cell r="I758">
            <v>30000</v>
          </cell>
          <cell r="J758" t="str">
            <v>Multigrado</v>
          </cell>
          <cell r="K758" t="str">
            <v>OVEJAS</v>
          </cell>
          <cell r="L758">
            <v>0</v>
          </cell>
          <cell r="M758" t="str">
            <v>RANCHO DE OVEJAS</v>
          </cell>
          <cell r="T758" t="e">
            <v>#REF!</v>
          </cell>
        </row>
        <row r="759">
          <cell r="A759" t="str">
            <v>SAN FELIPE</v>
          </cell>
          <cell r="B759" t="str">
            <v>11DJN0936S</v>
          </cell>
          <cell r="C759" t="str">
            <v>X</v>
          </cell>
          <cell r="E759" t="str">
            <v>GUILLERMO PRIETO</v>
          </cell>
          <cell r="F759">
            <v>43</v>
          </cell>
          <cell r="G759">
            <v>24</v>
          </cell>
          <cell r="H759" t="str">
            <v>San Felipe</v>
          </cell>
          <cell r="I759">
            <v>85000</v>
          </cell>
          <cell r="J759" t="str">
            <v>Completa</v>
          </cell>
          <cell r="K759" t="str">
            <v>TEXAS S/N</v>
          </cell>
          <cell r="L759" t="str">
            <v>LOS ZAPOTES</v>
          </cell>
          <cell r="M759" t="str">
            <v>SAN FELIPE</v>
          </cell>
          <cell r="T759" t="e">
            <v>#REF!</v>
          </cell>
        </row>
        <row r="760">
          <cell r="A760" t="str">
            <v>LOS ARRASTRES</v>
          </cell>
          <cell r="B760" t="str">
            <v>11DJN2987M</v>
          </cell>
          <cell r="C760" t="str">
            <v>X</v>
          </cell>
          <cell r="E760" t="str">
            <v>ANTONIO CASO</v>
          </cell>
          <cell r="F760">
            <v>27</v>
          </cell>
          <cell r="G760">
            <v>24</v>
          </cell>
          <cell r="H760" t="str">
            <v>San Felipe</v>
          </cell>
          <cell r="I760">
            <v>30000</v>
          </cell>
          <cell r="J760" t="str">
            <v>Multigrado</v>
          </cell>
          <cell r="K760" t="str">
            <v>LOS ARRASTRES</v>
          </cell>
          <cell r="L760">
            <v>0</v>
          </cell>
          <cell r="M760" t="str">
            <v>LOS ARRASTRES</v>
          </cell>
          <cell r="T760" t="e">
            <v>#REF!</v>
          </cell>
        </row>
        <row r="761">
          <cell r="A761" t="str">
            <v>EL ARO</v>
          </cell>
          <cell r="B761" t="str">
            <v>11DPR0189V</v>
          </cell>
          <cell r="C761" t="str">
            <v>X</v>
          </cell>
          <cell r="E761" t="str">
            <v>JOSEFA ORTIZ DE DOMINGUEZ</v>
          </cell>
          <cell r="F761">
            <v>156</v>
          </cell>
          <cell r="G761">
            <v>11</v>
          </cell>
          <cell r="H761" t="str">
            <v>San Felipe</v>
          </cell>
          <cell r="I761">
            <v>30000</v>
          </cell>
          <cell r="J761" t="str">
            <v>Multigrado</v>
          </cell>
          <cell r="K761" t="str">
            <v>EL ARO</v>
          </cell>
          <cell r="L761">
            <v>0</v>
          </cell>
          <cell r="M761" t="str">
            <v>EL ARO</v>
          </cell>
          <cell r="T761" t="e">
            <v>#REF!</v>
          </cell>
        </row>
        <row r="762">
          <cell r="A762" t="str">
            <v>SAN FRANCISCO</v>
          </cell>
          <cell r="B762" t="str">
            <v>11DPR0222M</v>
          </cell>
          <cell r="C762" t="str">
            <v>X</v>
          </cell>
          <cell r="E762" t="str">
            <v>MARIANO MATAMOROS</v>
          </cell>
          <cell r="F762">
            <v>10</v>
          </cell>
          <cell r="G762">
            <v>11</v>
          </cell>
          <cell r="H762" t="str">
            <v>San Felipe</v>
          </cell>
          <cell r="I762">
            <v>85000</v>
          </cell>
          <cell r="J762" t="str">
            <v>Completa</v>
          </cell>
          <cell r="K762" t="str">
            <v>SAN FRANCISCO</v>
          </cell>
          <cell r="L762">
            <v>0</v>
          </cell>
          <cell r="M762" t="str">
            <v>SAN FRANCISCO</v>
          </cell>
          <cell r="T762" t="e">
            <v>#REF!</v>
          </cell>
        </row>
        <row r="763">
          <cell r="A763" t="str">
            <v>SAN FELIPE</v>
          </cell>
          <cell r="B763" t="str">
            <v>11DPR0587T</v>
          </cell>
          <cell r="C763" t="str">
            <v>X</v>
          </cell>
          <cell r="E763" t="str">
            <v>JUSTO SIERRA</v>
          </cell>
          <cell r="F763">
            <v>10</v>
          </cell>
          <cell r="G763">
            <v>11</v>
          </cell>
          <cell r="H763" t="str">
            <v>San Felipe</v>
          </cell>
          <cell r="I763">
            <v>85000</v>
          </cell>
          <cell r="J763" t="str">
            <v>Completa</v>
          </cell>
          <cell r="K763" t="str">
            <v>16 DE SEPTIEMBRE S/N</v>
          </cell>
          <cell r="L763" t="str">
            <v>CENTRO</v>
          </cell>
          <cell r="M763" t="str">
            <v>SAN FELIPE</v>
          </cell>
          <cell r="T763" t="e">
            <v>#REF!</v>
          </cell>
        </row>
        <row r="764">
          <cell r="A764" t="str">
            <v>TIERRAS PRIETAS</v>
          </cell>
          <cell r="B764" t="str">
            <v>11EPR0511C</v>
          </cell>
          <cell r="D764" t="str">
            <v>X</v>
          </cell>
          <cell r="E764" t="str">
            <v>PADRE HIDALGO</v>
          </cell>
          <cell r="F764">
            <v>518</v>
          </cell>
          <cell r="G764">
            <v>5</v>
          </cell>
          <cell r="H764" t="str">
            <v>San Felipe</v>
          </cell>
          <cell r="I764">
            <v>30000</v>
          </cell>
          <cell r="J764" t="str">
            <v>Multigrado</v>
          </cell>
          <cell r="K764" t="str">
            <v>TIERRAS PRIETAS</v>
          </cell>
          <cell r="L764">
            <v>0</v>
          </cell>
          <cell r="M764" t="str">
            <v>TIERRAS PRIETAS</v>
          </cell>
          <cell r="T764" t="e">
            <v>#REF!</v>
          </cell>
        </row>
        <row r="765">
          <cell r="A765" t="str">
            <v>JARAL DE BERRIOS</v>
          </cell>
          <cell r="B765" t="str">
            <v>11DJN0503E</v>
          </cell>
          <cell r="C765" t="str">
            <v>X</v>
          </cell>
          <cell r="E765" t="str">
            <v>PATRIA</v>
          </cell>
          <cell r="F765">
            <v>43</v>
          </cell>
          <cell r="G765">
            <v>24</v>
          </cell>
          <cell r="H765" t="str">
            <v>San Felipe</v>
          </cell>
          <cell r="I765">
            <v>85000</v>
          </cell>
          <cell r="J765" t="str">
            <v>Completa</v>
          </cell>
          <cell r="K765" t="str">
            <v>ALLENDE S/N</v>
          </cell>
          <cell r="L765" t="str">
            <v>JARAL DE BERRIOS</v>
          </cell>
          <cell r="M765" t="str">
            <v>JARAL DE BERRIOS</v>
          </cell>
          <cell r="T765" t="e">
            <v>#REF!</v>
          </cell>
        </row>
        <row r="766">
          <cell r="A766" t="str">
            <v>SANTA ROSA</v>
          </cell>
          <cell r="B766" t="str">
            <v>11DJN0504D</v>
          </cell>
          <cell r="C766" t="str">
            <v>X</v>
          </cell>
          <cell r="E766" t="str">
            <v>ERASMO CASTELLANOS QUINTO</v>
          </cell>
          <cell r="F766">
            <v>43</v>
          </cell>
          <cell r="G766">
            <v>24</v>
          </cell>
          <cell r="H766" t="str">
            <v>San Felipe</v>
          </cell>
          <cell r="I766">
            <v>85000</v>
          </cell>
          <cell r="J766" t="str">
            <v>Completa</v>
          </cell>
          <cell r="K766" t="str">
            <v>SANTA ROSA</v>
          </cell>
          <cell r="L766">
            <v>0</v>
          </cell>
          <cell r="M766" t="str">
            <v>SANTA ROSA</v>
          </cell>
          <cell r="T766" t="e">
            <v>#REF!</v>
          </cell>
        </row>
        <row r="767">
          <cell r="A767" t="str">
            <v>DESEADILLA</v>
          </cell>
          <cell r="B767" t="str">
            <v>11DPR1298I</v>
          </cell>
          <cell r="C767" t="str">
            <v>X</v>
          </cell>
          <cell r="E767" t="str">
            <v>BENITO JUAREZ</v>
          </cell>
          <cell r="F767">
            <v>156</v>
          </cell>
          <cell r="G767">
            <v>11</v>
          </cell>
          <cell r="H767" t="str">
            <v>San Felipe</v>
          </cell>
          <cell r="I767">
            <v>30000</v>
          </cell>
          <cell r="J767" t="str">
            <v>Multigrado</v>
          </cell>
          <cell r="K767" t="str">
            <v>LA DESEADILLA</v>
          </cell>
          <cell r="L767">
            <v>0</v>
          </cell>
          <cell r="M767" t="str">
            <v>DESEADILLA</v>
          </cell>
          <cell r="T767" t="e">
            <v>#REF!</v>
          </cell>
        </row>
        <row r="768">
          <cell r="A768" t="str">
            <v>BUENAVISTA DEL CUBO (BUENAVISTA)</v>
          </cell>
          <cell r="B768" t="str">
            <v>11EPR0510D</v>
          </cell>
          <cell r="C768" t="str">
            <v>X</v>
          </cell>
          <cell r="E768" t="str">
            <v>PROFR. RAFAEL RAMIREZ</v>
          </cell>
          <cell r="F768">
            <v>518</v>
          </cell>
          <cell r="G768">
            <v>5</v>
          </cell>
          <cell r="H768" t="str">
            <v>San Felipe</v>
          </cell>
          <cell r="I768">
            <v>30000</v>
          </cell>
          <cell r="J768" t="str">
            <v>Multigrado</v>
          </cell>
          <cell r="K768" t="str">
            <v>BUENAVISTA DEL CUBO</v>
          </cell>
          <cell r="L768">
            <v>0</v>
          </cell>
          <cell r="M768" t="str">
            <v>BUENAVISTA DEL CUBO (BUENAVISTA)</v>
          </cell>
          <cell r="T768" t="e">
            <v>#REF!</v>
          </cell>
        </row>
        <row r="769">
          <cell r="A769" t="str">
            <v>GUADALUPE (EX-HACIENDA CASCO DE LEQUEITIO)</v>
          </cell>
          <cell r="B769" t="str">
            <v>11DJN2390F</v>
          </cell>
          <cell r="C769" t="str">
            <v>X</v>
          </cell>
          <cell r="E769" t="str">
            <v>IGNACIO JOSE ALLENDE</v>
          </cell>
          <cell r="F769">
            <v>43</v>
          </cell>
          <cell r="G769">
            <v>24</v>
          </cell>
          <cell r="H769" t="str">
            <v>San Felipe</v>
          </cell>
          <cell r="I769">
            <v>30000</v>
          </cell>
          <cell r="J769" t="str">
            <v>Multigrado</v>
          </cell>
          <cell r="K769" t="str">
            <v>POBLADO DE GUADALUPE</v>
          </cell>
          <cell r="L769">
            <v>0</v>
          </cell>
          <cell r="M769" t="str">
            <v>GUADALUPE (EX-HACIENDA CASCO DE LEQUEITIO)</v>
          </cell>
          <cell r="T769" t="e">
            <v>#REF!</v>
          </cell>
        </row>
        <row r="770">
          <cell r="A770" t="str">
            <v>FABRICA DE MELCHOR</v>
          </cell>
          <cell r="B770" t="str">
            <v>11DJN2408O</v>
          </cell>
          <cell r="C770" t="str">
            <v>X</v>
          </cell>
          <cell r="E770" t="str">
            <v>JUAN ENRIQUE PESTALOZZI</v>
          </cell>
          <cell r="F770">
            <v>43</v>
          </cell>
          <cell r="G770">
            <v>24</v>
          </cell>
          <cell r="H770" t="str">
            <v>San Felipe</v>
          </cell>
          <cell r="I770">
            <v>30000</v>
          </cell>
          <cell r="J770" t="str">
            <v>Multigrado</v>
          </cell>
          <cell r="K770" t="str">
            <v>FABRICA DE MELCHOR</v>
          </cell>
          <cell r="L770">
            <v>0</v>
          </cell>
          <cell r="M770" t="str">
            <v>FABRICA DE MELCHOR</v>
          </cell>
          <cell r="T770" t="e">
            <v>#REF!</v>
          </cell>
        </row>
        <row r="771">
          <cell r="A771" t="str">
            <v>LA HUERTA</v>
          </cell>
          <cell r="B771" t="str">
            <v>11DPR0201Z</v>
          </cell>
          <cell r="C771" t="str">
            <v>X</v>
          </cell>
          <cell r="E771" t="str">
            <v>BENITO JUAREZ</v>
          </cell>
          <cell r="F771">
            <v>156</v>
          </cell>
          <cell r="G771">
            <v>11</v>
          </cell>
          <cell r="H771" t="str">
            <v>San Felipe</v>
          </cell>
          <cell r="I771">
            <v>85000</v>
          </cell>
          <cell r="J771" t="str">
            <v>Completa</v>
          </cell>
          <cell r="K771" t="str">
            <v>LA HUERTA</v>
          </cell>
          <cell r="L771">
            <v>0</v>
          </cell>
          <cell r="M771" t="str">
            <v>LA HUERTA</v>
          </cell>
          <cell r="T771" t="e">
            <v>#REF!</v>
          </cell>
        </row>
        <row r="772">
          <cell r="A772" t="str">
            <v>SAN BARTOLO DE BERRIOS</v>
          </cell>
          <cell r="B772" t="str">
            <v>11DPR0218Z</v>
          </cell>
          <cell r="C772" t="str">
            <v>X</v>
          </cell>
          <cell r="E772" t="str">
            <v>JOSE MA MORELOS Y PAVON</v>
          </cell>
          <cell r="F772">
            <v>10</v>
          </cell>
          <cell r="G772">
            <v>11</v>
          </cell>
          <cell r="H772" t="str">
            <v>San Felipe</v>
          </cell>
          <cell r="I772">
            <v>85000</v>
          </cell>
          <cell r="J772" t="str">
            <v>Completa</v>
          </cell>
          <cell r="K772" t="str">
            <v>SAN BARTOLO DE BERRIO</v>
          </cell>
          <cell r="L772">
            <v>0</v>
          </cell>
          <cell r="M772" t="str">
            <v>SAN BARTOLO DE BERRIOS</v>
          </cell>
          <cell r="T772" t="e">
            <v>#REF!</v>
          </cell>
        </row>
        <row r="773">
          <cell r="A773" t="str">
            <v>SANTA ROSA</v>
          </cell>
          <cell r="B773" t="str">
            <v>11DPR0227H</v>
          </cell>
          <cell r="C773" t="str">
            <v>X</v>
          </cell>
          <cell r="E773" t="str">
            <v>MIGUEL HIDALGO</v>
          </cell>
          <cell r="F773">
            <v>10</v>
          </cell>
          <cell r="G773">
            <v>11</v>
          </cell>
          <cell r="H773" t="str">
            <v>San Felipe</v>
          </cell>
          <cell r="I773">
            <v>85000</v>
          </cell>
          <cell r="J773" t="str">
            <v>Completa</v>
          </cell>
          <cell r="K773" t="str">
            <v>SANTA ROSA</v>
          </cell>
          <cell r="L773">
            <v>0</v>
          </cell>
          <cell r="M773" t="str">
            <v>SANTA ROSA</v>
          </cell>
          <cell r="T773" t="e">
            <v>#REF!</v>
          </cell>
        </row>
        <row r="774">
          <cell r="A774" t="str">
            <v>LA CIENEGA</v>
          </cell>
          <cell r="B774" t="str">
            <v>11DPR0889O</v>
          </cell>
          <cell r="C774" t="str">
            <v>X</v>
          </cell>
          <cell r="E774" t="str">
            <v>BENITO JUAREZ</v>
          </cell>
          <cell r="F774">
            <v>156</v>
          </cell>
          <cell r="G774">
            <v>11</v>
          </cell>
          <cell r="H774" t="str">
            <v>San Felipe</v>
          </cell>
          <cell r="I774">
            <v>30000</v>
          </cell>
          <cell r="J774" t="str">
            <v>Multigrado</v>
          </cell>
          <cell r="K774" t="str">
            <v>LA CIENEGA</v>
          </cell>
          <cell r="L774">
            <v>0</v>
          </cell>
          <cell r="M774" t="str">
            <v>LA CIENEGA</v>
          </cell>
          <cell r="T774" t="e">
            <v>#REF!</v>
          </cell>
        </row>
        <row r="775">
          <cell r="A775" t="str">
            <v>SAN ANTONIO DE LAS ALAZANAS (BUENOS AIRES)</v>
          </cell>
          <cell r="B775" t="str">
            <v>11DPR0895Z</v>
          </cell>
          <cell r="C775" t="str">
            <v>X</v>
          </cell>
          <cell r="E775" t="str">
            <v>ADOLFO LOPEZ MATEOS</v>
          </cell>
          <cell r="F775">
            <v>156</v>
          </cell>
          <cell r="G775">
            <v>11</v>
          </cell>
          <cell r="H775" t="str">
            <v>San Felipe</v>
          </cell>
          <cell r="I775">
            <v>30000</v>
          </cell>
          <cell r="J775" t="str">
            <v>Multigrado</v>
          </cell>
          <cell r="K775" t="str">
            <v>SAN ANTONIO DE LAS ALAZANAS</v>
          </cell>
          <cell r="L775">
            <v>0</v>
          </cell>
          <cell r="M775" t="str">
            <v>SAN ANTONIO DE LAS ALAZANAS (BUENOS AIRES)</v>
          </cell>
          <cell r="T775" t="e">
            <v>#REF!</v>
          </cell>
        </row>
        <row r="776">
          <cell r="A776" t="str">
            <v>SAN FELIPE</v>
          </cell>
          <cell r="B776" t="str">
            <v>11DPR1915C</v>
          </cell>
          <cell r="C776" t="str">
            <v>X</v>
          </cell>
          <cell r="E776" t="str">
            <v>GENERAL IGNACIO ZARAGOZA</v>
          </cell>
          <cell r="F776">
            <v>10</v>
          </cell>
          <cell r="G776">
            <v>11</v>
          </cell>
          <cell r="H776" t="str">
            <v>San Felipe</v>
          </cell>
          <cell r="I776">
            <v>85000</v>
          </cell>
          <cell r="J776" t="str">
            <v>Completa</v>
          </cell>
          <cell r="K776" t="str">
            <v>16 DE SEPTIEMBRE S/N</v>
          </cell>
          <cell r="L776" t="str">
            <v>CENTRO</v>
          </cell>
          <cell r="M776" t="str">
            <v>SAN FELIPE</v>
          </cell>
          <cell r="T776" t="e">
            <v>#REF!</v>
          </cell>
        </row>
        <row r="777">
          <cell r="A777" t="str">
            <v>LOS MARTINEZ</v>
          </cell>
          <cell r="B777" t="str">
            <v>11DPR2084O</v>
          </cell>
          <cell r="C777" t="str">
            <v>X</v>
          </cell>
          <cell r="E777" t="str">
            <v>MIGUEL HIDALGO Y COSTILLA</v>
          </cell>
          <cell r="F777">
            <v>156</v>
          </cell>
          <cell r="G777">
            <v>11</v>
          </cell>
          <cell r="H777" t="str">
            <v>San Felipe</v>
          </cell>
          <cell r="I777">
            <v>30000</v>
          </cell>
          <cell r="J777" t="str">
            <v>Multigrado</v>
          </cell>
          <cell r="K777" t="str">
            <v>LOS MARTINEZ</v>
          </cell>
          <cell r="L777">
            <v>0</v>
          </cell>
          <cell r="M777" t="str">
            <v>LOS MARTINEZ</v>
          </cell>
          <cell r="T777" t="e">
            <v>#REF!</v>
          </cell>
        </row>
        <row r="778">
          <cell r="A778" t="str">
            <v>EL JARALILLO</v>
          </cell>
          <cell r="B778" t="str">
            <v>11DPR2681L</v>
          </cell>
          <cell r="C778" t="str">
            <v>X</v>
          </cell>
          <cell r="E778" t="str">
            <v>MIGUEL HIDALGO</v>
          </cell>
          <cell r="F778">
            <v>156</v>
          </cell>
          <cell r="G778">
            <v>11</v>
          </cell>
          <cell r="H778" t="str">
            <v>San Felipe</v>
          </cell>
          <cell r="I778">
            <v>30000</v>
          </cell>
          <cell r="J778" t="str">
            <v>Multigrado</v>
          </cell>
          <cell r="K778" t="str">
            <v>EL JARALILLO</v>
          </cell>
          <cell r="L778">
            <v>0</v>
          </cell>
          <cell r="M778" t="str">
            <v>EL JARALILLO</v>
          </cell>
          <cell r="T778" t="e">
            <v>#REF!</v>
          </cell>
        </row>
        <row r="779">
          <cell r="A779" t="str">
            <v>SAN JUAN DE LLANOS</v>
          </cell>
          <cell r="B779" t="str">
            <v>11ETV0459W</v>
          </cell>
          <cell r="C779" t="str">
            <v>X</v>
          </cell>
          <cell r="E779" t="str">
            <v>TELESECUNDARIA NUM. 454</v>
          </cell>
          <cell r="F779">
            <v>540</v>
          </cell>
          <cell r="G779">
            <v>2</v>
          </cell>
          <cell r="H779" t="str">
            <v>San Felipe</v>
          </cell>
          <cell r="I779">
            <v>85000</v>
          </cell>
          <cell r="J779" t="str">
            <v>Completa</v>
          </cell>
          <cell r="K779" t="str">
            <v>SAN JUAN DE LLANOS</v>
          </cell>
          <cell r="L779">
            <v>0</v>
          </cell>
          <cell r="M779" t="str">
            <v>SAN JUAN DE LLANOS</v>
          </cell>
          <cell r="T779" t="e">
            <v>#REF!</v>
          </cell>
        </row>
        <row r="780">
          <cell r="A780" t="str">
            <v>LA CIENEGUITA</v>
          </cell>
          <cell r="B780" t="str">
            <v>11DJN0904Z</v>
          </cell>
          <cell r="C780" t="str">
            <v>X</v>
          </cell>
          <cell r="E780" t="str">
            <v>MIGUEL LERDO DE TEJADA</v>
          </cell>
          <cell r="F780">
            <v>27</v>
          </cell>
          <cell r="G780">
            <v>24</v>
          </cell>
          <cell r="H780" t="str">
            <v>San Felipe</v>
          </cell>
          <cell r="I780">
            <v>30000</v>
          </cell>
          <cell r="J780" t="str">
            <v>Multigrado</v>
          </cell>
          <cell r="K780" t="str">
            <v>CIENEGUITA</v>
          </cell>
          <cell r="L780">
            <v>0</v>
          </cell>
          <cell r="M780" t="str">
            <v>LA CIENEGUITA</v>
          </cell>
          <cell r="T780" t="e">
            <v>#REF!</v>
          </cell>
        </row>
        <row r="781">
          <cell r="A781" t="str">
            <v>SAN JOSE DE LA VARILLA</v>
          </cell>
          <cell r="B781" t="str">
            <v>11DJN2577J</v>
          </cell>
          <cell r="C781" t="str">
            <v>X</v>
          </cell>
          <cell r="E781" t="str">
            <v>16 DE SEPTIEMBRE</v>
          </cell>
          <cell r="F781">
            <v>43</v>
          </cell>
          <cell r="G781">
            <v>24</v>
          </cell>
          <cell r="H781" t="str">
            <v>San Felipe</v>
          </cell>
          <cell r="I781">
            <v>30000</v>
          </cell>
          <cell r="J781" t="str">
            <v>Multigrado</v>
          </cell>
          <cell r="K781" t="str">
            <v>SAN JOSE DE LA VARILLA</v>
          </cell>
          <cell r="L781">
            <v>0</v>
          </cell>
          <cell r="M781" t="str">
            <v>SAN JOSE DE LA VARILLA</v>
          </cell>
          <cell r="T781" t="e">
            <v>#REF!</v>
          </cell>
        </row>
        <row r="782">
          <cell r="A782" t="str">
            <v>SAN FELIPE</v>
          </cell>
          <cell r="B782" t="str">
            <v>11DJN2847M</v>
          </cell>
          <cell r="C782" t="str">
            <v>X</v>
          </cell>
          <cell r="E782" t="str">
            <v>FRIDA KAHLO CALDERON</v>
          </cell>
          <cell r="F782">
            <v>76</v>
          </cell>
          <cell r="G782">
            <v>24</v>
          </cell>
          <cell r="H782" t="str">
            <v>San Felipe</v>
          </cell>
          <cell r="I782">
            <v>85000</v>
          </cell>
          <cell r="J782" t="str">
            <v>Completa</v>
          </cell>
          <cell r="K782" t="str">
            <v>PROLONGACION SOLEDAD S/N</v>
          </cell>
          <cell r="L782" t="str">
            <v>LA CONCHITA</v>
          </cell>
          <cell r="M782" t="str">
            <v>SAN FELIPE</v>
          </cell>
          <cell r="T782" t="e">
            <v>#REF!</v>
          </cell>
        </row>
        <row r="783">
          <cell r="A783" t="str">
            <v>SANTA CATARINA</v>
          </cell>
          <cell r="B783" t="str">
            <v>11DPR0226I</v>
          </cell>
          <cell r="C783" t="str">
            <v>X</v>
          </cell>
          <cell r="E783" t="str">
            <v>EMILIANO ZAPATA</v>
          </cell>
          <cell r="F783">
            <v>10</v>
          </cell>
          <cell r="G783">
            <v>11</v>
          </cell>
          <cell r="H783" t="str">
            <v>San Felipe</v>
          </cell>
          <cell r="I783">
            <v>85000</v>
          </cell>
          <cell r="J783" t="str">
            <v>Completa</v>
          </cell>
          <cell r="K783" t="str">
            <v>SANTA CATARINA</v>
          </cell>
          <cell r="L783">
            <v>0</v>
          </cell>
          <cell r="M783" t="str">
            <v>SANTA CATARINA</v>
          </cell>
          <cell r="T783" t="e">
            <v>#REF!</v>
          </cell>
        </row>
        <row r="784">
          <cell r="A784" t="str">
            <v>LA HERMA (LERMA)</v>
          </cell>
          <cell r="B784" t="str">
            <v>11DPR2207H</v>
          </cell>
          <cell r="C784" t="str">
            <v>X</v>
          </cell>
          <cell r="E784" t="str">
            <v>JOSE MA MORELOS</v>
          </cell>
          <cell r="F784">
            <v>156</v>
          </cell>
          <cell r="G784">
            <v>11</v>
          </cell>
          <cell r="H784" t="str">
            <v>San Felipe</v>
          </cell>
          <cell r="I784">
            <v>30000</v>
          </cell>
          <cell r="J784" t="str">
            <v>Multigrado</v>
          </cell>
          <cell r="K784" t="str">
            <v>LERMA</v>
          </cell>
          <cell r="L784">
            <v>0</v>
          </cell>
          <cell r="M784" t="str">
            <v>LA HERMA (LERMA)</v>
          </cell>
          <cell r="T784" t="e">
            <v>#REF!</v>
          </cell>
        </row>
        <row r="785">
          <cell r="A785" t="str">
            <v>LA PURISIMA DE ORIENTE (EL MUERTO)</v>
          </cell>
          <cell r="B785" t="str">
            <v>11DPR3724Z</v>
          </cell>
          <cell r="C785" t="str">
            <v>X</v>
          </cell>
          <cell r="E785" t="str">
            <v>BENITO JUAREZ</v>
          </cell>
          <cell r="F785">
            <v>10</v>
          </cell>
          <cell r="G785">
            <v>11</v>
          </cell>
          <cell r="H785" t="str">
            <v>San Felipe</v>
          </cell>
          <cell r="I785">
            <v>30000</v>
          </cell>
          <cell r="J785" t="str">
            <v>Multigrado</v>
          </cell>
          <cell r="K785" t="str">
            <v>LA PURISIMA DE ORIENTE</v>
          </cell>
          <cell r="L785">
            <v>0</v>
          </cell>
          <cell r="M785" t="str">
            <v>LA PURISIMA DE ORIENTE (EL MUERTO)</v>
          </cell>
          <cell r="T785" t="e">
            <v>#REF!</v>
          </cell>
        </row>
        <row r="786">
          <cell r="A786" t="str">
            <v>MOLINO DE SAN JOSE</v>
          </cell>
          <cell r="B786" t="str">
            <v>11DJN0766O</v>
          </cell>
          <cell r="C786" t="str">
            <v>X</v>
          </cell>
          <cell r="E786" t="str">
            <v>VALENTIN GOMEZ FARIAS</v>
          </cell>
          <cell r="F786">
            <v>76</v>
          </cell>
          <cell r="G786">
            <v>24</v>
          </cell>
          <cell r="H786" t="str">
            <v>San Felipe</v>
          </cell>
          <cell r="I786">
            <v>30000</v>
          </cell>
          <cell r="J786" t="str">
            <v>Multigrado</v>
          </cell>
          <cell r="K786" t="str">
            <v>EL MOLINO DE SAN JOSE</v>
          </cell>
          <cell r="L786">
            <v>0</v>
          </cell>
          <cell r="M786" t="str">
            <v>MOLINO DE SAN JOSE</v>
          </cell>
          <cell r="T786" t="e">
            <v>#REF!</v>
          </cell>
        </row>
        <row r="787">
          <cell r="A787" t="str">
            <v>SAN FELIPE</v>
          </cell>
          <cell r="B787" t="str">
            <v>11DPR0110I</v>
          </cell>
          <cell r="C787" t="str">
            <v>X</v>
          </cell>
          <cell r="E787" t="str">
            <v>MIGUEL HIDALGO Y COSTILLA</v>
          </cell>
          <cell r="F787">
            <v>58</v>
          </cell>
          <cell r="G787">
            <v>11</v>
          </cell>
          <cell r="H787" t="str">
            <v>San Felipe</v>
          </cell>
          <cell r="I787">
            <v>85000</v>
          </cell>
          <cell r="J787" t="str">
            <v>Completa</v>
          </cell>
          <cell r="K787" t="str">
            <v>INDIO TRISTE NUM. 408</v>
          </cell>
          <cell r="L787">
            <v>0</v>
          </cell>
          <cell r="M787" t="str">
            <v>SAN FELIPE</v>
          </cell>
          <cell r="T787" t="e">
            <v>#REF!</v>
          </cell>
        </row>
        <row r="788">
          <cell r="A788" t="str">
            <v>LA ESTANCIA DEL CUBO</v>
          </cell>
          <cell r="B788" t="str">
            <v>11DPR0199B</v>
          </cell>
          <cell r="C788" t="str">
            <v>X</v>
          </cell>
          <cell r="E788" t="str">
            <v>JUVENTINO ROSAS CARDENAS</v>
          </cell>
          <cell r="F788">
            <v>141</v>
          </cell>
          <cell r="G788">
            <v>11</v>
          </cell>
          <cell r="H788" t="str">
            <v>San Felipe</v>
          </cell>
          <cell r="I788">
            <v>85000</v>
          </cell>
          <cell r="J788" t="str">
            <v>Completa</v>
          </cell>
          <cell r="K788" t="str">
            <v>ESTANCIA DEL CUBO</v>
          </cell>
          <cell r="L788">
            <v>0</v>
          </cell>
          <cell r="M788" t="str">
            <v>LA ESTANCIA DEL CUBO</v>
          </cell>
          <cell r="T788" t="e">
            <v>#REF!</v>
          </cell>
        </row>
        <row r="789">
          <cell r="A789" t="str">
            <v>PUERTO DE SANDOVAL</v>
          </cell>
          <cell r="B789" t="str">
            <v>11DPR0213E</v>
          </cell>
          <cell r="C789" t="str">
            <v>X</v>
          </cell>
          <cell r="E789" t="str">
            <v>BENITO JUAREZ</v>
          </cell>
          <cell r="F789">
            <v>10</v>
          </cell>
          <cell r="G789">
            <v>11</v>
          </cell>
          <cell r="H789" t="str">
            <v>San Felipe</v>
          </cell>
          <cell r="I789">
            <v>30000</v>
          </cell>
          <cell r="J789" t="str">
            <v>Multigrado</v>
          </cell>
          <cell r="K789" t="str">
            <v>PUERTO DE SANDOVAL</v>
          </cell>
          <cell r="L789">
            <v>0</v>
          </cell>
          <cell r="M789" t="str">
            <v>PUERTO DE SANDOVAL</v>
          </cell>
          <cell r="T789" t="e">
            <v>#REF!</v>
          </cell>
        </row>
        <row r="790">
          <cell r="A790" t="str">
            <v>VARAL DEL NORTE</v>
          </cell>
          <cell r="B790" t="str">
            <v>11DPR0379M</v>
          </cell>
          <cell r="C790" t="str">
            <v>X</v>
          </cell>
          <cell r="E790" t="str">
            <v>FRANCISCO VILLA</v>
          </cell>
          <cell r="F790">
            <v>10</v>
          </cell>
          <cell r="G790">
            <v>11</v>
          </cell>
          <cell r="H790" t="str">
            <v>San Felipe</v>
          </cell>
          <cell r="I790">
            <v>30000</v>
          </cell>
          <cell r="J790" t="str">
            <v>Multigrado</v>
          </cell>
          <cell r="K790" t="str">
            <v>VARAL DEL NORTE</v>
          </cell>
          <cell r="L790">
            <v>0</v>
          </cell>
          <cell r="M790" t="str">
            <v>VARAL DEL NORTE</v>
          </cell>
          <cell r="T790" t="e">
            <v>#REF!</v>
          </cell>
        </row>
        <row r="791">
          <cell r="A791" t="str">
            <v>SAN JOSE DE RANCHO NUEVO (LOS ARRIEROS)</v>
          </cell>
          <cell r="B791" t="str">
            <v>11DPR1128O</v>
          </cell>
          <cell r="C791" t="str">
            <v>X</v>
          </cell>
          <cell r="E791" t="str">
            <v>MIGUEL HIDALGO</v>
          </cell>
          <cell r="F791">
            <v>10</v>
          </cell>
          <cell r="G791">
            <v>11</v>
          </cell>
          <cell r="H791" t="str">
            <v>San Felipe</v>
          </cell>
          <cell r="I791">
            <v>85000</v>
          </cell>
          <cell r="J791" t="str">
            <v>Completa</v>
          </cell>
          <cell r="K791" t="str">
            <v>SAN JOSE DE RANCHO NUEVO</v>
          </cell>
          <cell r="L791">
            <v>0</v>
          </cell>
          <cell r="M791" t="str">
            <v>SAN JOSE DE RANCHO NUEVO (LOS ARRIEROS)</v>
          </cell>
          <cell r="T791" t="e">
            <v>#REF!</v>
          </cell>
        </row>
        <row r="792">
          <cell r="A792" t="str">
            <v>LA FRONTERA</v>
          </cell>
          <cell r="B792" t="str">
            <v>11DPR2205J</v>
          </cell>
          <cell r="C792" t="str">
            <v>X</v>
          </cell>
          <cell r="E792" t="str">
            <v>EMILIANO ZAPATA</v>
          </cell>
          <cell r="F792">
            <v>156</v>
          </cell>
          <cell r="G792">
            <v>11</v>
          </cell>
          <cell r="H792" t="str">
            <v>San Felipe</v>
          </cell>
          <cell r="I792">
            <v>30000</v>
          </cell>
          <cell r="J792" t="str">
            <v>Multigrado</v>
          </cell>
          <cell r="K792" t="str">
            <v>FRONTERA</v>
          </cell>
          <cell r="L792">
            <v>0</v>
          </cell>
          <cell r="M792" t="str">
            <v>LA FRONTERA</v>
          </cell>
          <cell r="T792" t="e">
            <v>#REF!</v>
          </cell>
        </row>
        <row r="793">
          <cell r="A793" t="str">
            <v>SAN VICENTE</v>
          </cell>
          <cell r="B793" t="str">
            <v>11DPR2623V</v>
          </cell>
          <cell r="C793" t="str">
            <v>X</v>
          </cell>
          <cell r="E793" t="str">
            <v>20 DE NOVIEMBRE</v>
          </cell>
          <cell r="F793">
            <v>156</v>
          </cell>
          <cell r="G793">
            <v>11</v>
          </cell>
          <cell r="H793" t="str">
            <v>San Felipe</v>
          </cell>
          <cell r="I793">
            <v>30000</v>
          </cell>
          <cell r="J793" t="str">
            <v>Multigrado</v>
          </cell>
          <cell r="K793" t="str">
            <v>SAN VICENTE</v>
          </cell>
          <cell r="L793">
            <v>0</v>
          </cell>
          <cell r="M793" t="str">
            <v>SAN VICENTE</v>
          </cell>
          <cell r="T793" t="e">
            <v>#REF!</v>
          </cell>
        </row>
        <row r="794">
          <cell r="A794" t="str">
            <v>SAN BARTOLO DE BERRIOS</v>
          </cell>
          <cell r="B794" t="str">
            <v>11DPR3095A</v>
          </cell>
          <cell r="C794" t="str">
            <v>X</v>
          </cell>
          <cell r="E794" t="str">
            <v>ADOLFO LOPEZ MATEOS</v>
          </cell>
          <cell r="F794">
            <v>10</v>
          </cell>
          <cell r="G794">
            <v>11</v>
          </cell>
          <cell r="H794" t="str">
            <v>San Felipe</v>
          </cell>
          <cell r="I794">
            <v>85000</v>
          </cell>
          <cell r="J794" t="str">
            <v>Completa</v>
          </cell>
          <cell r="K794" t="str">
            <v>SAN BARTOLO DE BERRIO</v>
          </cell>
          <cell r="L794">
            <v>0</v>
          </cell>
          <cell r="M794" t="str">
            <v>SAN BARTOLO DE BERRIOS</v>
          </cell>
          <cell r="T794" t="e">
            <v>#REF!</v>
          </cell>
        </row>
        <row r="795">
          <cell r="A795" t="str">
            <v>GUADALUPE (EX-HACIENDA CASCO DE LEQUEITIO)</v>
          </cell>
          <cell r="B795" t="str">
            <v>11DPR3285S</v>
          </cell>
          <cell r="C795" t="str">
            <v>X</v>
          </cell>
          <cell r="E795" t="str">
            <v>CANDIDO NAVARRO</v>
          </cell>
          <cell r="F795">
            <v>58</v>
          </cell>
          <cell r="G795">
            <v>11</v>
          </cell>
          <cell r="H795" t="str">
            <v>San Felipe</v>
          </cell>
          <cell r="I795">
            <v>85000</v>
          </cell>
          <cell r="J795" t="str">
            <v>Completa</v>
          </cell>
          <cell r="K795" t="str">
            <v>GUADALUPE</v>
          </cell>
          <cell r="L795">
            <v>0</v>
          </cell>
          <cell r="M795" t="str">
            <v>GUADALUPE (EX-HACIENDA CASCO DE LEQUEITIO)</v>
          </cell>
          <cell r="T795" t="e">
            <v>#REF!</v>
          </cell>
        </row>
        <row r="796">
          <cell r="A796" t="str">
            <v>SAN FELIPE</v>
          </cell>
          <cell r="B796" t="str">
            <v>11DPR3397W</v>
          </cell>
          <cell r="C796" t="str">
            <v>X</v>
          </cell>
          <cell r="E796" t="str">
            <v>BENITO JUAREZ GARCIA</v>
          </cell>
          <cell r="F796">
            <v>141</v>
          </cell>
          <cell r="G796">
            <v>11</v>
          </cell>
          <cell r="H796" t="str">
            <v>San Felipe</v>
          </cell>
          <cell r="I796">
            <v>85000</v>
          </cell>
          <cell r="J796" t="str">
            <v>Completa</v>
          </cell>
          <cell r="K796" t="str">
            <v>MARGARITA MAZA DE JUAREZ S/N</v>
          </cell>
          <cell r="L796" t="str">
            <v>MAGISTERIAL</v>
          </cell>
          <cell r="M796" t="str">
            <v>SAN FELIPE</v>
          </cell>
          <cell r="T796" t="e">
            <v>#REF!</v>
          </cell>
        </row>
        <row r="797">
          <cell r="A797" t="str">
            <v>SANTA CATARINA</v>
          </cell>
          <cell r="B797" t="str">
            <v>11DPR3533J</v>
          </cell>
          <cell r="C797" t="str">
            <v>X</v>
          </cell>
          <cell r="E797" t="str">
            <v>FRIDA KAHLO CALDERON</v>
          </cell>
          <cell r="F797">
            <v>10</v>
          </cell>
          <cell r="G797">
            <v>11</v>
          </cell>
          <cell r="H797" t="str">
            <v>San Felipe</v>
          </cell>
          <cell r="I797">
            <v>30000</v>
          </cell>
          <cell r="J797" t="str">
            <v>Multigrado</v>
          </cell>
          <cell r="K797" t="str">
            <v>SANTA CATARINA</v>
          </cell>
          <cell r="L797">
            <v>0</v>
          </cell>
          <cell r="M797" t="str">
            <v>SANTA CATARINA</v>
          </cell>
          <cell r="T797" t="e">
            <v>#REF!</v>
          </cell>
        </row>
        <row r="798">
          <cell r="A798" t="str">
            <v>LA CIENEGUITA</v>
          </cell>
          <cell r="B798" t="str">
            <v>11ETV0149S</v>
          </cell>
          <cell r="C798" t="str">
            <v>X</v>
          </cell>
          <cell r="E798" t="str">
            <v>TELESECUNDARIA NUM. 158</v>
          </cell>
          <cell r="F798">
            <v>540</v>
          </cell>
          <cell r="G798">
            <v>2</v>
          </cell>
          <cell r="H798" t="str">
            <v>San Felipe</v>
          </cell>
          <cell r="I798">
            <v>85000</v>
          </cell>
          <cell r="J798" t="str">
            <v>Completa</v>
          </cell>
          <cell r="K798" t="str">
            <v>CIENEGUITA</v>
          </cell>
          <cell r="L798">
            <v>0</v>
          </cell>
          <cell r="M798" t="str">
            <v>LA CIENEGUITA</v>
          </cell>
          <cell r="T798" t="e">
            <v>#REF!</v>
          </cell>
        </row>
        <row r="799">
          <cell r="A799" t="str">
            <v>LA LABOR</v>
          </cell>
          <cell r="B799" t="str">
            <v>11ETV0745Q</v>
          </cell>
          <cell r="C799" t="str">
            <v>X</v>
          </cell>
          <cell r="E799" t="str">
            <v>TELESECUNDARIA NUM. 749</v>
          </cell>
          <cell r="F799">
            <v>540</v>
          </cell>
          <cell r="G799">
            <v>2</v>
          </cell>
          <cell r="H799" t="str">
            <v>San Felipe</v>
          </cell>
          <cell r="I799">
            <v>85000</v>
          </cell>
          <cell r="J799" t="str">
            <v>Completa</v>
          </cell>
          <cell r="K799" t="str">
            <v>LA LABOR</v>
          </cell>
          <cell r="L799">
            <v>0</v>
          </cell>
          <cell r="M799" t="str">
            <v>LA LABOR</v>
          </cell>
          <cell r="T799" t="e">
            <v>#REF!</v>
          </cell>
        </row>
        <row r="800">
          <cell r="A800" t="str">
            <v>SAN FRANCISCO</v>
          </cell>
          <cell r="B800" t="str">
            <v>11ETV1063T</v>
          </cell>
          <cell r="C800" t="str">
            <v>X</v>
          </cell>
          <cell r="E800" t="str">
            <v>TELESECUNDARIA NUM. 1063</v>
          </cell>
          <cell r="F800">
            <v>520</v>
          </cell>
          <cell r="G800">
            <v>2</v>
          </cell>
          <cell r="H800" t="str">
            <v>San Felipe</v>
          </cell>
          <cell r="I800">
            <v>85000</v>
          </cell>
          <cell r="J800" t="str">
            <v>Completa</v>
          </cell>
          <cell r="K800" t="str">
            <v>SAN FRANCISCO</v>
          </cell>
          <cell r="L800">
            <v>0</v>
          </cell>
          <cell r="M800" t="str">
            <v>SAN FRANCISCO</v>
          </cell>
          <cell r="T800" t="e">
            <v>#REF!</v>
          </cell>
        </row>
        <row r="801">
          <cell r="A801" t="str">
            <v>SAN JOSE DE RANCHO NUEVO (LOS ARRIEROS)</v>
          </cell>
          <cell r="B801" t="str">
            <v>11DPR3524B</v>
          </cell>
          <cell r="C801" t="str">
            <v>X</v>
          </cell>
          <cell r="E801" t="str">
            <v>GENERAL MANUEL AVILA CAMACHO</v>
          </cell>
          <cell r="F801">
            <v>10</v>
          </cell>
          <cell r="G801">
            <v>11</v>
          </cell>
          <cell r="H801" t="str">
            <v>San Felipe</v>
          </cell>
          <cell r="I801">
            <v>30000</v>
          </cell>
          <cell r="J801" t="str">
            <v>Multigrado</v>
          </cell>
          <cell r="K801" t="str">
            <v>SAN JOSE DE RANCHO NUEVO</v>
          </cell>
          <cell r="L801">
            <v>0</v>
          </cell>
          <cell r="M801" t="str">
            <v>SAN JOSE DE RANCHO NUEVO (LOS ARRIEROS)</v>
          </cell>
          <cell r="T801" t="e">
            <v>#REF!</v>
          </cell>
        </row>
        <row r="802">
          <cell r="A802" t="str">
            <v>COECILLO</v>
          </cell>
          <cell r="B802" t="str">
            <v>11EPR0285X</v>
          </cell>
          <cell r="C802" t="str">
            <v>X</v>
          </cell>
          <cell r="E802" t="str">
            <v>BENITO JUAREZ</v>
          </cell>
          <cell r="F802">
            <v>544</v>
          </cell>
          <cell r="G802">
            <v>5</v>
          </cell>
          <cell r="H802" t="str">
            <v>San Felipe</v>
          </cell>
          <cell r="I802">
            <v>85000</v>
          </cell>
          <cell r="J802" t="str">
            <v>Completa</v>
          </cell>
          <cell r="K802" t="str">
            <v>CARRETERA LEON KILOMETRO 8</v>
          </cell>
          <cell r="L802" t="str">
            <v>COECILLO</v>
          </cell>
          <cell r="M802" t="str">
            <v>COECILLO</v>
          </cell>
          <cell r="T802" t="e">
            <v>#REF!</v>
          </cell>
        </row>
        <row r="803">
          <cell r="A803" t="str">
            <v>HERRERIAS</v>
          </cell>
          <cell r="B803" t="str">
            <v>11ETV1033Z</v>
          </cell>
          <cell r="C803" t="str">
            <v>X</v>
          </cell>
          <cell r="E803" t="str">
            <v>TELESECUNDARIA NUM. 1033</v>
          </cell>
          <cell r="F803">
            <v>520</v>
          </cell>
          <cell r="G803">
            <v>2</v>
          </cell>
          <cell r="H803" t="str">
            <v>San Felipe</v>
          </cell>
          <cell r="I803">
            <v>85000</v>
          </cell>
          <cell r="J803" t="str">
            <v>Completa</v>
          </cell>
          <cell r="K803" t="str">
            <v>HERRERIAS</v>
          </cell>
          <cell r="L803">
            <v>0</v>
          </cell>
          <cell r="M803" t="str">
            <v>HERRERIAS</v>
          </cell>
          <cell r="T803" t="e">
            <v>#REF!</v>
          </cell>
        </row>
        <row r="804">
          <cell r="A804" t="str">
            <v>MASTRANTO DEL REFUGIO</v>
          </cell>
          <cell r="B804" t="str">
            <v>11DJN0906Y</v>
          </cell>
          <cell r="C804" t="str">
            <v>X</v>
          </cell>
          <cell r="E804" t="str">
            <v>JOSE MARIA VELAZCO</v>
          </cell>
          <cell r="F804">
            <v>76</v>
          </cell>
          <cell r="G804">
            <v>24</v>
          </cell>
          <cell r="H804" t="str">
            <v>San Felipe</v>
          </cell>
          <cell r="I804">
            <v>30000</v>
          </cell>
          <cell r="J804" t="str">
            <v>Multigrado</v>
          </cell>
          <cell r="K804" t="str">
            <v>MASTRANTO DEL REFUGIO</v>
          </cell>
          <cell r="L804">
            <v>0</v>
          </cell>
          <cell r="M804" t="str">
            <v>MASTRANTO DEL REFUGIO</v>
          </cell>
          <cell r="T804" t="e">
            <v>#REF!</v>
          </cell>
        </row>
        <row r="805">
          <cell r="A805" t="str">
            <v>SAN FELIPE</v>
          </cell>
          <cell r="B805" t="str">
            <v>11DJN4045J</v>
          </cell>
          <cell r="C805" t="str">
            <v>X</v>
          </cell>
          <cell r="E805" t="str">
            <v>HENRY WALLON</v>
          </cell>
          <cell r="F805">
            <v>76</v>
          </cell>
          <cell r="G805">
            <v>24</v>
          </cell>
          <cell r="H805" t="str">
            <v>San Felipe</v>
          </cell>
          <cell r="I805">
            <v>30000</v>
          </cell>
          <cell r="J805" t="str">
            <v>Multigrado</v>
          </cell>
          <cell r="K805" t="str">
            <v>LUIS H. DUCOING NUM. 124</v>
          </cell>
          <cell r="L805" t="str">
            <v>EL PUERTECITO</v>
          </cell>
          <cell r="M805" t="str">
            <v>SAN FELIPE</v>
          </cell>
          <cell r="T805" t="e">
            <v>#REF!</v>
          </cell>
        </row>
        <row r="806">
          <cell r="A806" t="str">
            <v>LOS ARRASTRES</v>
          </cell>
          <cell r="B806" t="str">
            <v>11DPR0888P</v>
          </cell>
          <cell r="C806" t="str">
            <v>X</v>
          </cell>
          <cell r="E806" t="str">
            <v>PEDRO MORENO</v>
          </cell>
          <cell r="F806">
            <v>156</v>
          </cell>
          <cell r="G806">
            <v>11</v>
          </cell>
          <cell r="H806" t="str">
            <v>San Felipe</v>
          </cell>
          <cell r="I806">
            <v>30000</v>
          </cell>
          <cell r="J806" t="str">
            <v>Multigrado</v>
          </cell>
          <cell r="K806" t="str">
            <v>LOS ARRASTRES</v>
          </cell>
          <cell r="L806">
            <v>0</v>
          </cell>
          <cell r="M806" t="str">
            <v>LOS ARRASTRES</v>
          </cell>
          <cell r="T806" t="e">
            <v>#REF!</v>
          </cell>
        </row>
        <row r="807">
          <cell r="A807" t="str">
            <v>SAN PEDRO DE LA PALMA (SAN PEDRO)</v>
          </cell>
          <cell r="B807" t="str">
            <v>11DPR1451M</v>
          </cell>
          <cell r="C807" t="str">
            <v>X</v>
          </cell>
          <cell r="E807" t="str">
            <v>RAMON LOPEZ VELARDE</v>
          </cell>
          <cell r="F807">
            <v>141</v>
          </cell>
          <cell r="G807">
            <v>11</v>
          </cell>
          <cell r="H807" t="str">
            <v>San Felipe</v>
          </cell>
          <cell r="I807">
            <v>30000</v>
          </cell>
          <cell r="J807" t="str">
            <v>Multigrado</v>
          </cell>
          <cell r="K807" t="str">
            <v>SAN PEDRO DE LA PALMA</v>
          </cell>
          <cell r="L807">
            <v>0</v>
          </cell>
          <cell r="M807" t="str">
            <v>SAN PEDRO DE LA PALMA (SAN PEDRO)</v>
          </cell>
          <cell r="T807" t="e">
            <v>#REF!</v>
          </cell>
        </row>
        <row r="808">
          <cell r="A808" t="str">
            <v>CAÑADA DE CHAVEZ</v>
          </cell>
          <cell r="B808" t="str">
            <v>11DPR1831V</v>
          </cell>
          <cell r="C808" t="str">
            <v>X</v>
          </cell>
          <cell r="E808" t="str">
            <v>MIGUEL HIDALGO Y COSTILLA</v>
          </cell>
          <cell r="F808">
            <v>156</v>
          </cell>
          <cell r="G808">
            <v>11</v>
          </cell>
          <cell r="H808" t="str">
            <v>San Felipe</v>
          </cell>
          <cell r="I808">
            <v>30000</v>
          </cell>
          <cell r="J808" t="str">
            <v>Multigrado</v>
          </cell>
          <cell r="K808" t="str">
            <v>CAÑADA DE CHAVEZ</v>
          </cell>
          <cell r="L808">
            <v>0</v>
          </cell>
          <cell r="M808" t="str">
            <v>CAÑADA DE CHAVEZ</v>
          </cell>
          <cell r="T808" t="e">
            <v>#REF!</v>
          </cell>
        </row>
        <row r="809">
          <cell r="A809" t="str">
            <v>EL TEJOCOTE (EL DOMINGO)</v>
          </cell>
          <cell r="B809" t="str">
            <v>11DPR2507E</v>
          </cell>
          <cell r="C809" t="str">
            <v>X</v>
          </cell>
          <cell r="E809" t="str">
            <v>CRISTOBAL COLON</v>
          </cell>
          <cell r="F809">
            <v>58</v>
          </cell>
          <cell r="G809">
            <v>11</v>
          </cell>
          <cell r="H809" t="str">
            <v>San Felipe</v>
          </cell>
          <cell r="I809">
            <v>85000</v>
          </cell>
          <cell r="J809" t="str">
            <v>Completa</v>
          </cell>
          <cell r="K809" t="str">
            <v>DOMINGO</v>
          </cell>
          <cell r="L809">
            <v>0</v>
          </cell>
          <cell r="M809" t="str">
            <v>EL TEJOCOTE (EL DOMINGO)</v>
          </cell>
          <cell r="T809" t="e">
            <v>#REF!</v>
          </cell>
        </row>
        <row r="810">
          <cell r="A810" t="str">
            <v>LA CEJA</v>
          </cell>
          <cell r="B810" t="str">
            <v>11EPR0284Y</v>
          </cell>
          <cell r="C810" t="str">
            <v>X</v>
          </cell>
          <cell r="E810" t="str">
            <v>FRANCISCO I. MADERO</v>
          </cell>
          <cell r="F810">
            <v>544</v>
          </cell>
          <cell r="G810">
            <v>5</v>
          </cell>
          <cell r="H810" t="str">
            <v>San Felipe</v>
          </cell>
          <cell r="I810">
            <v>30000</v>
          </cell>
          <cell r="J810" t="str">
            <v>Multigrado</v>
          </cell>
          <cell r="K810" t="str">
            <v>LA CEJA</v>
          </cell>
          <cell r="L810">
            <v>0</v>
          </cell>
          <cell r="M810" t="str">
            <v>LA CEJA</v>
          </cell>
          <cell r="T810" t="e">
            <v>#REF!</v>
          </cell>
        </row>
        <row r="811">
          <cell r="A811" t="str">
            <v>SAN JOSE DEL TANQUE</v>
          </cell>
          <cell r="B811" t="str">
            <v>11DJN0767N</v>
          </cell>
          <cell r="C811" t="str">
            <v>X</v>
          </cell>
          <cell r="E811" t="str">
            <v>JORGE LUIS BORGES</v>
          </cell>
          <cell r="F811">
            <v>27</v>
          </cell>
          <cell r="G811">
            <v>24</v>
          </cell>
          <cell r="H811" t="str">
            <v>San Felipe</v>
          </cell>
          <cell r="I811">
            <v>30000</v>
          </cell>
          <cell r="J811" t="str">
            <v>Multigrado</v>
          </cell>
          <cell r="K811" t="str">
            <v>SAN JOSE DEL TANQUE</v>
          </cell>
          <cell r="L811">
            <v>0</v>
          </cell>
          <cell r="M811" t="str">
            <v>SAN JOSE DEL TANQUE</v>
          </cell>
          <cell r="T811" t="e">
            <v>#REF!</v>
          </cell>
        </row>
        <row r="812">
          <cell r="A812" t="str">
            <v>MAJADAS DE HUAPIMI (MAJADAS)</v>
          </cell>
          <cell r="B812" t="str">
            <v>11DJN3101E</v>
          </cell>
          <cell r="C812" t="str">
            <v>X</v>
          </cell>
          <cell r="E812" t="str">
            <v>AMALIA GONZALEZ CABALLERO</v>
          </cell>
          <cell r="F812">
            <v>76</v>
          </cell>
          <cell r="G812">
            <v>24</v>
          </cell>
          <cell r="H812" t="str">
            <v>San Felipe</v>
          </cell>
          <cell r="I812">
            <v>30000</v>
          </cell>
          <cell r="J812" t="str">
            <v>Multigrado</v>
          </cell>
          <cell r="K812" t="str">
            <v>MAJADAS DE HUAPIMI</v>
          </cell>
          <cell r="L812">
            <v>0</v>
          </cell>
          <cell r="M812" t="str">
            <v>MAJADAS DE HUAPIMI (MAJADAS)</v>
          </cell>
          <cell r="T812" t="e">
            <v>#REF!</v>
          </cell>
        </row>
        <row r="813">
          <cell r="A813" t="str">
            <v>EL APOSENTO (LA CONCEPCION)</v>
          </cell>
          <cell r="B813" t="str">
            <v>11DPR0188W</v>
          </cell>
          <cell r="C813" t="str">
            <v>X</v>
          </cell>
          <cell r="E813" t="str">
            <v>MARIANO ABASOLO</v>
          </cell>
          <cell r="F813">
            <v>141</v>
          </cell>
          <cell r="G813">
            <v>11</v>
          </cell>
          <cell r="H813" t="str">
            <v>San Felipe</v>
          </cell>
          <cell r="I813">
            <v>30000</v>
          </cell>
          <cell r="J813" t="str">
            <v>Multigrado</v>
          </cell>
          <cell r="K813" t="str">
            <v>EL APOSENTO</v>
          </cell>
          <cell r="L813">
            <v>0</v>
          </cell>
          <cell r="M813" t="str">
            <v>EL APOSENTO (LA CONCEPCION)</v>
          </cell>
          <cell r="T813" t="e">
            <v>#REF!</v>
          </cell>
        </row>
        <row r="814">
          <cell r="A814" t="str">
            <v>EL CARRETON</v>
          </cell>
          <cell r="B814" t="str">
            <v>11DPR0191J</v>
          </cell>
          <cell r="C814" t="str">
            <v>X</v>
          </cell>
          <cell r="E814" t="str">
            <v>ALVARO OBREGON</v>
          </cell>
          <cell r="F814">
            <v>58</v>
          </cell>
          <cell r="G814">
            <v>11</v>
          </cell>
          <cell r="H814" t="str">
            <v>San Felipe</v>
          </cell>
          <cell r="I814">
            <v>85000</v>
          </cell>
          <cell r="J814" t="str">
            <v>Completa</v>
          </cell>
          <cell r="K814" t="str">
            <v>EL CARRETON</v>
          </cell>
          <cell r="L814">
            <v>0</v>
          </cell>
          <cell r="M814" t="str">
            <v>EL CARRETON</v>
          </cell>
          <cell r="T814" t="e">
            <v>#REF!</v>
          </cell>
        </row>
        <row r="815">
          <cell r="A815" t="str">
            <v>SAN JOSE DE LOS BARCOS (LOS BARCOS)</v>
          </cell>
          <cell r="B815" t="str">
            <v>11DPR0592E</v>
          </cell>
          <cell r="C815" t="str">
            <v>X</v>
          </cell>
          <cell r="E815" t="str">
            <v>VASCO DE QUIROGA</v>
          </cell>
          <cell r="F815">
            <v>156</v>
          </cell>
          <cell r="G815">
            <v>11</v>
          </cell>
          <cell r="H815" t="str">
            <v>San Felipe</v>
          </cell>
          <cell r="I815">
            <v>85000</v>
          </cell>
          <cell r="J815" t="str">
            <v>Completa</v>
          </cell>
          <cell r="K815" t="str">
            <v>LOS BARCOS</v>
          </cell>
          <cell r="L815">
            <v>0</v>
          </cell>
          <cell r="M815" t="str">
            <v>SAN JOSE DE LOS BARCOS (LOS BARCOS)</v>
          </cell>
          <cell r="T815" t="e">
            <v>#REF!</v>
          </cell>
        </row>
        <row r="816">
          <cell r="A816" t="str">
            <v>EL COLORADO</v>
          </cell>
          <cell r="B816" t="str">
            <v>11DPR3018W</v>
          </cell>
          <cell r="C816" t="str">
            <v>X</v>
          </cell>
          <cell r="E816" t="str">
            <v>SIMON BOLIVAR</v>
          </cell>
          <cell r="F816">
            <v>156</v>
          </cell>
          <cell r="G816">
            <v>11</v>
          </cell>
          <cell r="H816" t="str">
            <v>San Felipe</v>
          </cell>
          <cell r="I816">
            <v>30000</v>
          </cell>
          <cell r="J816" t="str">
            <v>Multigrado</v>
          </cell>
          <cell r="K816" t="str">
            <v>EL COLORADO</v>
          </cell>
          <cell r="L816">
            <v>0</v>
          </cell>
          <cell r="M816" t="str">
            <v>EL COLORADO</v>
          </cell>
          <cell r="T816" t="e">
            <v>#REF!</v>
          </cell>
        </row>
        <row r="817">
          <cell r="A817" t="str">
            <v>LA ESTANCIA DEL CUBO</v>
          </cell>
          <cell r="B817" t="str">
            <v>11ETV0480Z</v>
          </cell>
          <cell r="C817" t="str">
            <v>X</v>
          </cell>
          <cell r="E817" t="str">
            <v>TELESECUNDARIA NUM. 464</v>
          </cell>
          <cell r="F817">
            <v>540</v>
          </cell>
          <cell r="G817">
            <v>2</v>
          </cell>
          <cell r="H817" t="str">
            <v>San Felipe</v>
          </cell>
          <cell r="I817">
            <v>85000</v>
          </cell>
          <cell r="J817" t="str">
            <v>Completa</v>
          </cell>
          <cell r="K817" t="str">
            <v>ESTANCIA DEL CUBO</v>
          </cell>
          <cell r="L817">
            <v>0</v>
          </cell>
          <cell r="M817" t="str">
            <v>LA ESTANCIA DEL CUBO</v>
          </cell>
          <cell r="T817" t="e">
            <v>#REF!</v>
          </cell>
        </row>
        <row r="818">
          <cell r="A818" t="str">
            <v>LA LAGUNITA</v>
          </cell>
          <cell r="B818" t="str">
            <v>11ETV0598X</v>
          </cell>
          <cell r="C818" t="str">
            <v>X</v>
          </cell>
          <cell r="E818" t="str">
            <v>TELESECUNDARIA NUM. 601</v>
          </cell>
          <cell r="F818">
            <v>540</v>
          </cell>
          <cell r="G818">
            <v>2</v>
          </cell>
          <cell r="H818" t="str">
            <v>San Felipe</v>
          </cell>
          <cell r="I818">
            <v>85000</v>
          </cell>
          <cell r="J818" t="str">
            <v>Completa</v>
          </cell>
          <cell r="K818" t="str">
            <v>LA LAGUNITA</v>
          </cell>
          <cell r="L818">
            <v>0</v>
          </cell>
          <cell r="M818" t="str">
            <v>LA LAGUNITA</v>
          </cell>
          <cell r="T818" t="e">
            <v>#REF!</v>
          </cell>
        </row>
        <row r="819">
          <cell r="A819" t="str">
            <v>EL ROSARIO (LA LIEBRE)</v>
          </cell>
          <cell r="B819" t="str">
            <v>11DJN0772Z</v>
          </cell>
          <cell r="C819" t="str">
            <v>X</v>
          </cell>
          <cell r="E819" t="str">
            <v>VICENTE SUAREZ</v>
          </cell>
          <cell r="F819">
            <v>27</v>
          </cell>
          <cell r="G819">
            <v>24</v>
          </cell>
          <cell r="H819" t="str">
            <v>San Felipe</v>
          </cell>
          <cell r="I819">
            <v>30000</v>
          </cell>
          <cell r="J819" t="str">
            <v>Multigrado</v>
          </cell>
          <cell r="K819" t="str">
            <v>EL ROSARIO</v>
          </cell>
          <cell r="L819">
            <v>0</v>
          </cell>
          <cell r="M819" t="str">
            <v>EL ROSARIO (LA LIEBRE)</v>
          </cell>
          <cell r="T819" t="e">
            <v>#REF!</v>
          </cell>
        </row>
        <row r="820">
          <cell r="A820" t="str">
            <v>LA QUEMADA</v>
          </cell>
          <cell r="B820" t="str">
            <v>11ETV0153E</v>
          </cell>
          <cell r="C820" t="str">
            <v>X</v>
          </cell>
          <cell r="E820" t="str">
            <v>TELESECUNDARIA NUM. 156</v>
          </cell>
          <cell r="F820">
            <v>540</v>
          </cell>
          <cell r="G820">
            <v>2</v>
          </cell>
          <cell r="H820" t="str">
            <v>San Felipe</v>
          </cell>
          <cell r="I820">
            <v>85000</v>
          </cell>
          <cell r="J820" t="str">
            <v>Completa</v>
          </cell>
          <cell r="K820" t="str">
            <v>LA QUEMADA</v>
          </cell>
          <cell r="L820">
            <v>0</v>
          </cell>
          <cell r="M820" t="str">
            <v>LA QUEMADA</v>
          </cell>
          <cell r="T820" t="e">
            <v>#REF!</v>
          </cell>
        </row>
        <row r="821">
          <cell r="A821" t="str">
            <v>EL ZAPOTE DE LA VENTILLA</v>
          </cell>
          <cell r="B821" t="str">
            <v>11ETV0643T</v>
          </cell>
          <cell r="C821" t="str">
            <v>X</v>
          </cell>
          <cell r="E821" t="str">
            <v>TELESECUNDARIA NUM. 660</v>
          </cell>
          <cell r="F821">
            <v>520</v>
          </cell>
          <cell r="G821">
            <v>2</v>
          </cell>
          <cell r="H821" t="str">
            <v>San Felipe</v>
          </cell>
          <cell r="I821">
            <v>85000</v>
          </cell>
          <cell r="J821" t="str">
            <v>Completa</v>
          </cell>
          <cell r="K821" t="str">
            <v>EL ZAPOTE DE LA VENTILLA</v>
          </cell>
          <cell r="L821">
            <v>0</v>
          </cell>
          <cell r="M821" t="str">
            <v>EL ZAPOTE DE LA VENTILLA</v>
          </cell>
          <cell r="T821" t="e">
            <v>#REF!</v>
          </cell>
        </row>
        <row r="822">
          <cell r="A822" t="str">
            <v>LA ESTANZUELA</v>
          </cell>
          <cell r="B822" t="str">
            <v>11DJN2575L</v>
          </cell>
          <cell r="C822" t="str">
            <v>X</v>
          </cell>
          <cell r="E822" t="str">
            <v>NIÑOS HEROES</v>
          </cell>
          <cell r="F822">
            <v>76</v>
          </cell>
          <cell r="G822">
            <v>24</v>
          </cell>
          <cell r="H822" t="str">
            <v>San Felipe</v>
          </cell>
          <cell r="I822">
            <v>30000</v>
          </cell>
          <cell r="J822" t="str">
            <v>Multigrado</v>
          </cell>
          <cell r="K822" t="str">
            <v>ESTANZUELA</v>
          </cell>
          <cell r="L822">
            <v>0</v>
          </cell>
          <cell r="M822" t="str">
            <v>LA ESTANZUELA</v>
          </cell>
          <cell r="T822" t="e">
            <v>#REF!</v>
          </cell>
        </row>
        <row r="823">
          <cell r="A823" t="str">
            <v>LA CEJA</v>
          </cell>
          <cell r="B823" t="str">
            <v>11DJN2678H</v>
          </cell>
          <cell r="C823" t="str">
            <v>X</v>
          </cell>
          <cell r="E823" t="str">
            <v>ROSAURA ZAPATA CANO</v>
          </cell>
          <cell r="F823">
            <v>27</v>
          </cell>
          <cell r="G823">
            <v>24</v>
          </cell>
          <cell r="H823" t="str">
            <v>San Felipe</v>
          </cell>
          <cell r="I823">
            <v>30000</v>
          </cell>
          <cell r="J823" t="str">
            <v>Multigrado</v>
          </cell>
          <cell r="K823" t="str">
            <v>LA CEJA</v>
          </cell>
          <cell r="L823">
            <v>0</v>
          </cell>
          <cell r="M823" t="str">
            <v>LA CEJA</v>
          </cell>
          <cell r="T823" t="e">
            <v>#REF!</v>
          </cell>
        </row>
        <row r="824">
          <cell r="A824" t="str">
            <v>FABRICA DE MELCHOR</v>
          </cell>
          <cell r="B824" t="str">
            <v>11DPR0589R</v>
          </cell>
          <cell r="C824" t="str">
            <v>X</v>
          </cell>
          <cell r="E824" t="str">
            <v>MARTIRES DE CHICAGO</v>
          </cell>
          <cell r="F824">
            <v>58</v>
          </cell>
          <cell r="G824">
            <v>11</v>
          </cell>
          <cell r="H824" t="str">
            <v>San Felipe</v>
          </cell>
          <cell r="I824">
            <v>85000</v>
          </cell>
          <cell r="J824" t="str">
            <v>Completa</v>
          </cell>
          <cell r="K824" t="str">
            <v>FABRICA DE MELCHOR</v>
          </cell>
          <cell r="L824">
            <v>0</v>
          </cell>
          <cell r="M824" t="str">
            <v>FABRICA DE MELCHOR</v>
          </cell>
          <cell r="T824" t="e">
            <v>#REF!</v>
          </cell>
        </row>
        <row r="825">
          <cell r="A825" t="str">
            <v>SAN JOSE DE LA VARILLA</v>
          </cell>
          <cell r="B825" t="str">
            <v>11DPR0593D</v>
          </cell>
          <cell r="C825" t="str">
            <v>X</v>
          </cell>
          <cell r="E825" t="str">
            <v>MARGARITA MAZA DE JUAREZ</v>
          </cell>
          <cell r="F825">
            <v>58</v>
          </cell>
          <cell r="G825">
            <v>11</v>
          </cell>
          <cell r="H825" t="str">
            <v>San Felipe</v>
          </cell>
          <cell r="I825">
            <v>85000</v>
          </cell>
          <cell r="J825" t="str">
            <v>Completa</v>
          </cell>
          <cell r="K825" t="str">
            <v>SAN JOSE DE LA VARILLA</v>
          </cell>
          <cell r="L825">
            <v>0</v>
          </cell>
          <cell r="M825" t="str">
            <v>SAN JOSE DE LA VARILLA</v>
          </cell>
          <cell r="T825" t="e">
            <v>#REF!</v>
          </cell>
        </row>
        <row r="826">
          <cell r="A826" t="str">
            <v>TROJES DE AGUIRRE</v>
          </cell>
          <cell r="B826" t="str">
            <v>11DPR2248H</v>
          </cell>
          <cell r="C826" t="str">
            <v>X</v>
          </cell>
          <cell r="E826" t="str">
            <v>PRAXEDIS GUERRERO</v>
          </cell>
          <cell r="F826">
            <v>141</v>
          </cell>
          <cell r="G826">
            <v>11</v>
          </cell>
          <cell r="H826" t="str">
            <v>San Felipe</v>
          </cell>
          <cell r="I826">
            <v>30000</v>
          </cell>
          <cell r="J826" t="str">
            <v>Multigrado</v>
          </cell>
          <cell r="K826" t="str">
            <v>TROJES DE AGUIRRE</v>
          </cell>
          <cell r="L826">
            <v>0</v>
          </cell>
          <cell r="M826" t="str">
            <v>TROJES DE AGUIRRE</v>
          </cell>
          <cell r="T826" t="e">
            <v>#REF!</v>
          </cell>
        </row>
        <row r="827">
          <cell r="A827" t="str">
            <v>SAN JOSE DE RANCHO NUEVO (LOS ARRIEROS)</v>
          </cell>
          <cell r="B827" t="str">
            <v>11ETV0746P</v>
          </cell>
          <cell r="C827" t="str">
            <v>X</v>
          </cell>
          <cell r="E827" t="str">
            <v>TELESECUNDARIA NUM. 750</v>
          </cell>
          <cell r="F827">
            <v>520</v>
          </cell>
          <cell r="G827">
            <v>2</v>
          </cell>
          <cell r="H827" t="str">
            <v>San Felipe</v>
          </cell>
          <cell r="I827">
            <v>85000</v>
          </cell>
          <cell r="J827" t="str">
            <v>Completa</v>
          </cell>
          <cell r="K827" t="str">
            <v>SAN JOSE DE RANCHO NUEVO</v>
          </cell>
          <cell r="L827">
            <v>0</v>
          </cell>
          <cell r="M827" t="str">
            <v>SAN JOSE DE RANCHO NUEVO (LOS ARRIEROS)</v>
          </cell>
          <cell r="T827" t="e">
            <v>#REF!</v>
          </cell>
        </row>
        <row r="828">
          <cell r="A828" t="str">
            <v>LOS MARTINEZ</v>
          </cell>
          <cell r="B828" t="str">
            <v>11ETV0825B</v>
          </cell>
          <cell r="C828" t="str">
            <v>X</v>
          </cell>
          <cell r="E828" t="str">
            <v>TELESECUNDARIA NUM. 825</v>
          </cell>
          <cell r="F828">
            <v>540</v>
          </cell>
          <cell r="G828">
            <v>2</v>
          </cell>
          <cell r="H828" t="str">
            <v>San Felipe</v>
          </cell>
          <cell r="I828">
            <v>85000</v>
          </cell>
          <cell r="J828" t="str">
            <v>Completa</v>
          </cell>
          <cell r="K828" t="str">
            <v>LOS MARTINEZ</v>
          </cell>
          <cell r="L828">
            <v>0</v>
          </cell>
          <cell r="M828" t="str">
            <v>LOS MARTINEZ</v>
          </cell>
          <cell r="T828" t="e">
            <v>#REF!</v>
          </cell>
        </row>
        <row r="829">
          <cell r="A829" t="str">
            <v>SALTO DEL AHOGADO</v>
          </cell>
          <cell r="B829" t="str">
            <v>11DJN2574M</v>
          </cell>
          <cell r="C829" t="str">
            <v>X</v>
          </cell>
          <cell r="E829" t="str">
            <v>RICARDO FLORES MAGON</v>
          </cell>
          <cell r="F829">
            <v>27</v>
          </cell>
          <cell r="G829">
            <v>24</v>
          </cell>
          <cell r="H829" t="str">
            <v>San Felipe</v>
          </cell>
          <cell r="I829">
            <v>30000</v>
          </cell>
          <cell r="J829" t="str">
            <v>Multigrado</v>
          </cell>
          <cell r="K829" t="str">
            <v>EL SALTO DEL AHOGADO</v>
          </cell>
          <cell r="L829">
            <v>0</v>
          </cell>
          <cell r="M829" t="str">
            <v>SALTO DEL AHOGADO</v>
          </cell>
          <cell r="T829" t="e">
            <v>#REF!</v>
          </cell>
        </row>
        <row r="830">
          <cell r="A830" t="str">
            <v>SAN FELIPE</v>
          </cell>
          <cell r="B830" t="str">
            <v>11DPR0013G</v>
          </cell>
          <cell r="C830" t="str">
            <v>X</v>
          </cell>
          <cell r="E830" t="str">
            <v>IGNACIO ALLENDE</v>
          </cell>
          <cell r="F830">
            <v>107</v>
          </cell>
          <cell r="G830">
            <v>11</v>
          </cell>
          <cell r="H830" t="str">
            <v>San Felipe</v>
          </cell>
          <cell r="I830">
            <v>85000</v>
          </cell>
          <cell r="J830" t="str">
            <v>Completa</v>
          </cell>
          <cell r="K830" t="str">
            <v>REVOLUCION S/N A 2 CUADRAS DE LA PARROQUIA DE SN MIGUEL HACIA EL PONIE</v>
          </cell>
          <cell r="L830" t="str">
            <v>SAN MIGUEL</v>
          </cell>
          <cell r="M830" t="str">
            <v>SAN FELIPE</v>
          </cell>
          <cell r="T830" t="e">
            <v>#REF!</v>
          </cell>
        </row>
        <row r="831">
          <cell r="A831" t="str">
            <v>TEPOZAN</v>
          </cell>
          <cell r="B831" t="str">
            <v>11DPR2216P</v>
          </cell>
          <cell r="C831" t="str">
            <v>X</v>
          </cell>
          <cell r="E831" t="str">
            <v>GENERAL LAZARO CARDENAS</v>
          </cell>
          <cell r="F831">
            <v>156</v>
          </cell>
          <cell r="G831">
            <v>11</v>
          </cell>
          <cell r="H831" t="str">
            <v>San Felipe</v>
          </cell>
          <cell r="I831">
            <v>30000</v>
          </cell>
          <cell r="J831" t="str">
            <v>Multigrado</v>
          </cell>
          <cell r="K831" t="str">
            <v>TEPOZAN</v>
          </cell>
          <cell r="L831">
            <v>0</v>
          </cell>
          <cell r="M831" t="str">
            <v>TEPOZAN</v>
          </cell>
          <cell r="T831" t="e">
            <v>#REF!</v>
          </cell>
        </row>
        <row r="832">
          <cell r="A832" t="str">
            <v>ESTANCIA DEL CUBITO (EL CUBITO)</v>
          </cell>
          <cell r="B832" t="str">
            <v>11DPR2913L</v>
          </cell>
          <cell r="C832" t="str">
            <v>X</v>
          </cell>
          <cell r="E832" t="str">
            <v>MIGUEL HIDALGO</v>
          </cell>
          <cell r="F832">
            <v>141</v>
          </cell>
          <cell r="G832">
            <v>11</v>
          </cell>
          <cell r="H832" t="str">
            <v>San Felipe</v>
          </cell>
          <cell r="I832">
            <v>30000</v>
          </cell>
          <cell r="J832" t="str">
            <v>Multigrado</v>
          </cell>
          <cell r="K832" t="str">
            <v>EL CUBITO</v>
          </cell>
          <cell r="L832">
            <v>0</v>
          </cell>
          <cell r="M832" t="str">
            <v>ESTANCIA DEL CUBITO (EL CUBITO)</v>
          </cell>
          <cell r="T832" t="e">
            <v>#REF!</v>
          </cell>
        </row>
        <row r="833">
          <cell r="A833" t="str">
            <v>SAN FELIPE</v>
          </cell>
          <cell r="B833" t="str">
            <v>11DPR3467A</v>
          </cell>
          <cell r="C833" t="str">
            <v>X</v>
          </cell>
          <cell r="E833" t="str">
            <v>ALBINO GARCIA RAMOS</v>
          </cell>
          <cell r="F833">
            <v>107</v>
          </cell>
          <cell r="G833">
            <v>11</v>
          </cell>
          <cell r="H833" t="str">
            <v>San Felipe</v>
          </cell>
          <cell r="I833">
            <v>85000</v>
          </cell>
          <cell r="J833" t="str">
            <v>Completa</v>
          </cell>
          <cell r="K833" t="str">
            <v>REVOLUCION NUM. 308</v>
          </cell>
          <cell r="L833" t="str">
            <v>SAN MIGUEL</v>
          </cell>
          <cell r="M833" t="str">
            <v>SAN FELIPE</v>
          </cell>
          <cell r="T833" t="e">
            <v>#REF!</v>
          </cell>
        </row>
        <row r="834">
          <cell r="A834" t="str">
            <v>JESUS MARIA</v>
          </cell>
          <cell r="B834" t="str">
            <v>11ETV0930M</v>
          </cell>
          <cell r="C834" t="str">
            <v>X</v>
          </cell>
          <cell r="E834" t="str">
            <v>TELESECUNDARIA NUM. 930</v>
          </cell>
          <cell r="F834">
            <v>540</v>
          </cell>
          <cell r="G834">
            <v>2</v>
          </cell>
          <cell r="H834" t="str">
            <v>San Felipe</v>
          </cell>
          <cell r="I834">
            <v>85000</v>
          </cell>
          <cell r="J834" t="str">
            <v>Completa</v>
          </cell>
          <cell r="K834" t="str">
            <v>PRESA DE JESUS MARIA</v>
          </cell>
          <cell r="L834">
            <v>0</v>
          </cell>
          <cell r="M834" t="str">
            <v>JESUS MARIA</v>
          </cell>
          <cell r="T834" t="e">
            <v>#REF!</v>
          </cell>
        </row>
        <row r="835">
          <cell r="A835" t="str">
            <v>SALTO DEL AHOGADO</v>
          </cell>
          <cell r="B835" t="str">
            <v>11DPR0217A</v>
          </cell>
          <cell r="C835" t="str">
            <v>X</v>
          </cell>
          <cell r="E835" t="str">
            <v>PRAXEDIS G GUERRERO</v>
          </cell>
          <cell r="F835">
            <v>91</v>
          </cell>
          <cell r="G835">
            <v>11</v>
          </cell>
          <cell r="H835" t="str">
            <v>San Felipe</v>
          </cell>
          <cell r="I835">
            <v>30000</v>
          </cell>
          <cell r="J835" t="str">
            <v>Multigrado</v>
          </cell>
          <cell r="K835" t="str">
            <v>SALTO DEL AHOGADO</v>
          </cell>
          <cell r="L835">
            <v>0</v>
          </cell>
          <cell r="M835" t="str">
            <v>SALTO DEL AHOGADO</v>
          </cell>
          <cell r="T835" t="e">
            <v>#REF!</v>
          </cell>
        </row>
        <row r="836">
          <cell r="A836" t="str">
            <v>SAN JUAN DE LLANOS</v>
          </cell>
          <cell r="B836" t="str">
            <v>11DPR0224K</v>
          </cell>
          <cell r="C836" t="str">
            <v>X</v>
          </cell>
          <cell r="E836" t="str">
            <v>MARGARITA CAMACHO DE PAZ PAREDES</v>
          </cell>
          <cell r="F836">
            <v>156</v>
          </cell>
          <cell r="G836">
            <v>11</v>
          </cell>
          <cell r="H836" t="str">
            <v>San Felipe</v>
          </cell>
          <cell r="I836">
            <v>30000</v>
          </cell>
          <cell r="J836" t="str">
            <v>Multigrado</v>
          </cell>
          <cell r="K836" t="str">
            <v>SAN JUAN DE LLANOS</v>
          </cell>
          <cell r="L836">
            <v>0</v>
          </cell>
          <cell r="M836" t="str">
            <v>SAN JUAN DE LLANOS</v>
          </cell>
          <cell r="T836" t="e">
            <v>#REF!</v>
          </cell>
        </row>
        <row r="837">
          <cell r="A837" t="str">
            <v>MAGUEY SUR</v>
          </cell>
          <cell r="B837" t="str">
            <v>11EPR0574O</v>
          </cell>
          <cell r="C837" t="str">
            <v>X</v>
          </cell>
          <cell r="E837" t="str">
            <v>JUSTO SIERRA</v>
          </cell>
          <cell r="F837">
            <v>544</v>
          </cell>
          <cell r="G837">
            <v>5</v>
          </cell>
          <cell r="H837" t="str">
            <v>San Felipe</v>
          </cell>
          <cell r="I837">
            <v>25000</v>
          </cell>
          <cell r="J837" t="str">
            <v>Multigrado</v>
          </cell>
          <cell r="K837" t="str">
            <v>MAGUEY EL SUR</v>
          </cell>
          <cell r="L837">
            <v>0</v>
          </cell>
          <cell r="M837" t="str">
            <v>MAGUEY SUR</v>
          </cell>
          <cell r="T837" t="e">
            <v>#REF!</v>
          </cell>
        </row>
        <row r="838">
          <cell r="A838" t="str">
            <v>OJO DE AGUA DE SAN MIGUEL (EL COYOTE)</v>
          </cell>
          <cell r="B838" t="str">
            <v>11DJN3768G</v>
          </cell>
          <cell r="C838" t="str">
            <v>X</v>
          </cell>
          <cell r="E838" t="str">
            <v>ESTEFANIA CASTAÑEDA NUÑEZ</v>
          </cell>
          <cell r="F838">
            <v>76</v>
          </cell>
          <cell r="G838">
            <v>24</v>
          </cell>
          <cell r="H838" t="str">
            <v>San Felipe</v>
          </cell>
          <cell r="I838">
            <v>30000</v>
          </cell>
          <cell r="J838" t="str">
            <v>Multigrado</v>
          </cell>
          <cell r="K838" t="str">
            <v>OJO DE AGUA DE SAN MIGUEL EL COYOTE</v>
          </cell>
          <cell r="L838">
            <v>0</v>
          </cell>
          <cell r="M838" t="str">
            <v>OJO DE AGUA DE SAN MIGUEL (EL COYOTE)</v>
          </cell>
          <cell r="T838" t="e">
            <v>#REF!</v>
          </cell>
        </row>
        <row r="839">
          <cell r="A839" t="str">
            <v>RANCHO SECO</v>
          </cell>
          <cell r="B839" t="str">
            <v>11DPR1026R</v>
          </cell>
          <cell r="C839" t="str">
            <v>X</v>
          </cell>
          <cell r="E839" t="str">
            <v>PROFR. ATANACIO HERNANDEZ ROMO</v>
          </cell>
          <cell r="F839">
            <v>156</v>
          </cell>
          <cell r="G839">
            <v>11</v>
          </cell>
          <cell r="H839" t="str">
            <v>San Felipe</v>
          </cell>
          <cell r="I839">
            <v>30000</v>
          </cell>
          <cell r="J839" t="str">
            <v>Multigrado</v>
          </cell>
          <cell r="K839" t="str">
            <v>RANCHO SECO S/N</v>
          </cell>
          <cell r="L839">
            <v>0</v>
          </cell>
          <cell r="M839" t="str">
            <v>RANCHO SECO</v>
          </cell>
          <cell r="T839" t="e">
            <v>#REF!</v>
          </cell>
        </row>
        <row r="840">
          <cell r="A840" t="str">
            <v>EL SAUCITO (EL RANCHITO)</v>
          </cell>
          <cell r="B840" t="str">
            <v>11DPR1453K</v>
          </cell>
          <cell r="C840" t="str">
            <v>X</v>
          </cell>
          <cell r="E840" t="str">
            <v>BENITO JUAREZ</v>
          </cell>
          <cell r="F840">
            <v>58</v>
          </cell>
          <cell r="G840">
            <v>11</v>
          </cell>
          <cell r="H840" t="str">
            <v>San Felipe</v>
          </cell>
          <cell r="I840">
            <v>30000</v>
          </cell>
          <cell r="J840" t="str">
            <v>Multigrado</v>
          </cell>
          <cell r="K840" t="str">
            <v>EL SAUCITO</v>
          </cell>
          <cell r="L840">
            <v>0</v>
          </cell>
          <cell r="M840" t="str">
            <v>EL SAUCITO (EL RANCHITO)</v>
          </cell>
          <cell r="T840" t="e">
            <v>#REF!</v>
          </cell>
        </row>
        <row r="841">
          <cell r="A841" t="str">
            <v>LOS ALTOS DE IBARRA</v>
          </cell>
          <cell r="B841" t="str">
            <v>11EPR0620J</v>
          </cell>
          <cell r="D841" t="str">
            <v>X</v>
          </cell>
          <cell r="E841" t="str">
            <v>PEDRO MORENO</v>
          </cell>
          <cell r="F841">
            <v>518</v>
          </cell>
          <cell r="G841">
            <v>5</v>
          </cell>
          <cell r="H841" t="str">
            <v>San Felipe</v>
          </cell>
          <cell r="I841">
            <v>30000</v>
          </cell>
          <cell r="J841" t="str">
            <v>Multigrado</v>
          </cell>
          <cell r="K841" t="str">
            <v>LOS ALTOS DE IBARRA S/N</v>
          </cell>
          <cell r="L841">
            <v>0</v>
          </cell>
          <cell r="M841" t="str">
            <v>LOS ALTOS DE IBARRA</v>
          </cell>
          <cell r="T841" t="e">
            <v>#REF!</v>
          </cell>
        </row>
        <row r="842">
          <cell r="A842" t="str">
            <v>LA ANGOSTURA</v>
          </cell>
          <cell r="B842" t="str">
            <v>11DPR0187X</v>
          </cell>
          <cell r="C842" t="str">
            <v>X</v>
          </cell>
          <cell r="E842" t="str">
            <v>J ENCARNACION ORTIZ</v>
          </cell>
          <cell r="F842">
            <v>156</v>
          </cell>
          <cell r="G842">
            <v>11</v>
          </cell>
          <cell r="H842" t="str">
            <v>San Felipe</v>
          </cell>
          <cell r="I842">
            <v>30000</v>
          </cell>
          <cell r="J842" t="str">
            <v>Multigrado</v>
          </cell>
          <cell r="K842" t="str">
            <v>LA ANGOSTURA</v>
          </cell>
          <cell r="L842">
            <v>0</v>
          </cell>
          <cell r="M842" t="str">
            <v>LA ANGOSTURA</v>
          </cell>
          <cell r="T842" t="e">
            <v>#REF!</v>
          </cell>
        </row>
        <row r="843">
          <cell r="A843" t="str">
            <v>SAN PEDRO DE ALMOLOYA</v>
          </cell>
          <cell r="B843" t="str">
            <v>11DPR0225J</v>
          </cell>
          <cell r="D843" t="str">
            <v>X</v>
          </cell>
          <cell r="E843" t="str">
            <v>MIGUEL HIDALGO Y COSTILLA</v>
          </cell>
          <cell r="F843">
            <v>107</v>
          </cell>
          <cell r="G843">
            <v>11</v>
          </cell>
          <cell r="H843" t="str">
            <v>San Felipe</v>
          </cell>
          <cell r="I843">
            <v>85000</v>
          </cell>
          <cell r="J843" t="str">
            <v>Completa</v>
          </cell>
          <cell r="K843" t="str">
            <v>SAN PEDRO DE ALMOLOYAN</v>
          </cell>
          <cell r="L843">
            <v>0</v>
          </cell>
          <cell r="M843" t="str">
            <v>SAN PEDRO DE ALMOLOYA</v>
          </cell>
          <cell r="T843" t="e">
            <v>#REF!</v>
          </cell>
        </row>
        <row r="844">
          <cell r="A844" t="str">
            <v>RANCHO NUEVO DEL CARRIZO (RANCHO NUEVO)</v>
          </cell>
          <cell r="B844" t="str">
            <v>11DPR3546N</v>
          </cell>
          <cell r="C844" t="str">
            <v>X</v>
          </cell>
          <cell r="E844" t="str">
            <v>JAIME TORRES BODET</v>
          </cell>
          <cell r="F844">
            <v>91</v>
          </cell>
          <cell r="G844">
            <v>11</v>
          </cell>
          <cell r="H844" t="str">
            <v>San Felipe</v>
          </cell>
          <cell r="I844">
            <v>30000</v>
          </cell>
          <cell r="J844" t="str">
            <v>Multigrado</v>
          </cell>
          <cell r="K844" t="str">
            <v>RANCHO NUEVO DEL CARRIZO S/N</v>
          </cell>
          <cell r="L844">
            <v>0</v>
          </cell>
          <cell r="M844" t="str">
            <v>RANCHO NUEVO DEL CARRIZO (RANCHO NUEVO)</v>
          </cell>
          <cell r="T844" t="e">
            <v>#REF!</v>
          </cell>
        </row>
        <row r="845">
          <cell r="A845" t="str">
            <v>LEQUEITIO</v>
          </cell>
          <cell r="B845" t="str">
            <v>11ETV0150H</v>
          </cell>
          <cell r="C845" t="str">
            <v>X</v>
          </cell>
          <cell r="E845" t="str">
            <v>TELESECUNDARIA NUM. 159</v>
          </cell>
          <cell r="F845">
            <v>520</v>
          </cell>
          <cell r="G845">
            <v>2</v>
          </cell>
          <cell r="H845" t="str">
            <v>San Felipe</v>
          </cell>
          <cell r="I845">
            <v>85000</v>
          </cell>
          <cell r="J845" t="str">
            <v>Completa</v>
          </cell>
          <cell r="K845" t="str">
            <v>LEQUEITIO</v>
          </cell>
          <cell r="L845">
            <v>0</v>
          </cell>
          <cell r="M845" t="str">
            <v>LEQUEITIO</v>
          </cell>
          <cell r="T845" t="e">
            <v>#REF!</v>
          </cell>
        </row>
        <row r="846">
          <cell r="A846" t="str">
            <v>EL ZAPOTE</v>
          </cell>
          <cell r="B846" t="str">
            <v>11DPR0588S</v>
          </cell>
          <cell r="C846" t="str">
            <v>X</v>
          </cell>
          <cell r="E846" t="str">
            <v>JOSE MA ARTEAGA</v>
          </cell>
          <cell r="F846">
            <v>58</v>
          </cell>
          <cell r="G846">
            <v>11</v>
          </cell>
          <cell r="H846" t="str">
            <v>San Felipe</v>
          </cell>
          <cell r="I846">
            <v>85000</v>
          </cell>
          <cell r="J846" t="str">
            <v>Completa</v>
          </cell>
          <cell r="K846" t="str">
            <v>EL ZAPOTE</v>
          </cell>
          <cell r="L846">
            <v>0</v>
          </cell>
          <cell r="M846" t="str">
            <v>EL ZAPOTE</v>
          </cell>
          <cell r="T846" t="e">
            <v>#REF!</v>
          </cell>
        </row>
        <row r="847">
          <cell r="A847" t="str">
            <v>EL POTRERO</v>
          </cell>
          <cell r="B847" t="str">
            <v>11DPR2914K</v>
          </cell>
          <cell r="C847" t="str">
            <v>X</v>
          </cell>
          <cell r="E847" t="str">
            <v>NIÑOS HEROES</v>
          </cell>
          <cell r="F847">
            <v>156</v>
          </cell>
          <cell r="G847">
            <v>11</v>
          </cell>
          <cell r="H847" t="str">
            <v>San Felipe</v>
          </cell>
          <cell r="I847">
            <v>30000</v>
          </cell>
          <cell r="J847" t="str">
            <v>Multigrado</v>
          </cell>
          <cell r="K847" t="str">
            <v>EL POTRERO</v>
          </cell>
          <cell r="L847">
            <v>0</v>
          </cell>
          <cell r="M847" t="str">
            <v>EL POTRERO</v>
          </cell>
          <cell r="T847" t="e">
            <v>#REF!</v>
          </cell>
        </row>
        <row r="848">
          <cell r="A848" t="str">
            <v>MOLINO DE SAN JOSE</v>
          </cell>
          <cell r="B848" t="str">
            <v>11DPR0209S</v>
          </cell>
          <cell r="C848" t="str">
            <v>X</v>
          </cell>
          <cell r="E848" t="str">
            <v>VASCO DE QUIROGA</v>
          </cell>
          <cell r="F848">
            <v>107</v>
          </cell>
          <cell r="G848">
            <v>11</v>
          </cell>
          <cell r="H848" t="str">
            <v>San Felipe</v>
          </cell>
          <cell r="I848">
            <v>85000</v>
          </cell>
          <cell r="J848" t="str">
            <v>Completa</v>
          </cell>
          <cell r="K848" t="str">
            <v>MOLINO DE SAN JOSE</v>
          </cell>
          <cell r="L848">
            <v>0</v>
          </cell>
          <cell r="M848" t="str">
            <v>MOLINO DE SAN JOSE</v>
          </cell>
          <cell r="T848" t="e">
            <v>#REF!</v>
          </cell>
        </row>
        <row r="849">
          <cell r="A849" t="str">
            <v>EL CARRETON</v>
          </cell>
          <cell r="B849" t="str">
            <v>11ETV0424G</v>
          </cell>
          <cell r="C849" t="str">
            <v>X</v>
          </cell>
          <cell r="E849" t="str">
            <v>TELESECUNDARIA NUM. 409</v>
          </cell>
          <cell r="F849">
            <v>520</v>
          </cell>
          <cell r="G849">
            <v>2</v>
          </cell>
          <cell r="H849" t="str">
            <v>San Felipe</v>
          </cell>
          <cell r="I849">
            <v>85000</v>
          </cell>
          <cell r="J849" t="str">
            <v>Completa</v>
          </cell>
          <cell r="K849" t="str">
            <v>EL CARRETON</v>
          </cell>
          <cell r="L849">
            <v>0</v>
          </cell>
          <cell r="M849" t="str">
            <v>EL CARRETON</v>
          </cell>
          <cell r="T849" t="e">
            <v>#REF!</v>
          </cell>
        </row>
        <row r="850">
          <cell r="A850" t="str">
            <v>JARAL DE BERRIOS</v>
          </cell>
          <cell r="B850" t="str">
            <v>11DPR3098Y</v>
          </cell>
          <cell r="C850" t="str">
            <v>X</v>
          </cell>
          <cell r="E850" t="str">
            <v>MIGUEL DE CERVANTES</v>
          </cell>
          <cell r="F850">
            <v>58</v>
          </cell>
          <cell r="G850">
            <v>11</v>
          </cell>
          <cell r="H850" t="str">
            <v>San Felipe</v>
          </cell>
          <cell r="I850">
            <v>30000</v>
          </cell>
          <cell r="J850" t="str">
            <v>Multigrado</v>
          </cell>
          <cell r="K850" t="str">
            <v>JARAL DE BERRIO</v>
          </cell>
          <cell r="L850">
            <v>0</v>
          </cell>
          <cell r="M850" t="str">
            <v>JARAL DE BERRIOS</v>
          </cell>
          <cell r="T850" t="e">
            <v>#REF!</v>
          </cell>
        </row>
        <row r="851">
          <cell r="A851" t="str">
            <v>LAGUNA DE GUADALUPE</v>
          </cell>
          <cell r="B851" t="str">
            <v>11DPR3569Y</v>
          </cell>
          <cell r="C851" t="str">
            <v>X</v>
          </cell>
          <cell r="E851" t="str">
            <v>JOSE VASCONCELOS</v>
          </cell>
          <cell r="F851">
            <v>107</v>
          </cell>
          <cell r="G851">
            <v>11</v>
          </cell>
          <cell r="H851" t="str">
            <v>San Felipe</v>
          </cell>
          <cell r="I851">
            <v>85000</v>
          </cell>
          <cell r="J851" t="str">
            <v>Completa</v>
          </cell>
          <cell r="K851" t="str">
            <v>LAGUNA DE GUADALUPE</v>
          </cell>
          <cell r="L851">
            <v>0</v>
          </cell>
          <cell r="M851" t="str">
            <v>LAGUNA DE GUADALUPE</v>
          </cell>
          <cell r="T851" t="e">
            <v>#REF!</v>
          </cell>
        </row>
        <row r="852">
          <cell r="A852" t="str">
            <v>PALO COLORADO</v>
          </cell>
          <cell r="B852" t="str">
            <v>11ETV0824C</v>
          </cell>
          <cell r="C852" t="str">
            <v>X</v>
          </cell>
          <cell r="E852" t="str">
            <v>TELESECUNDARIA NUM. 824</v>
          </cell>
          <cell r="F852">
            <v>540</v>
          </cell>
          <cell r="G852">
            <v>2</v>
          </cell>
          <cell r="H852" t="str">
            <v>San Felipe</v>
          </cell>
          <cell r="I852">
            <v>85000</v>
          </cell>
          <cell r="J852" t="str">
            <v>Completa</v>
          </cell>
          <cell r="K852" t="str">
            <v>PALO COLORADO</v>
          </cell>
          <cell r="L852">
            <v>0</v>
          </cell>
          <cell r="M852" t="str">
            <v>PALO COLORADO</v>
          </cell>
          <cell r="T852" t="e">
            <v>#REF!</v>
          </cell>
        </row>
        <row r="853">
          <cell r="A853" t="str">
            <v>LA ESTANCITA DEL MAGUEY</v>
          </cell>
          <cell r="B853" t="str">
            <v>11DPR2343L</v>
          </cell>
          <cell r="C853" t="str">
            <v>X</v>
          </cell>
          <cell r="E853" t="str">
            <v>GUADALUPE VICTORIA</v>
          </cell>
          <cell r="F853">
            <v>107</v>
          </cell>
          <cell r="G853">
            <v>11</v>
          </cell>
          <cell r="H853" t="str">
            <v>San Felipe</v>
          </cell>
          <cell r="I853">
            <v>30000</v>
          </cell>
          <cell r="J853" t="str">
            <v>Multigrado</v>
          </cell>
          <cell r="K853" t="str">
            <v>LA ESTANCIA DEL MAGUEY</v>
          </cell>
          <cell r="L853">
            <v>0</v>
          </cell>
          <cell r="M853" t="str">
            <v>LA ESTANCITA DEL MAGUEY</v>
          </cell>
          <cell r="T853" t="e">
            <v>#REF!</v>
          </cell>
        </row>
        <row r="854">
          <cell r="A854" t="str">
            <v>PEÑUELAS</v>
          </cell>
          <cell r="B854" t="str">
            <v>11DPR2208G</v>
          </cell>
          <cell r="C854" t="str">
            <v>X</v>
          </cell>
          <cell r="E854" t="str">
            <v>JOSE MA MORELOS Y PAVON</v>
          </cell>
          <cell r="F854">
            <v>156</v>
          </cell>
          <cell r="G854">
            <v>11</v>
          </cell>
          <cell r="H854" t="str">
            <v>San Felipe</v>
          </cell>
          <cell r="I854">
            <v>30000</v>
          </cell>
          <cell r="J854" t="str">
            <v>Multigrado</v>
          </cell>
          <cell r="K854" t="str">
            <v>PEÑUELAS</v>
          </cell>
          <cell r="L854">
            <v>0</v>
          </cell>
          <cell r="M854" t="str">
            <v>PEÑUELAS</v>
          </cell>
          <cell r="T854" t="e">
            <v>#REF!</v>
          </cell>
        </row>
        <row r="855">
          <cell r="A855" t="str">
            <v>LAS AVISPAS</v>
          </cell>
          <cell r="B855" t="str">
            <v>11DPR2893O</v>
          </cell>
          <cell r="C855" t="str">
            <v>X</v>
          </cell>
          <cell r="E855" t="str">
            <v>SOR JUANA INES DE LA CRUZ</v>
          </cell>
          <cell r="F855">
            <v>58</v>
          </cell>
          <cell r="G855">
            <v>11</v>
          </cell>
          <cell r="H855" t="str">
            <v>San Felipe</v>
          </cell>
          <cell r="I855">
            <v>30000</v>
          </cell>
          <cell r="J855" t="str">
            <v>Multigrado</v>
          </cell>
          <cell r="K855" t="str">
            <v>LAS AVISPAS</v>
          </cell>
          <cell r="L855">
            <v>0</v>
          </cell>
          <cell r="M855" t="str">
            <v>LAS AVISPAS</v>
          </cell>
          <cell r="T855" t="e">
            <v>#REF!</v>
          </cell>
        </row>
        <row r="856">
          <cell r="A856" t="str">
            <v>NOPALES</v>
          </cell>
          <cell r="B856" t="str">
            <v>11DPR3893V</v>
          </cell>
          <cell r="D856" t="str">
            <v>X</v>
          </cell>
          <cell r="E856" t="str">
            <v>DON MIGUEL HIDALGO Y COSTILLA</v>
          </cell>
          <cell r="F856">
            <v>156</v>
          </cell>
          <cell r="G856">
            <v>11</v>
          </cell>
          <cell r="H856" t="str">
            <v>San Felipe</v>
          </cell>
          <cell r="I856">
            <v>30000</v>
          </cell>
          <cell r="J856" t="str">
            <v>Multigrado</v>
          </cell>
          <cell r="K856" t="str">
            <v>ARROYO DE NOPALES</v>
          </cell>
          <cell r="L856">
            <v>0</v>
          </cell>
          <cell r="M856" t="str">
            <v>NOPALES</v>
          </cell>
          <cell r="T856" t="e">
            <v>#REF!</v>
          </cell>
        </row>
        <row r="857">
          <cell r="A857" t="str">
            <v>SAN FRANCISCO</v>
          </cell>
          <cell r="B857" t="str">
            <v>11DJN3377S</v>
          </cell>
          <cell r="C857" t="str">
            <v>X</v>
          </cell>
          <cell r="E857" t="str">
            <v>MANUEL GUTIERREZ NAJERA</v>
          </cell>
          <cell r="F857">
            <v>43</v>
          </cell>
          <cell r="G857">
            <v>24</v>
          </cell>
          <cell r="H857" t="str">
            <v>San Felipe</v>
          </cell>
          <cell r="I857">
            <v>30000</v>
          </cell>
          <cell r="J857" t="str">
            <v>Multigrado</v>
          </cell>
          <cell r="K857" t="str">
            <v>SAN FRANCISCO</v>
          </cell>
          <cell r="L857">
            <v>0</v>
          </cell>
          <cell r="M857" t="str">
            <v>SAN FRANCISCO</v>
          </cell>
          <cell r="T857" t="e">
            <v>#REF!</v>
          </cell>
        </row>
        <row r="858">
          <cell r="A858" t="str">
            <v>JARAL DE BERRIOS (ESTACION JARAL)</v>
          </cell>
          <cell r="B858" t="str">
            <v>11DPR2071K</v>
          </cell>
          <cell r="C858" t="str">
            <v>X</v>
          </cell>
          <cell r="E858" t="str">
            <v>EMILIANO ZAPATA</v>
          </cell>
          <cell r="F858">
            <v>58</v>
          </cell>
          <cell r="G858">
            <v>11</v>
          </cell>
          <cell r="H858" t="str">
            <v>San Felipe</v>
          </cell>
          <cell r="I858">
            <v>30000</v>
          </cell>
          <cell r="J858" t="str">
            <v>Multigrado</v>
          </cell>
          <cell r="K858" t="str">
            <v>EX-ESTACION JARAL</v>
          </cell>
          <cell r="L858">
            <v>0</v>
          </cell>
          <cell r="M858" t="str">
            <v>JARAL DE BERRIOS (ESTACION JARAL)</v>
          </cell>
          <cell r="T858" t="e">
            <v>#REF!</v>
          </cell>
        </row>
        <row r="859">
          <cell r="A859" t="str">
            <v>SAN FRANCISCO DEL RINCON</v>
          </cell>
          <cell r="B859" t="str">
            <v>11DJN4441J</v>
          </cell>
          <cell r="C859" t="str">
            <v>X</v>
          </cell>
          <cell r="E859" t="str">
            <v>MARIA MONTESSORI</v>
          </cell>
          <cell r="F859">
            <v>12</v>
          </cell>
          <cell r="G859">
            <v>18</v>
          </cell>
          <cell r="H859" t="str">
            <v>San Francisco del Rincón</v>
          </cell>
          <cell r="I859">
            <v>30000</v>
          </cell>
          <cell r="J859" t="str">
            <v>Multigrado</v>
          </cell>
          <cell r="K859" t="str">
            <v>BOULEVARD FRANCISCO HERNANDEZ NUM. 600</v>
          </cell>
          <cell r="L859" t="str">
            <v>FRACCIONAMIENTO SAN MIGUEL</v>
          </cell>
          <cell r="M859" t="str">
            <v>SAN FRANCISCO DEL RINCON</v>
          </cell>
          <cell r="T859" t="e">
            <v>#REF!</v>
          </cell>
        </row>
        <row r="860">
          <cell r="A860" t="str">
            <v>SAN FRANCISCO DEL RINCON</v>
          </cell>
          <cell r="B860" t="str">
            <v>11DJN3087B</v>
          </cell>
          <cell r="C860" t="str">
            <v>X</v>
          </cell>
          <cell r="E860" t="str">
            <v>CLUB DE LEONES</v>
          </cell>
          <cell r="F860">
            <v>12</v>
          </cell>
          <cell r="G860">
            <v>18</v>
          </cell>
          <cell r="H860" t="str">
            <v>San Francisco del Rincón</v>
          </cell>
          <cell r="I860">
            <v>30000</v>
          </cell>
          <cell r="J860" t="str">
            <v>Multigrado</v>
          </cell>
          <cell r="K860" t="str">
            <v>QUARZO NUM. 1316</v>
          </cell>
          <cell r="L860" t="str">
            <v>VISTA OVIEDO</v>
          </cell>
          <cell r="M860" t="str">
            <v>SAN FRANCISCO DEL RINCON</v>
          </cell>
          <cell r="T860" t="e">
            <v>#REF!</v>
          </cell>
        </row>
        <row r="861">
          <cell r="A861" t="str">
            <v>SAN IGNACIO DE HIDALGO (SAN IGNACIO)</v>
          </cell>
          <cell r="B861" t="str">
            <v>11DJN4436Y</v>
          </cell>
          <cell r="C861" t="str">
            <v>X</v>
          </cell>
          <cell r="E861" t="str">
            <v>EMMA GODOY</v>
          </cell>
          <cell r="F861">
            <v>12</v>
          </cell>
          <cell r="G861">
            <v>18</v>
          </cell>
          <cell r="H861" t="str">
            <v>San Francisco del Rincón</v>
          </cell>
          <cell r="I861">
            <v>30000</v>
          </cell>
          <cell r="J861" t="str">
            <v>Multigrado</v>
          </cell>
          <cell r="K861" t="str">
            <v>SAN IGNACIO DE HIDALGO</v>
          </cell>
          <cell r="L861" t="str">
            <v>SAN IGNACIO DE HIDALGO</v>
          </cell>
          <cell r="M861" t="str">
            <v>SAN IGNACIO DE HIDALGO (SAN IGNACIO)</v>
          </cell>
          <cell r="T861" t="e">
            <v>#REF!</v>
          </cell>
        </row>
        <row r="862">
          <cell r="A862" t="str">
            <v>SAN FRANCISCO DEL RINCON</v>
          </cell>
          <cell r="B862" t="str">
            <v>11DPR0497A</v>
          </cell>
          <cell r="C862" t="str">
            <v>X</v>
          </cell>
          <cell r="E862" t="str">
            <v>JOSE MA. MORELOS Y PAVON</v>
          </cell>
          <cell r="F862">
            <v>46</v>
          </cell>
          <cell r="G862">
            <v>14</v>
          </cell>
          <cell r="H862" t="str">
            <v>San Francisco del Rincón</v>
          </cell>
          <cell r="I862">
            <v>85000</v>
          </cell>
          <cell r="J862" t="str">
            <v>Completa</v>
          </cell>
          <cell r="K862" t="str">
            <v>ESTACION DE FERROCARRILES</v>
          </cell>
          <cell r="L862" t="str">
            <v>ESTACION DE FERROCARRILES</v>
          </cell>
          <cell r="M862" t="str">
            <v>SAN FRANCISCO DEL RINCON</v>
          </cell>
          <cell r="T862" t="e">
            <v>#REF!</v>
          </cell>
        </row>
        <row r="863">
          <cell r="A863" t="str">
            <v>SAN FRANCISCO DEL RINCON</v>
          </cell>
          <cell r="B863" t="str">
            <v>11EJN0047F</v>
          </cell>
          <cell r="C863" t="str">
            <v>X</v>
          </cell>
          <cell r="E863" t="str">
            <v>ESTEFANIA CASTAÑEDA</v>
          </cell>
          <cell r="F863">
            <v>528</v>
          </cell>
          <cell r="G863">
            <v>5</v>
          </cell>
          <cell r="H863" t="str">
            <v>San Francisco del Rincón</v>
          </cell>
          <cell r="I863">
            <v>85000</v>
          </cell>
          <cell r="J863" t="str">
            <v>Completa</v>
          </cell>
          <cell r="K863" t="str">
            <v>HIDALGO Y FAUSTO LEON S/N</v>
          </cell>
          <cell r="L863" t="str">
            <v>CENTRO</v>
          </cell>
          <cell r="M863" t="str">
            <v>SAN FRANCISCO DEL RINCON</v>
          </cell>
          <cell r="T863" t="e">
            <v>#REF!</v>
          </cell>
        </row>
        <row r="864">
          <cell r="A864" t="str">
            <v>SAN FRANCISCO DEL RINCON</v>
          </cell>
          <cell r="B864" t="str">
            <v>11EJN0416I</v>
          </cell>
          <cell r="C864" t="str">
            <v>X</v>
          </cell>
          <cell r="E864" t="str">
            <v>ESCUDO NACIONAL</v>
          </cell>
          <cell r="F864">
            <v>528</v>
          </cell>
          <cell r="G864">
            <v>5</v>
          </cell>
          <cell r="H864" t="str">
            <v>San Francisco del Rincón</v>
          </cell>
          <cell r="I864">
            <v>30000</v>
          </cell>
          <cell r="J864" t="str">
            <v>Multigrado</v>
          </cell>
          <cell r="K864" t="str">
            <v>BOULEVARD LAS TORRES S/N</v>
          </cell>
          <cell r="L864" t="str">
            <v>LAS TORRES</v>
          </cell>
          <cell r="M864" t="str">
            <v>SAN FRANCISCO DEL RINCON</v>
          </cell>
          <cell r="T864" t="e">
            <v>#REF!</v>
          </cell>
        </row>
        <row r="865">
          <cell r="A865" t="str">
            <v>SAN FRANCISCO DEL RINCON</v>
          </cell>
          <cell r="B865" t="str">
            <v>11DJN4439V</v>
          </cell>
          <cell r="C865" t="str">
            <v>X</v>
          </cell>
          <cell r="E865" t="str">
            <v>MARIA LAVALLE</v>
          </cell>
          <cell r="F865">
            <v>12</v>
          </cell>
          <cell r="G865">
            <v>18</v>
          </cell>
          <cell r="H865" t="str">
            <v>San Francisco del Rincón</v>
          </cell>
          <cell r="I865">
            <v>30000</v>
          </cell>
          <cell r="J865" t="str">
            <v>Multigrado</v>
          </cell>
          <cell r="K865" t="str">
            <v>LLUVIA NUM. 633</v>
          </cell>
          <cell r="L865" t="str">
            <v>VILLAS DEL MORAL</v>
          </cell>
          <cell r="M865" t="str">
            <v>SAN FRANCISCO DEL RINCON</v>
          </cell>
          <cell r="T865" t="e">
            <v>#REF!</v>
          </cell>
        </row>
        <row r="866">
          <cell r="A866" t="str">
            <v>SAN FRANCISCO DEL RINCON</v>
          </cell>
          <cell r="B866" t="str">
            <v>11DPR0821H</v>
          </cell>
          <cell r="C866" t="str">
            <v>X</v>
          </cell>
          <cell r="E866" t="str">
            <v>MIGUEL HIDALGO</v>
          </cell>
          <cell r="F866">
            <v>46</v>
          </cell>
          <cell r="G866">
            <v>14</v>
          </cell>
          <cell r="H866" t="str">
            <v>San Francisco del Rincón</v>
          </cell>
          <cell r="I866">
            <v>85000</v>
          </cell>
          <cell r="J866" t="str">
            <v>Completa</v>
          </cell>
          <cell r="K866" t="str">
            <v>JOSE MA. JUAREZ NUM. 200 BOULEVARD SN ANTONIO</v>
          </cell>
          <cell r="L866" t="str">
            <v>BARRIO DE SAN ANTONIO</v>
          </cell>
          <cell r="M866" t="str">
            <v>SAN FRANCISCO DEL RINCON</v>
          </cell>
          <cell r="T866" t="e">
            <v>#REF!</v>
          </cell>
        </row>
        <row r="867">
          <cell r="A867" t="str">
            <v>SAN IGNACIO DE HIDALGO (SAN IGNACIO)</v>
          </cell>
          <cell r="B867" t="str">
            <v>11DJN1008L</v>
          </cell>
          <cell r="C867" t="str">
            <v>X</v>
          </cell>
          <cell r="E867" t="str">
            <v>FRANCISCO ZARCO</v>
          </cell>
          <cell r="F867">
            <v>12</v>
          </cell>
          <cell r="G867">
            <v>18</v>
          </cell>
          <cell r="H867" t="str">
            <v>San Francisco del Rincón</v>
          </cell>
          <cell r="I867">
            <v>30000</v>
          </cell>
          <cell r="J867" t="str">
            <v>Multigrado</v>
          </cell>
          <cell r="K867" t="str">
            <v>SAN IGNACIO DE HIDALGO</v>
          </cell>
          <cell r="L867" t="str">
            <v>SAN IGNACIO DE HIDALGO</v>
          </cell>
          <cell r="M867" t="str">
            <v>SAN IGNACIO DE HIDALGO (SAN IGNACIO)</v>
          </cell>
          <cell r="T867" t="e">
            <v>#REF!</v>
          </cell>
        </row>
        <row r="868">
          <cell r="A868" t="str">
            <v>NUEVO JESUS DEL MONTE (LA GORDA ATORADA)</v>
          </cell>
          <cell r="B868" t="str">
            <v>11DJN3090P</v>
          </cell>
          <cell r="C868" t="str">
            <v>X</v>
          </cell>
          <cell r="E868" t="str">
            <v>MA. ENRIQUETA CAMARILLO DE PEREYRA</v>
          </cell>
          <cell r="F868">
            <v>69</v>
          </cell>
          <cell r="G868">
            <v>18</v>
          </cell>
          <cell r="H868" t="str">
            <v>San Francisco del Rincón</v>
          </cell>
          <cell r="I868">
            <v>30000</v>
          </cell>
          <cell r="J868" t="str">
            <v>Multigrado</v>
          </cell>
          <cell r="K868" t="str">
            <v>NUEVO JESUS DEL MONTE</v>
          </cell>
          <cell r="L868">
            <v>0</v>
          </cell>
          <cell r="M868" t="str">
            <v>NUEVO JESUS DEL MONTE (LA GORDA ATORADA)</v>
          </cell>
          <cell r="T868" t="e">
            <v>#REF!</v>
          </cell>
        </row>
        <row r="869">
          <cell r="A869" t="str">
            <v>SAN FRANCISCO DEL RINCON</v>
          </cell>
          <cell r="B869" t="str">
            <v>11DJN4326S</v>
          </cell>
          <cell r="C869" t="str">
            <v>X</v>
          </cell>
          <cell r="E869" t="str">
            <v>GABRIELA MISTRAL</v>
          </cell>
          <cell r="F869">
            <v>12</v>
          </cell>
          <cell r="G869">
            <v>18</v>
          </cell>
          <cell r="H869" t="str">
            <v>San Francisco del Rincón</v>
          </cell>
          <cell r="I869">
            <v>85000</v>
          </cell>
          <cell r="J869" t="str">
            <v>Completa</v>
          </cell>
          <cell r="K869" t="str">
            <v>EX-HACIENDA DE SANTIAGO CASAS FAMI</v>
          </cell>
          <cell r="L869" t="str">
            <v>NO APLICA</v>
          </cell>
          <cell r="M869" t="str">
            <v>SAN FRANCISCO DEL RINCON</v>
          </cell>
          <cell r="T869" t="e">
            <v>#REF!</v>
          </cell>
        </row>
        <row r="870">
          <cell r="A870" t="str">
            <v>SAN FRANCISCO DEL RINCON</v>
          </cell>
          <cell r="B870" t="str">
            <v>11DJN4438W</v>
          </cell>
          <cell r="C870" t="str">
            <v>X</v>
          </cell>
          <cell r="E870" t="str">
            <v>BERTHA VON GLUMER LEYVA</v>
          </cell>
          <cell r="F870">
            <v>12</v>
          </cell>
          <cell r="G870">
            <v>18</v>
          </cell>
          <cell r="H870" t="str">
            <v>San Francisco del Rincón</v>
          </cell>
          <cell r="I870">
            <v>30000</v>
          </cell>
          <cell r="J870" t="str">
            <v>Multigrado</v>
          </cell>
          <cell r="K870" t="str">
            <v>AVENIDA MARGARITAS NUM. 420</v>
          </cell>
          <cell r="L870" t="str">
            <v>FRACCIONAMIENTO JARDINES DE SAN FRANCISCO</v>
          </cell>
          <cell r="M870" t="str">
            <v>SAN FRANCISCO DEL RINCON</v>
          </cell>
          <cell r="T870" t="e">
            <v>#REF!</v>
          </cell>
        </row>
        <row r="871">
          <cell r="A871" t="str">
            <v>SAN ROQUE DE TORRES</v>
          </cell>
          <cell r="B871" t="str">
            <v>11DPR0254E</v>
          </cell>
          <cell r="C871" t="str">
            <v>X</v>
          </cell>
          <cell r="E871" t="str">
            <v>GENERAL GILDARDO MAGAÑA</v>
          </cell>
          <cell r="F871">
            <v>13</v>
          </cell>
          <cell r="G871">
            <v>14</v>
          </cell>
          <cell r="H871" t="str">
            <v>San Francisco del Rincón</v>
          </cell>
          <cell r="I871">
            <v>85000</v>
          </cell>
          <cell r="J871" t="str">
            <v>Completa</v>
          </cell>
          <cell r="K871" t="str">
            <v>SAN ROQUE DE TORRES</v>
          </cell>
          <cell r="L871">
            <v>0</v>
          </cell>
          <cell r="M871" t="str">
            <v>SAN ROQUE DE TORRES</v>
          </cell>
          <cell r="T871" t="e">
            <v>#REF!</v>
          </cell>
        </row>
        <row r="872">
          <cell r="A872" t="str">
            <v>SAN FRANCISCO DEL RINCON</v>
          </cell>
          <cell r="B872" t="str">
            <v>11DJN4370F</v>
          </cell>
          <cell r="C872" t="str">
            <v>X</v>
          </cell>
          <cell r="E872" t="str">
            <v>LAURA MENDEZ DE CUENCA</v>
          </cell>
          <cell r="F872">
            <v>12</v>
          </cell>
          <cell r="G872">
            <v>18</v>
          </cell>
          <cell r="H872" t="str">
            <v>San Francisco del Rincón</v>
          </cell>
          <cell r="I872">
            <v>30000</v>
          </cell>
          <cell r="J872" t="str">
            <v>Multigrado</v>
          </cell>
          <cell r="K872" t="str">
            <v>PROLONGACION GUADALUPE VICTORIA NUM. 1321</v>
          </cell>
          <cell r="L872" t="str">
            <v>EL LLANO</v>
          </cell>
          <cell r="M872" t="str">
            <v>SAN FRANCISCO DEL RINCON</v>
          </cell>
          <cell r="T872" t="e">
            <v>#REF!</v>
          </cell>
        </row>
        <row r="873">
          <cell r="A873" t="str">
            <v>SAUZ DE ARMENTA</v>
          </cell>
          <cell r="B873" t="str">
            <v>11DPR0255D</v>
          </cell>
          <cell r="C873" t="str">
            <v>X</v>
          </cell>
          <cell r="E873" t="str">
            <v>JUSTO SIERRA</v>
          </cell>
          <cell r="F873">
            <v>104</v>
          </cell>
          <cell r="G873">
            <v>14</v>
          </cell>
          <cell r="H873" t="str">
            <v>San Francisco del Rincón</v>
          </cell>
          <cell r="I873">
            <v>70000</v>
          </cell>
          <cell r="J873" t="str">
            <v>Completa</v>
          </cell>
          <cell r="K873" t="str">
            <v>SAUZ DE ARMENTA</v>
          </cell>
          <cell r="L873">
            <v>0</v>
          </cell>
          <cell r="M873" t="str">
            <v>SAUZ DE ARMENTA</v>
          </cell>
          <cell r="T873" t="e">
            <v>#REF!</v>
          </cell>
        </row>
        <row r="874">
          <cell r="A874" t="str">
            <v>BARRIO DE LOS REMEDIOS</v>
          </cell>
          <cell r="B874" t="str">
            <v>11DPR3540T</v>
          </cell>
          <cell r="C874" t="str">
            <v>X</v>
          </cell>
          <cell r="E874" t="str">
            <v>RICARDO FLORES MAGON</v>
          </cell>
          <cell r="F874">
            <v>145</v>
          </cell>
          <cell r="G874">
            <v>14</v>
          </cell>
          <cell r="H874" t="str">
            <v>San Francisco del Rincón</v>
          </cell>
          <cell r="I874">
            <v>30000</v>
          </cell>
          <cell r="J874" t="str">
            <v>Multigrado</v>
          </cell>
          <cell r="K874" t="str">
            <v>LOS REMEDIOS</v>
          </cell>
          <cell r="L874" t="str">
            <v>LOS REMEDIOS</v>
          </cell>
          <cell r="M874" t="str">
            <v>BARRIO DE LOS REMEDIOS</v>
          </cell>
          <cell r="T874" t="e">
            <v>#REF!</v>
          </cell>
        </row>
        <row r="875">
          <cell r="A875" t="str">
            <v>SAN FRANCISCO DEL RINCON</v>
          </cell>
          <cell r="B875" t="str">
            <v>11EPR0288U</v>
          </cell>
          <cell r="C875" t="str">
            <v>X</v>
          </cell>
          <cell r="E875" t="str">
            <v>JUSTO SIERRA</v>
          </cell>
          <cell r="F875">
            <v>527</v>
          </cell>
          <cell r="G875">
            <v>8</v>
          </cell>
          <cell r="H875" t="str">
            <v>San Francisco del Rincón</v>
          </cell>
          <cell r="I875">
            <v>85000</v>
          </cell>
          <cell r="J875" t="str">
            <v>Completa</v>
          </cell>
          <cell r="K875" t="str">
            <v>PREBISTERO MARQUEZ NUM. 339 SUR</v>
          </cell>
          <cell r="L875" t="str">
            <v>ZONA CENTRO</v>
          </cell>
          <cell r="M875" t="str">
            <v>SAN FRANCISCO DEL RINCON</v>
          </cell>
          <cell r="T875" t="e">
            <v>#REF!</v>
          </cell>
        </row>
        <row r="876">
          <cell r="A876" t="str">
            <v>SAN FRANCISCO DEL RINCON</v>
          </cell>
          <cell r="B876" t="str">
            <v>11DJN0911J</v>
          </cell>
          <cell r="C876" t="str">
            <v>X</v>
          </cell>
          <cell r="E876" t="str">
            <v>JUAN ESCUTIA</v>
          </cell>
          <cell r="F876">
            <v>69</v>
          </cell>
          <cell r="G876">
            <v>18</v>
          </cell>
          <cell r="H876" t="str">
            <v>San Francisco del Rincón</v>
          </cell>
          <cell r="I876">
            <v>85000</v>
          </cell>
          <cell r="J876" t="str">
            <v>Completa</v>
          </cell>
          <cell r="K876" t="str">
            <v>VENUSTIANO CARRANZA</v>
          </cell>
          <cell r="L876" t="str">
            <v>VENUSTIANO CARRRANZA</v>
          </cell>
          <cell r="M876" t="str">
            <v>SAN FRANCISCO DEL RINCON</v>
          </cell>
          <cell r="T876" t="e">
            <v>#REF!</v>
          </cell>
        </row>
        <row r="877">
          <cell r="A877" t="str">
            <v>SAN FRANCISCO DEL RINCON</v>
          </cell>
          <cell r="B877" t="str">
            <v>11DJN4442I</v>
          </cell>
          <cell r="D877" t="str">
            <v>X</v>
          </cell>
          <cell r="E877" t="str">
            <v>JEAN PIAGET</v>
          </cell>
          <cell r="F877">
            <v>69</v>
          </cell>
          <cell r="G877">
            <v>18</v>
          </cell>
          <cell r="H877" t="str">
            <v>San Francisco del Rincón</v>
          </cell>
          <cell r="I877">
            <v>30000</v>
          </cell>
          <cell r="J877" t="str">
            <v>Multigrado</v>
          </cell>
          <cell r="K877" t="str">
            <v>EMILIANO ZAPATA Y ABRIL S/N</v>
          </cell>
          <cell r="L877" t="str">
            <v>PURISIMA CONCEPCION</v>
          </cell>
          <cell r="M877" t="str">
            <v>SAN FRANCISCO DEL RINCON</v>
          </cell>
          <cell r="T877" t="e">
            <v>#REF!</v>
          </cell>
        </row>
        <row r="878">
          <cell r="A878" t="str">
            <v>SAN FRANCISCO DEL RINCON</v>
          </cell>
          <cell r="B878" t="str">
            <v>11DPR0007W</v>
          </cell>
          <cell r="C878" t="str">
            <v>X</v>
          </cell>
          <cell r="E878" t="str">
            <v>MIGUEL HIDALGO</v>
          </cell>
          <cell r="F878">
            <v>46</v>
          </cell>
          <cell r="G878">
            <v>14</v>
          </cell>
          <cell r="H878" t="str">
            <v>San Francisco del Rincón</v>
          </cell>
          <cell r="I878">
            <v>85000</v>
          </cell>
          <cell r="J878" t="str">
            <v>Completa</v>
          </cell>
          <cell r="K878" t="str">
            <v>JOSE MA. JUAREZ NUM. 200 BOULEVARD SN ANTONIO</v>
          </cell>
          <cell r="L878" t="str">
            <v>BARRIO DE SAN ANTONIO</v>
          </cell>
          <cell r="M878" t="str">
            <v>SAN FRANCISCO DEL RINCON</v>
          </cell>
          <cell r="T878" t="e">
            <v>#REF!</v>
          </cell>
        </row>
        <row r="879">
          <cell r="A879" t="str">
            <v>SAN FRANCISCO DEL RINCON</v>
          </cell>
          <cell r="B879" t="str">
            <v>11DPR0230V</v>
          </cell>
          <cell r="D879" t="str">
            <v>X</v>
          </cell>
          <cell r="E879" t="str">
            <v>PROFR. J. JESUS MAYAGOITIA JAIME</v>
          </cell>
          <cell r="F879">
            <v>145</v>
          </cell>
          <cell r="G879">
            <v>14</v>
          </cell>
          <cell r="H879" t="str">
            <v>San Francisco del Rincón</v>
          </cell>
          <cell r="I879">
            <v>85000</v>
          </cell>
          <cell r="J879" t="str">
            <v>Completa</v>
          </cell>
          <cell r="K879" t="str">
            <v>PROLONGACION 5 DE FEBRERO S/N</v>
          </cell>
          <cell r="L879" t="str">
            <v>RENOVACION</v>
          </cell>
          <cell r="M879" t="str">
            <v>SAN FRANCISCO DEL RINCON</v>
          </cell>
          <cell r="T879" t="e">
            <v>#REF!</v>
          </cell>
        </row>
        <row r="880">
          <cell r="A880" t="str">
            <v>CALIFORNIA</v>
          </cell>
          <cell r="B880" t="str">
            <v>11DPR2720X</v>
          </cell>
          <cell r="C880" t="str">
            <v>X</v>
          </cell>
          <cell r="E880" t="str">
            <v>GENERAL LAZARO CARDENAS</v>
          </cell>
          <cell r="F880">
            <v>104</v>
          </cell>
          <cell r="G880">
            <v>14</v>
          </cell>
          <cell r="H880" t="str">
            <v>San Francisco del Rincón</v>
          </cell>
          <cell r="I880">
            <v>30000</v>
          </cell>
          <cell r="J880" t="str">
            <v>Multigrado</v>
          </cell>
          <cell r="K880" t="str">
            <v>CALIFORNIA</v>
          </cell>
          <cell r="L880">
            <v>0</v>
          </cell>
          <cell r="M880" t="str">
            <v>CALIFORNIA</v>
          </cell>
          <cell r="T880" t="e">
            <v>#REF!</v>
          </cell>
        </row>
        <row r="881">
          <cell r="A881" t="str">
            <v>SAN FRANCISCO DEL RINCON</v>
          </cell>
          <cell r="B881" t="str">
            <v>11DPR3579E</v>
          </cell>
          <cell r="C881" t="str">
            <v>X</v>
          </cell>
          <cell r="E881" t="str">
            <v>RAFAEL RAMIREZ</v>
          </cell>
          <cell r="F881">
            <v>145</v>
          </cell>
          <cell r="G881">
            <v>14</v>
          </cell>
          <cell r="H881" t="str">
            <v>San Francisco del Rincón</v>
          </cell>
          <cell r="I881">
            <v>85000</v>
          </cell>
          <cell r="J881" t="str">
            <v>Completa</v>
          </cell>
          <cell r="K881" t="str">
            <v>8 DE DICIEMBRE S/N ESQUINA JUAN GARCIA</v>
          </cell>
          <cell r="L881" t="str">
            <v>FRACCIONAMIENTO SAN MIGUEL</v>
          </cell>
          <cell r="M881" t="str">
            <v>SAN FRANCISCO DEL RINCON</v>
          </cell>
          <cell r="T881" t="e">
            <v>#REF!</v>
          </cell>
        </row>
        <row r="882">
          <cell r="A882" t="str">
            <v>BARRIO DE GUADALUPE DEL MEZQUITILLO</v>
          </cell>
          <cell r="B882" t="str">
            <v>11DPR0826C</v>
          </cell>
          <cell r="C882" t="str">
            <v>X</v>
          </cell>
          <cell r="E882" t="str">
            <v>BENITO JUAREZ</v>
          </cell>
          <cell r="F882">
            <v>104</v>
          </cell>
          <cell r="G882">
            <v>14</v>
          </cell>
          <cell r="H882" t="str">
            <v>San Francisco del Rincón</v>
          </cell>
          <cell r="I882">
            <v>85000</v>
          </cell>
          <cell r="J882" t="str">
            <v>Completa</v>
          </cell>
          <cell r="K882" t="str">
            <v>GUADALUPE DEL MESQUITILLO</v>
          </cell>
          <cell r="L882">
            <v>0</v>
          </cell>
          <cell r="M882" t="str">
            <v>BARRIO DE GUADALUPE DEL MEZQUITILLO</v>
          </cell>
          <cell r="T882" t="e">
            <v>#REF!</v>
          </cell>
        </row>
        <row r="883">
          <cell r="A883" t="str">
            <v>SAN FRANCISCO DEL RINCON</v>
          </cell>
          <cell r="B883" t="str">
            <v>11DPR0030X</v>
          </cell>
          <cell r="D883" t="str">
            <v>X</v>
          </cell>
          <cell r="E883" t="str">
            <v>MONTES DE OCA</v>
          </cell>
          <cell r="F883">
            <v>104</v>
          </cell>
          <cell r="G883">
            <v>14</v>
          </cell>
          <cell r="H883" t="str">
            <v>San Francisco del Rincón</v>
          </cell>
          <cell r="I883">
            <v>85000</v>
          </cell>
          <cell r="J883" t="str">
            <v>Completa</v>
          </cell>
          <cell r="K883" t="str">
            <v>GUADALUPE VICTORIA NUM. 695</v>
          </cell>
          <cell r="L883" t="str">
            <v>EL LLANO</v>
          </cell>
          <cell r="M883" t="str">
            <v>SAN FRANCISCO DEL RINCON</v>
          </cell>
          <cell r="T883" t="e">
            <v>#REF!</v>
          </cell>
        </row>
        <row r="884">
          <cell r="A884" t="str">
            <v>SAN FRANCISCO DEL RINCON</v>
          </cell>
          <cell r="B884" t="str">
            <v>11DPR0231U</v>
          </cell>
          <cell r="C884" t="str">
            <v>X</v>
          </cell>
          <cell r="E884" t="str">
            <v>LIC. BENITO JUAREZ</v>
          </cell>
          <cell r="F884">
            <v>13</v>
          </cell>
          <cell r="G884">
            <v>14</v>
          </cell>
          <cell r="H884" t="str">
            <v>San Francisco del Rincón</v>
          </cell>
          <cell r="I884">
            <v>85000</v>
          </cell>
          <cell r="J884" t="str">
            <v>Completa</v>
          </cell>
          <cell r="K884" t="str">
            <v>DR. ACEVES BARAJAS NUM. 203</v>
          </cell>
          <cell r="L884" t="str">
            <v>ZONA CENTRO</v>
          </cell>
          <cell r="M884" t="str">
            <v>SAN FRANCISCO DEL RINCON</v>
          </cell>
          <cell r="T884" t="e">
            <v>#REF!</v>
          </cell>
        </row>
        <row r="885">
          <cell r="A885" t="str">
            <v>SAN FRANCISCO DEL RINCON</v>
          </cell>
          <cell r="B885" t="str">
            <v>11DPR0232T</v>
          </cell>
          <cell r="C885" t="str">
            <v>X</v>
          </cell>
          <cell r="E885" t="str">
            <v>CARLOS A CARRILLO</v>
          </cell>
          <cell r="F885">
            <v>13</v>
          </cell>
          <cell r="G885">
            <v>14</v>
          </cell>
          <cell r="H885" t="str">
            <v>San Francisco del Rincón</v>
          </cell>
          <cell r="I885">
            <v>85000</v>
          </cell>
          <cell r="J885" t="str">
            <v>Completa</v>
          </cell>
          <cell r="K885" t="str">
            <v>FEDERICO MEDRANO NUM. 211</v>
          </cell>
          <cell r="L885" t="str">
            <v>ZONA CENTRO</v>
          </cell>
          <cell r="M885" t="str">
            <v>SAN FRANCISCO DEL RINCON</v>
          </cell>
          <cell r="T885" t="e">
            <v>#REF!</v>
          </cell>
        </row>
        <row r="886">
          <cell r="A886" t="str">
            <v>EL MAGUEY</v>
          </cell>
          <cell r="B886" t="str">
            <v>11DPR0239M</v>
          </cell>
          <cell r="C886" t="str">
            <v>X</v>
          </cell>
          <cell r="E886" t="str">
            <v>PLAN GUANAJUATO</v>
          </cell>
          <cell r="F886">
            <v>13</v>
          </cell>
          <cell r="G886">
            <v>14</v>
          </cell>
          <cell r="H886" t="str">
            <v>San Francisco del Rincón</v>
          </cell>
          <cell r="I886">
            <v>85000</v>
          </cell>
          <cell r="J886" t="str">
            <v>Completa</v>
          </cell>
          <cell r="K886" t="str">
            <v>EL MAGUEY</v>
          </cell>
          <cell r="L886">
            <v>0</v>
          </cell>
          <cell r="M886" t="str">
            <v>EL MAGUEY</v>
          </cell>
          <cell r="T886" t="e">
            <v>#REF!</v>
          </cell>
        </row>
        <row r="887">
          <cell r="A887" t="str">
            <v>EL MEZQUITILLO</v>
          </cell>
          <cell r="B887" t="str">
            <v>11DPR0240B</v>
          </cell>
          <cell r="D887" t="str">
            <v>X</v>
          </cell>
          <cell r="E887" t="str">
            <v>NARCISO MENDOZA</v>
          </cell>
          <cell r="F887">
            <v>104</v>
          </cell>
          <cell r="G887">
            <v>14</v>
          </cell>
          <cell r="H887" t="str">
            <v>San Francisco del Rincón</v>
          </cell>
          <cell r="I887">
            <v>85000</v>
          </cell>
          <cell r="J887" t="str">
            <v>Completa</v>
          </cell>
          <cell r="K887" t="str">
            <v>EL MEZQUITILLO</v>
          </cell>
          <cell r="L887">
            <v>0</v>
          </cell>
          <cell r="M887" t="str">
            <v>EL MEZQUITILLO</v>
          </cell>
          <cell r="T887" t="e">
            <v>#REF!</v>
          </cell>
        </row>
        <row r="888">
          <cell r="A888" t="str">
            <v>SAN FRANCISCO DEL RINCON</v>
          </cell>
          <cell r="B888" t="str">
            <v>11DPR2225X</v>
          </cell>
          <cell r="D888" t="str">
            <v>X</v>
          </cell>
          <cell r="E888" t="str">
            <v>SOR JUANA INES DE LA CRUZ</v>
          </cell>
          <cell r="F888">
            <v>13</v>
          </cell>
          <cell r="G888">
            <v>14</v>
          </cell>
          <cell r="H888" t="str">
            <v>San Francisco del Rincón</v>
          </cell>
          <cell r="I888">
            <v>85000</v>
          </cell>
          <cell r="J888" t="str">
            <v>Completa</v>
          </cell>
          <cell r="K888" t="str">
            <v>DR. ACEVES BARAJAS NUM. 203</v>
          </cell>
          <cell r="L888" t="str">
            <v>ZONA CENTRO</v>
          </cell>
          <cell r="M888" t="str">
            <v>SAN FRANCISCO DEL RINCON</v>
          </cell>
          <cell r="T888" t="e">
            <v>#REF!</v>
          </cell>
        </row>
        <row r="889">
          <cell r="A889" t="str">
            <v>LOS TANQUES DEL MEZQUITILLO (LOS TANQUES)</v>
          </cell>
          <cell r="B889" t="str">
            <v>11DPR3038J</v>
          </cell>
          <cell r="C889" t="str">
            <v>X</v>
          </cell>
          <cell r="E889" t="str">
            <v>NIÑOS HEROES</v>
          </cell>
          <cell r="F889">
            <v>104</v>
          </cell>
          <cell r="G889">
            <v>14</v>
          </cell>
          <cell r="H889" t="str">
            <v>San Francisco del Rincón</v>
          </cell>
          <cell r="I889">
            <v>30000</v>
          </cell>
          <cell r="J889" t="str">
            <v>Multigrado</v>
          </cell>
          <cell r="K889" t="str">
            <v>TANQUES DEL MEZQUITILLO</v>
          </cell>
          <cell r="L889">
            <v>0</v>
          </cell>
          <cell r="M889" t="str">
            <v>LOS TANQUES DEL MEZQUITILLO (LOS TANQUES)</v>
          </cell>
          <cell r="T889" t="e">
            <v>#REF!</v>
          </cell>
        </row>
        <row r="890">
          <cell r="A890" t="str">
            <v>SAN FRANCISCO DEL RINCON</v>
          </cell>
          <cell r="B890" t="str">
            <v>11DJN4461X</v>
          </cell>
          <cell r="C890" t="str">
            <v>X</v>
          </cell>
          <cell r="E890" t="str">
            <v>ROSARIO CASTELLANOS</v>
          </cell>
          <cell r="F890">
            <v>69</v>
          </cell>
          <cell r="G890">
            <v>18</v>
          </cell>
          <cell r="H890" t="str">
            <v>San Francisco del Rincón</v>
          </cell>
          <cell r="I890">
            <v>30000</v>
          </cell>
          <cell r="J890" t="str">
            <v>Multigrado</v>
          </cell>
          <cell r="K890" t="str">
            <v>PROLONGACION NICOLAS BRAVO NUM. 337 ATRAS DE LA PLAZA 2000 PTE</v>
          </cell>
          <cell r="L890" t="str">
            <v>SANTA ANITA</v>
          </cell>
          <cell r="M890" t="str">
            <v>SAN FRANCISCO DEL RINCON</v>
          </cell>
          <cell r="T890" t="e">
            <v>#REF!</v>
          </cell>
        </row>
        <row r="891">
          <cell r="A891" t="str">
            <v>JESUS DEL MONTE (EL TALAYOTE)</v>
          </cell>
          <cell r="B891" t="str">
            <v>11DPR0236P</v>
          </cell>
          <cell r="D891" t="str">
            <v>X</v>
          </cell>
          <cell r="E891" t="str">
            <v>LUCIO ALCALA</v>
          </cell>
          <cell r="F891">
            <v>46</v>
          </cell>
          <cell r="G891">
            <v>14</v>
          </cell>
          <cell r="H891" t="str">
            <v>San Francisco del Rincón</v>
          </cell>
          <cell r="I891">
            <v>85000</v>
          </cell>
          <cell r="J891" t="str">
            <v>Completa</v>
          </cell>
          <cell r="K891" t="str">
            <v>JESUS DEL MONTE</v>
          </cell>
          <cell r="L891">
            <v>0</v>
          </cell>
          <cell r="M891" t="str">
            <v>JESUS DEL MONTE (EL TALAYOTE)</v>
          </cell>
          <cell r="T891" t="e">
            <v>#REF!</v>
          </cell>
        </row>
        <row r="892">
          <cell r="A892" t="str">
            <v>SAN FRANCISCO DEL RINCON</v>
          </cell>
          <cell r="B892" t="str">
            <v>11DPR1070E</v>
          </cell>
          <cell r="C892" t="str">
            <v>X</v>
          </cell>
          <cell r="E892" t="str">
            <v>LAZARO CARDENAS</v>
          </cell>
          <cell r="F892">
            <v>104</v>
          </cell>
          <cell r="G892">
            <v>14</v>
          </cell>
          <cell r="H892" t="str">
            <v>San Francisco del Rincón</v>
          </cell>
          <cell r="I892">
            <v>85000</v>
          </cell>
          <cell r="J892" t="str">
            <v>Completa</v>
          </cell>
          <cell r="K892" t="str">
            <v>JOSEFA ORTIZ DE DOMINGUEZ S/N</v>
          </cell>
          <cell r="L892" t="str">
            <v>SANTA ANITA</v>
          </cell>
          <cell r="M892" t="str">
            <v>SAN FRANCISCO DEL RINCON</v>
          </cell>
          <cell r="T892" t="e">
            <v>#REF!</v>
          </cell>
        </row>
        <row r="893">
          <cell r="A893" t="str">
            <v>SAN FRANCISCO DEL RINCON</v>
          </cell>
          <cell r="B893" t="str">
            <v>11DPR1793I</v>
          </cell>
          <cell r="C893" t="str">
            <v>X</v>
          </cell>
          <cell r="E893" t="str">
            <v>DR. PASCUAL ACEVES BARAJAS</v>
          </cell>
          <cell r="F893">
            <v>46</v>
          </cell>
          <cell r="G893">
            <v>14</v>
          </cell>
          <cell r="H893" t="str">
            <v>San Francisco del Rincón</v>
          </cell>
          <cell r="I893">
            <v>85000</v>
          </cell>
          <cell r="J893" t="str">
            <v>Completa</v>
          </cell>
          <cell r="K893" t="str">
            <v>MELCHOR OCAMPO NUM. 448</v>
          </cell>
          <cell r="L893" t="str">
            <v>RESIDENCIAL RUENES</v>
          </cell>
          <cell r="M893" t="str">
            <v>SAN FRANCISCO DEL RINCON</v>
          </cell>
          <cell r="T893" t="e">
            <v>#REF!</v>
          </cell>
        </row>
        <row r="894">
          <cell r="A894" t="str">
            <v>SAN FRANCISCO BUENAVISTA (EL CERRITO)</v>
          </cell>
          <cell r="B894" t="str">
            <v>11DPR3235K</v>
          </cell>
          <cell r="D894" t="str">
            <v>X</v>
          </cell>
          <cell r="E894" t="str">
            <v>FRANCISCO GONZALEZ BOCANEGRA</v>
          </cell>
          <cell r="F894">
            <v>145</v>
          </cell>
          <cell r="G894">
            <v>14</v>
          </cell>
          <cell r="H894" t="str">
            <v>San Francisco del Rincón</v>
          </cell>
          <cell r="I894">
            <v>30000</v>
          </cell>
          <cell r="J894" t="str">
            <v>Multigrado</v>
          </cell>
          <cell r="K894" t="str">
            <v>SAN FRANCISCO BUENAVISTA</v>
          </cell>
          <cell r="L894">
            <v>0</v>
          </cell>
          <cell r="M894" t="str">
            <v>SAN FRANCISCO BUENAVISTA (EL CERRITO)</v>
          </cell>
          <cell r="T894" t="e">
            <v>#REF!</v>
          </cell>
        </row>
        <row r="895">
          <cell r="A895" t="str">
            <v>SILVA</v>
          </cell>
          <cell r="B895" t="str">
            <v>11DPR0256C</v>
          </cell>
          <cell r="C895" t="str">
            <v>X</v>
          </cell>
          <cell r="E895" t="str">
            <v>PATRIA</v>
          </cell>
          <cell r="F895">
            <v>13</v>
          </cell>
          <cell r="G895">
            <v>14</v>
          </cell>
          <cell r="H895" t="str">
            <v>San Francisco del Rincón</v>
          </cell>
          <cell r="I895">
            <v>71000</v>
          </cell>
          <cell r="J895" t="str">
            <v>Completa</v>
          </cell>
          <cell r="K895" t="str">
            <v>SILVA</v>
          </cell>
          <cell r="L895">
            <v>0</v>
          </cell>
          <cell r="M895" t="str">
            <v>SILVA</v>
          </cell>
          <cell r="T895" t="e">
            <v>#REF!</v>
          </cell>
        </row>
        <row r="896">
          <cell r="A896" t="str">
            <v>SAN FRANCISCO DEL RINCON</v>
          </cell>
          <cell r="B896" t="str">
            <v>11DPR3300U</v>
          </cell>
          <cell r="C896" t="str">
            <v>X</v>
          </cell>
          <cell r="E896" t="str">
            <v>CLUB DE LEONES</v>
          </cell>
          <cell r="F896">
            <v>104</v>
          </cell>
          <cell r="G896">
            <v>14</v>
          </cell>
          <cell r="H896" t="str">
            <v>San Francisco del Rincón</v>
          </cell>
          <cell r="I896">
            <v>85000</v>
          </cell>
          <cell r="J896" t="str">
            <v>Completa</v>
          </cell>
          <cell r="K896" t="str">
            <v>OCEANO ATLANTICO S/N</v>
          </cell>
          <cell r="L896" t="str">
            <v>FRACCIONAMIENTO EL PARAISO</v>
          </cell>
          <cell r="M896" t="str">
            <v>SAN FRANCISCO DEL RINCON</v>
          </cell>
          <cell r="T896" t="e">
            <v>#REF!</v>
          </cell>
        </row>
        <row r="897">
          <cell r="A897" t="str">
            <v>PLAN LIBERTADOR (EL QUEMADO)</v>
          </cell>
          <cell r="B897" t="str">
            <v>11DPR0246W</v>
          </cell>
          <cell r="C897" t="str">
            <v>X</v>
          </cell>
          <cell r="E897" t="str">
            <v>MAESTRO RAFAEL RAMIREZ</v>
          </cell>
          <cell r="F897">
            <v>46</v>
          </cell>
          <cell r="G897">
            <v>14</v>
          </cell>
          <cell r="H897" t="str">
            <v>San Francisco del Rincón</v>
          </cell>
          <cell r="I897">
            <v>30000</v>
          </cell>
          <cell r="J897" t="str">
            <v>Multigrado</v>
          </cell>
          <cell r="K897" t="str">
            <v>PLAN LIBERTADOR</v>
          </cell>
          <cell r="L897">
            <v>0</v>
          </cell>
          <cell r="M897" t="str">
            <v>PLAN LIBERTADOR (EL QUEMADO)</v>
          </cell>
          <cell r="T897" t="e">
            <v>#REF!</v>
          </cell>
        </row>
        <row r="898">
          <cell r="A898" t="str">
            <v>SAN FRANCISCO DEL RINCON</v>
          </cell>
          <cell r="B898" t="str">
            <v>11DPR0611C</v>
          </cell>
          <cell r="C898" t="str">
            <v>X</v>
          </cell>
          <cell r="E898" t="str">
            <v>NIÑOS HEROES</v>
          </cell>
          <cell r="F898">
            <v>145</v>
          </cell>
          <cell r="G898">
            <v>14</v>
          </cell>
          <cell r="H898" t="str">
            <v>San Francisco del Rincón</v>
          </cell>
          <cell r="I898">
            <v>85000</v>
          </cell>
          <cell r="J898" t="str">
            <v>Completa</v>
          </cell>
          <cell r="K898" t="str">
            <v>BARRIO SAN MIGUEL S/N CALZADA DE SAN MIUEL</v>
          </cell>
          <cell r="L898" t="str">
            <v>CENTRO</v>
          </cell>
          <cell r="M898" t="str">
            <v>SAN FRANCISCO DEL RINCON</v>
          </cell>
          <cell r="T898" t="e">
            <v>#REF!</v>
          </cell>
        </row>
        <row r="899">
          <cell r="A899" t="str">
            <v>EL PANAL</v>
          </cell>
          <cell r="B899" t="str">
            <v>11DPR0825D</v>
          </cell>
          <cell r="D899" t="str">
            <v>X</v>
          </cell>
          <cell r="E899" t="str">
            <v>ADOLFO LOPEZ MATEOS</v>
          </cell>
          <cell r="F899">
            <v>104</v>
          </cell>
          <cell r="G899">
            <v>14</v>
          </cell>
          <cell r="H899" t="str">
            <v>San Francisco del Rincón</v>
          </cell>
          <cell r="I899">
            <v>30000</v>
          </cell>
          <cell r="J899" t="str">
            <v>Multigrado</v>
          </cell>
          <cell r="K899" t="str">
            <v>EL PANAL</v>
          </cell>
          <cell r="L899">
            <v>0</v>
          </cell>
          <cell r="M899" t="str">
            <v>EL PANAL</v>
          </cell>
          <cell r="T899" t="e">
            <v>#REF!</v>
          </cell>
        </row>
        <row r="900">
          <cell r="A900" t="str">
            <v>SAN FRANCISCO DEL RINCON</v>
          </cell>
          <cell r="B900" t="str">
            <v>11DPR3423D</v>
          </cell>
          <cell r="D900" t="str">
            <v>X</v>
          </cell>
          <cell r="E900" t="str">
            <v>GUADALUPE VICTORIA</v>
          </cell>
          <cell r="F900">
            <v>145</v>
          </cell>
          <cell r="G900">
            <v>14</v>
          </cell>
          <cell r="H900" t="str">
            <v>San Francisco del Rincón</v>
          </cell>
          <cell r="I900">
            <v>85000</v>
          </cell>
          <cell r="J900" t="str">
            <v>Completa</v>
          </cell>
          <cell r="K900" t="str">
            <v>GOMEZ FARIAS NUM. 123</v>
          </cell>
          <cell r="L900" t="str">
            <v>SANTA RITA</v>
          </cell>
          <cell r="M900" t="str">
            <v>SAN FRANCISCO DEL RINCON</v>
          </cell>
          <cell r="T900" t="e">
            <v>#REF!</v>
          </cell>
        </row>
        <row r="901">
          <cell r="A901" t="str">
            <v>SAN FRANCISCO DEL RINCON</v>
          </cell>
          <cell r="B901" t="str">
            <v>11DPR0238N</v>
          </cell>
          <cell r="D901" t="str">
            <v>X</v>
          </cell>
          <cell r="E901" t="str">
            <v>LAZARO CARDENAS</v>
          </cell>
          <cell r="F901">
            <v>104</v>
          </cell>
          <cell r="G901">
            <v>14</v>
          </cell>
          <cell r="H901" t="str">
            <v>San Francisco del Rincón</v>
          </cell>
          <cell r="I901">
            <v>85000</v>
          </cell>
          <cell r="J901" t="str">
            <v>Completa</v>
          </cell>
          <cell r="K901" t="str">
            <v>GUADALUPE VICTORIA NUM. 695</v>
          </cell>
          <cell r="L901" t="str">
            <v>EL LLANO</v>
          </cell>
          <cell r="M901" t="str">
            <v>SAN FRANCISCO DEL RINCON</v>
          </cell>
          <cell r="T901" t="e">
            <v>#REF!</v>
          </cell>
        </row>
        <row r="902">
          <cell r="A902" t="str">
            <v>SAN FRANCISCO DEL RINCON</v>
          </cell>
          <cell r="B902" t="str">
            <v>11DPR2222Z</v>
          </cell>
          <cell r="D902" t="str">
            <v>X</v>
          </cell>
          <cell r="E902" t="str">
            <v>FRANCISCO MARQUEZ</v>
          </cell>
          <cell r="F902">
            <v>145</v>
          </cell>
          <cell r="G902">
            <v>14</v>
          </cell>
          <cell r="H902" t="str">
            <v>San Francisco del Rincón</v>
          </cell>
          <cell r="I902">
            <v>85000</v>
          </cell>
          <cell r="J902" t="str">
            <v>Completa</v>
          </cell>
          <cell r="K902" t="str">
            <v>BARRIO SAN MIGUEL S/N CALZADA DE SAN MIUEL</v>
          </cell>
          <cell r="L902" t="str">
            <v>CENTRO</v>
          </cell>
          <cell r="M902" t="str">
            <v>SAN FRANCISCO DEL RINCON</v>
          </cell>
          <cell r="T902" t="e">
            <v>#REF!</v>
          </cell>
        </row>
        <row r="903">
          <cell r="A903" t="str">
            <v>SAN FRANCISCO DEL RINCON</v>
          </cell>
          <cell r="B903" t="str">
            <v>11DPR2692R</v>
          </cell>
          <cell r="D903" t="str">
            <v>X</v>
          </cell>
          <cell r="E903" t="str">
            <v>IGNACIO RAMIREZ</v>
          </cell>
          <cell r="F903">
            <v>13</v>
          </cell>
          <cell r="G903">
            <v>14</v>
          </cell>
          <cell r="H903" t="str">
            <v>San Francisco del Rincón</v>
          </cell>
          <cell r="I903">
            <v>85000</v>
          </cell>
          <cell r="J903" t="str">
            <v>Completa</v>
          </cell>
          <cell r="K903" t="str">
            <v>FEDERICO MEDRANO NUM. 211</v>
          </cell>
          <cell r="L903" t="str">
            <v>ZONA CENTRO</v>
          </cell>
          <cell r="M903" t="str">
            <v>SAN FRANCISCO DEL RINCON</v>
          </cell>
          <cell r="T903" t="e">
            <v>#REF!</v>
          </cell>
        </row>
        <row r="904">
          <cell r="A904" t="str">
            <v>SAN FRANCISCO DEL RINCON</v>
          </cell>
          <cell r="B904" t="str">
            <v>11DPR2718I</v>
          </cell>
          <cell r="C904" t="str">
            <v>X</v>
          </cell>
          <cell r="E904" t="str">
            <v>ADOLFO LOPEZ MATEOS</v>
          </cell>
          <cell r="F904">
            <v>104</v>
          </cell>
          <cell r="G904">
            <v>14</v>
          </cell>
          <cell r="H904" t="str">
            <v>San Francisco del Rincón</v>
          </cell>
          <cell r="I904">
            <v>85000</v>
          </cell>
          <cell r="J904" t="str">
            <v>Completa</v>
          </cell>
          <cell r="K904" t="str">
            <v>JOSEFA ORTIZ DE DOMINGUEZ S/N</v>
          </cell>
          <cell r="L904" t="str">
            <v>SANTA ANITA</v>
          </cell>
          <cell r="M904" t="str">
            <v>SAN FRANCISCO DEL RINCON</v>
          </cell>
          <cell r="T904" t="e">
            <v>#REF!</v>
          </cell>
        </row>
        <row r="905">
          <cell r="A905" t="str">
            <v>SAN FRANCISCO DEL RINCON</v>
          </cell>
          <cell r="B905" t="str">
            <v>11DPR0229F</v>
          </cell>
          <cell r="D905" t="str">
            <v>X</v>
          </cell>
          <cell r="E905" t="str">
            <v>CUAUHTEMOC</v>
          </cell>
          <cell r="F905">
            <v>104</v>
          </cell>
          <cell r="G905">
            <v>14</v>
          </cell>
          <cell r="H905" t="str">
            <v>San Francisco del Rincón</v>
          </cell>
          <cell r="I905">
            <v>85000</v>
          </cell>
          <cell r="J905" t="str">
            <v>Completa</v>
          </cell>
          <cell r="K905" t="str">
            <v>FEDERICO MEDRANO S/N</v>
          </cell>
          <cell r="L905" t="str">
            <v>CUAUHTEMOC</v>
          </cell>
          <cell r="M905" t="str">
            <v>SAN FRANCISCO DEL RINCON</v>
          </cell>
          <cell r="T905" t="e">
            <v>#REF!</v>
          </cell>
        </row>
        <row r="906">
          <cell r="A906" t="str">
            <v>SAN FRANCISCO DEL RINCON</v>
          </cell>
          <cell r="B906" t="str">
            <v>11DPR2399N</v>
          </cell>
          <cell r="D906" t="str">
            <v>X</v>
          </cell>
          <cell r="E906" t="str">
            <v>IGNACIO ZARAGOZA</v>
          </cell>
          <cell r="F906">
            <v>145</v>
          </cell>
          <cell r="G906">
            <v>14</v>
          </cell>
          <cell r="H906" t="str">
            <v>San Francisco del Rincón</v>
          </cell>
          <cell r="I906">
            <v>85000</v>
          </cell>
          <cell r="J906" t="str">
            <v>Completa</v>
          </cell>
          <cell r="K906" t="str">
            <v>AVENIDA DEL ROCIO S/N</v>
          </cell>
          <cell r="L906" t="str">
            <v>VILLAS DEL MORAL</v>
          </cell>
          <cell r="M906" t="str">
            <v>SAN FRANCISCO DEL RINCON</v>
          </cell>
          <cell r="T906" t="e">
            <v>#REF!</v>
          </cell>
        </row>
        <row r="907">
          <cell r="A907" t="str">
            <v>SAN FRANCISCO DEL RINCON</v>
          </cell>
          <cell r="B907" t="str">
            <v>11DPR2135E</v>
          </cell>
          <cell r="C907" t="str">
            <v>X</v>
          </cell>
          <cell r="E907" t="str">
            <v>IGNACIO ZARAGOZA</v>
          </cell>
          <cell r="F907">
            <v>145</v>
          </cell>
          <cell r="G907">
            <v>14</v>
          </cell>
          <cell r="H907" t="str">
            <v>San Francisco del Rincón</v>
          </cell>
          <cell r="I907">
            <v>85000</v>
          </cell>
          <cell r="J907" t="str">
            <v>Completa</v>
          </cell>
          <cell r="K907" t="str">
            <v>AVENIDA DEL ROCIO S/N</v>
          </cell>
          <cell r="L907" t="str">
            <v>VILLAS DEL MORAL</v>
          </cell>
          <cell r="M907" t="str">
            <v>SAN FRANCISCO DEL RINCON</v>
          </cell>
          <cell r="T907" t="e">
            <v>#REF!</v>
          </cell>
        </row>
        <row r="908">
          <cell r="A908" t="str">
            <v>TECOLOTE</v>
          </cell>
          <cell r="B908" t="str">
            <v>11DPR3701P</v>
          </cell>
          <cell r="D908" t="str">
            <v>X</v>
          </cell>
          <cell r="E908" t="str">
            <v>ROSARIO CASTELLANOS</v>
          </cell>
          <cell r="F908">
            <v>104</v>
          </cell>
          <cell r="G908">
            <v>14</v>
          </cell>
          <cell r="H908" t="str">
            <v>San Francisco del Rincón</v>
          </cell>
          <cell r="I908">
            <v>30000</v>
          </cell>
          <cell r="J908" t="str">
            <v>Multigrado</v>
          </cell>
          <cell r="K908" t="str">
            <v>EL TECOLOTE</v>
          </cell>
          <cell r="L908">
            <v>0</v>
          </cell>
          <cell r="M908" t="str">
            <v>TECOLOTE</v>
          </cell>
          <cell r="T908" t="e">
            <v>#REF!</v>
          </cell>
        </row>
        <row r="909">
          <cell r="A909" t="str">
            <v>NUEVO MEXIQUITO (LA LOMA)</v>
          </cell>
          <cell r="B909" t="str">
            <v>11DPR3878C</v>
          </cell>
          <cell r="D909" t="str">
            <v>X</v>
          </cell>
          <cell r="E909" t="str">
            <v>JOSE VASCONCELOS</v>
          </cell>
          <cell r="F909">
            <v>145</v>
          </cell>
          <cell r="G909">
            <v>14</v>
          </cell>
          <cell r="H909" t="str">
            <v>San Francisco del Rincón</v>
          </cell>
          <cell r="I909">
            <v>30000</v>
          </cell>
          <cell r="J909" t="str">
            <v>Multigrado</v>
          </cell>
          <cell r="K909" t="str">
            <v>NUEVO MEXIQUITO</v>
          </cell>
          <cell r="L909">
            <v>0</v>
          </cell>
          <cell r="M909" t="str">
            <v>NUEVO MEXIQUITO (LA LOMA)</v>
          </cell>
          <cell r="T909" t="e">
            <v>#REF!</v>
          </cell>
        </row>
        <row r="910">
          <cell r="A910" t="str">
            <v>BARRIO DE GUADALUPE DEL MEZQUITILLO</v>
          </cell>
          <cell r="B910" t="str">
            <v>11ETV0364I</v>
          </cell>
          <cell r="C910" t="str">
            <v>X</v>
          </cell>
          <cell r="E910" t="str">
            <v>JUSTO SIERRA</v>
          </cell>
          <cell r="F910">
            <v>526</v>
          </cell>
          <cell r="G910">
            <v>5</v>
          </cell>
          <cell r="H910" t="str">
            <v>San Francisco del Rincón</v>
          </cell>
          <cell r="I910">
            <v>85000</v>
          </cell>
          <cell r="J910" t="str">
            <v>Completa</v>
          </cell>
          <cell r="K910" t="str">
            <v>BARRIO DE GUADALUPE DEL MEZQUITILLO S/N</v>
          </cell>
          <cell r="L910">
            <v>0</v>
          </cell>
          <cell r="M910" t="str">
            <v>BARRIO DE GUADALUPE DEL MEZQUITILLO</v>
          </cell>
          <cell r="T910" t="e">
            <v>#REF!</v>
          </cell>
        </row>
        <row r="911">
          <cell r="A911" t="str">
            <v>JALAPA</v>
          </cell>
          <cell r="B911" t="str">
            <v>11DPR0234R</v>
          </cell>
          <cell r="D911" t="str">
            <v>X</v>
          </cell>
          <cell r="E911" t="str">
            <v>LEONA VICARIO</v>
          </cell>
          <cell r="F911">
            <v>104</v>
          </cell>
          <cell r="G911">
            <v>14</v>
          </cell>
          <cell r="H911" t="str">
            <v>San Francisco del Rincón</v>
          </cell>
          <cell r="I911">
            <v>30000</v>
          </cell>
          <cell r="J911" t="str">
            <v>Multigrado</v>
          </cell>
          <cell r="K911" t="str">
            <v>JALAPA</v>
          </cell>
          <cell r="L911">
            <v>0</v>
          </cell>
          <cell r="M911" t="str">
            <v>JALAPA</v>
          </cell>
          <cell r="T911" t="e">
            <v>#REF!</v>
          </cell>
        </row>
        <row r="912">
          <cell r="A912" t="str">
            <v>JARALILLO (EL GALLO)</v>
          </cell>
          <cell r="B912" t="str">
            <v>11DPR0235Q</v>
          </cell>
          <cell r="D912" t="str">
            <v>X</v>
          </cell>
          <cell r="E912" t="str">
            <v>JOSE ANTONIO TORRES</v>
          </cell>
          <cell r="F912">
            <v>145</v>
          </cell>
          <cell r="G912">
            <v>14</v>
          </cell>
          <cell r="H912" t="str">
            <v>San Francisco del Rincón</v>
          </cell>
          <cell r="I912">
            <v>30000</v>
          </cell>
          <cell r="J912" t="str">
            <v>Multigrado</v>
          </cell>
          <cell r="K912" t="str">
            <v>JARALILLO</v>
          </cell>
          <cell r="L912">
            <v>0</v>
          </cell>
          <cell r="M912" t="str">
            <v>JARALILLO (EL GALLO)</v>
          </cell>
          <cell r="T912" t="e">
            <v>#REF!</v>
          </cell>
        </row>
        <row r="913">
          <cell r="A913" t="str">
            <v>SAN IGNACIO DE HIDALGO (LA GALERA)</v>
          </cell>
          <cell r="B913" t="str">
            <v>11DPR0248U</v>
          </cell>
          <cell r="C913" t="str">
            <v>X</v>
          </cell>
          <cell r="E913" t="str">
            <v>MEXICO</v>
          </cell>
          <cell r="F913">
            <v>13</v>
          </cell>
          <cell r="G913">
            <v>14</v>
          </cell>
          <cell r="H913" t="str">
            <v>San Francisco del Rincón</v>
          </cell>
          <cell r="I913">
            <v>85000</v>
          </cell>
          <cell r="J913" t="str">
            <v>Completa</v>
          </cell>
          <cell r="K913" t="str">
            <v>SAN IGNACIO DE HIDALGO</v>
          </cell>
          <cell r="L913">
            <v>0</v>
          </cell>
          <cell r="M913" t="str">
            <v>SAN IGNACIO DE HIDALGO (LA GALERA)</v>
          </cell>
          <cell r="T913" t="e">
            <v>#REF!</v>
          </cell>
        </row>
        <row r="914">
          <cell r="A914" t="str">
            <v>EL LINDERO (EL LINDERO VIEJO)</v>
          </cell>
          <cell r="B914" t="str">
            <v>11DPR1286D</v>
          </cell>
          <cell r="D914" t="str">
            <v>X</v>
          </cell>
          <cell r="E914" t="str">
            <v>JOSE MA. MORELOS Y PAVON</v>
          </cell>
          <cell r="F914">
            <v>46</v>
          </cell>
          <cell r="G914">
            <v>14</v>
          </cell>
          <cell r="H914" t="str">
            <v>San Francisco del Rincón</v>
          </cell>
          <cell r="I914">
            <v>30000</v>
          </cell>
          <cell r="J914" t="str">
            <v>Multigrado</v>
          </cell>
          <cell r="K914" t="str">
            <v>SANTA RITA LINDERO</v>
          </cell>
          <cell r="L914">
            <v>0</v>
          </cell>
          <cell r="M914" t="str">
            <v>EL LINDERO (EL LINDERO VIEJO)</v>
          </cell>
          <cell r="T914" t="e">
            <v>#REF!</v>
          </cell>
        </row>
        <row r="915">
          <cell r="A915" t="str">
            <v>JESUS DEL MONTE (EL TALAYOTE)</v>
          </cell>
          <cell r="B915" t="str">
            <v>11DPR2387I</v>
          </cell>
          <cell r="D915" t="str">
            <v>X</v>
          </cell>
          <cell r="E915" t="str">
            <v>LUCIO ALCALA</v>
          </cell>
          <cell r="F915">
            <v>46</v>
          </cell>
          <cell r="G915">
            <v>14</v>
          </cell>
          <cell r="H915" t="str">
            <v>San Francisco del Rincón</v>
          </cell>
          <cell r="I915">
            <v>85000</v>
          </cell>
          <cell r="J915" t="str">
            <v>Completa</v>
          </cell>
          <cell r="K915" t="str">
            <v>JESUS DEL MONTE</v>
          </cell>
          <cell r="L915">
            <v>0</v>
          </cell>
          <cell r="M915" t="str">
            <v>JESUS DEL MONTE (EL TALAYOTE)</v>
          </cell>
          <cell r="T915" t="e">
            <v>#REF!</v>
          </cell>
        </row>
        <row r="916">
          <cell r="A916" t="str">
            <v>MEXIQUITO</v>
          </cell>
          <cell r="B916" t="str">
            <v>11DPR2627R</v>
          </cell>
          <cell r="D916" t="str">
            <v>X</v>
          </cell>
          <cell r="E916" t="str">
            <v>MELCHOR OCAMPO</v>
          </cell>
          <cell r="F916">
            <v>145</v>
          </cell>
          <cell r="G916">
            <v>14</v>
          </cell>
          <cell r="H916" t="str">
            <v>San Francisco del Rincón</v>
          </cell>
          <cell r="I916">
            <v>30000</v>
          </cell>
          <cell r="J916" t="str">
            <v>Multigrado</v>
          </cell>
          <cell r="K916" t="str">
            <v>MEXIQUITO</v>
          </cell>
          <cell r="L916">
            <v>0</v>
          </cell>
          <cell r="M916" t="str">
            <v>MEXIQUITO</v>
          </cell>
          <cell r="T916" t="e">
            <v>#REF!</v>
          </cell>
        </row>
        <row r="917">
          <cell r="A917" t="str">
            <v>SAN IGNACIO DE HIDALGO (SAN IGNACIO)</v>
          </cell>
          <cell r="B917" t="str">
            <v>11DPR3069C</v>
          </cell>
          <cell r="C917" t="str">
            <v>X</v>
          </cell>
          <cell r="E917" t="str">
            <v>NETZAHUALCOYOLT</v>
          </cell>
          <cell r="F917">
            <v>13</v>
          </cell>
          <cell r="G917">
            <v>14</v>
          </cell>
          <cell r="H917" t="str">
            <v>San Francisco del Rincón</v>
          </cell>
          <cell r="I917">
            <v>85000</v>
          </cell>
          <cell r="J917" t="str">
            <v>Completa</v>
          </cell>
          <cell r="K917" t="str">
            <v>SAN IGNACIO DE HIDALGO</v>
          </cell>
          <cell r="L917">
            <v>0</v>
          </cell>
          <cell r="M917" t="str">
            <v>SAN IGNACIO DE HIDALGO (SAN IGNACIO)</v>
          </cell>
          <cell r="T917" t="e">
            <v>#REF!</v>
          </cell>
        </row>
        <row r="918">
          <cell r="A918" t="str">
            <v>EL TOMATE</v>
          </cell>
          <cell r="B918" t="str">
            <v>11DPR0823F</v>
          </cell>
          <cell r="D918" t="str">
            <v>X</v>
          </cell>
          <cell r="E918" t="str">
            <v>EL PIPILA</v>
          </cell>
          <cell r="F918">
            <v>104</v>
          </cell>
          <cell r="G918">
            <v>14</v>
          </cell>
          <cell r="H918" t="str">
            <v>San Francisco del Rincón</v>
          </cell>
          <cell r="I918">
            <v>30000</v>
          </cell>
          <cell r="J918" t="str">
            <v>Multigrado</v>
          </cell>
          <cell r="K918" t="str">
            <v>EL TOMATE</v>
          </cell>
          <cell r="L918">
            <v>0</v>
          </cell>
          <cell r="M918" t="str">
            <v>EL TOMATE</v>
          </cell>
          <cell r="T918" t="e">
            <v>#REF!</v>
          </cell>
        </row>
        <row r="919">
          <cell r="A919" t="str">
            <v>EL REPARO</v>
          </cell>
          <cell r="B919" t="str">
            <v>11DPR0944R</v>
          </cell>
          <cell r="D919" t="str">
            <v>X</v>
          </cell>
          <cell r="E919" t="str">
            <v>VICENTE GUERRERO</v>
          </cell>
          <cell r="F919">
            <v>145</v>
          </cell>
          <cell r="G919">
            <v>14</v>
          </cell>
          <cell r="H919" t="str">
            <v>San Francisco del Rincón</v>
          </cell>
          <cell r="I919">
            <v>30000</v>
          </cell>
          <cell r="J919" t="str">
            <v>Multigrado</v>
          </cell>
          <cell r="K919" t="str">
            <v>EL REPARO</v>
          </cell>
          <cell r="L919">
            <v>0</v>
          </cell>
          <cell r="M919" t="str">
            <v>EL REPARO</v>
          </cell>
          <cell r="T919" t="e">
            <v>#REF!</v>
          </cell>
        </row>
        <row r="920">
          <cell r="A920" t="str">
            <v>SAN RAFAEL</v>
          </cell>
          <cell r="B920" t="str">
            <v>11DPR3267C</v>
          </cell>
          <cell r="D920" t="str">
            <v>X</v>
          </cell>
          <cell r="E920" t="str">
            <v>MIGUEL HIDALGO Y COSTILLA</v>
          </cell>
          <cell r="F920">
            <v>145</v>
          </cell>
          <cell r="G920">
            <v>14</v>
          </cell>
          <cell r="H920" t="str">
            <v>San Francisco del Rincón</v>
          </cell>
          <cell r="I920">
            <v>30000</v>
          </cell>
          <cell r="J920" t="str">
            <v>Multigrado</v>
          </cell>
          <cell r="K920" t="str">
            <v>SAN RAFAEL</v>
          </cell>
          <cell r="L920">
            <v>0</v>
          </cell>
          <cell r="M920" t="str">
            <v>SAN RAFAEL</v>
          </cell>
          <cell r="T920" t="e">
            <v>#REF!</v>
          </cell>
        </row>
        <row r="921">
          <cell r="A921" t="str">
            <v>SAN FRANCISCO DEL RINCON</v>
          </cell>
          <cell r="B921" t="str">
            <v>11DPR3396X</v>
          </cell>
          <cell r="D921" t="str">
            <v>X</v>
          </cell>
          <cell r="E921" t="str">
            <v>LERDO DE TEJADA</v>
          </cell>
          <cell r="F921">
            <v>104</v>
          </cell>
          <cell r="G921">
            <v>14</v>
          </cell>
          <cell r="H921" t="str">
            <v>San Francisco del Rincón</v>
          </cell>
          <cell r="I921">
            <v>30000</v>
          </cell>
          <cell r="J921" t="str">
            <v>Multigrado</v>
          </cell>
          <cell r="K921" t="str">
            <v>CENTRO DE MEZQUITILLO</v>
          </cell>
          <cell r="L921" t="str">
            <v>MEZQUITILLO</v>
          </cell>
          <cell r="M921" t="str">
            <v>SAN FRANCISCO DEL RINCON</v>
          </cell>
          <cell r="T921" t="e">
            <v>#REF!</v>
          </cell>
        </row>
        <row r="922">
          <cell r="A922" t="str">
            <v>EL NACIMIENTO</v>
          </cell>
          <cell r="B922" t="str">
            <v>11DPR0612B</v>
          </cell>
          <cell r="D922" t="str">
            <v>X</v>
          </cell>
          <cell r="E922" t="str">
            <v>GABINO BARREDA</v>
          </cell>
          <cell r="F922">
            <v>13</v>
          </cell>
          <cell r="G922">
            <v>14</v>
          </cell>
          <cell r="H922" t="str">
            <v>San Francisco del Rincón</v>
          </cell>
          <cell r="I922">
            <v>55500</v>
          </cell>
          <cell r="J922" t="str">
            <v>Completa</v>
          </cell>
          <cell r="K922" t="str">
            <v>EL NACIMIENTO</v>
          </cell>
          <cell r="L922">
            <v>0</v>
          </cell>
          <cell r="M922" t="str">
            <v>EL NACIMIENTO</v>
          </cell>
          <cell r="T922" t="e">
            <v>#REF!</v>
          </cell>
        </row>
        <row r="923">
          <cell r="A923" t="str">
            <v>PEÑUELAS</v>
          </cell>
          <cell r="B923" t="str">
            <v>11DPR0613A</v>
          </cell>
          <cell r="C923" t="str">
            <v>X</v>
          </cell>
          <cell r="E923" t="str">
            <v>JOSE MARIA MORELOS</v>
          </cell>
          <cell r="F923">
            <v>13</v>
          </cell>
          <cell r="G923">
            <v>14</v>
          </cell>
          <cell r="H923" t="str">
            <v>San Francisco del Rincón</v>
          </cell>
          <cell r="I923">
            <v>85000</v>
          </cell>
          <cell r="J923" t="str">
            <v>Completa</v>
          </cell>
          <cell r="K923" t="str">
            <v>PEÑUELAS</v>
          </cell>
          <cell r="L923">
            <v>0</v>
          </cell>
          <cell r="M923" t="str">
            <v>PEÑUELAS</v>
          </cell>
          <cell r="T923" t="e">
            <v>#REF!</v>
          </cell>
        </row>
        <row r="924">
          <cell r="A924" t="str">
            <v>SAN JOSE DE LA BARRANCA (EL RANCHITO)</v>
          </cell>
          <cell r="B924" t="str">
            <v>11DPR0824E</v>
          </cell>
          <cell r="C924" t="str">
            <v>X</v>
          </cell>
          <cell r="E924" t="str">
            <v>TRES GARANTIAS</v>
          </cell>
          <cell r="F924">
            <v>46</v>
          </cell>
          <cell r="G924">
            <v>14</v>
          </cell>
          <cell r="H924" t="str">
            <v>San Francisco del Rincón</v>
          </cell>
          <cell r="I924">
            <v>30000</v>
          </cell>
          <cell r="J924" t="str">
            <v>Multigrado</v>
          </cell>
          <cell r="K924" t="str">
            <v>SAN JOSE DE LA BARRANCA</v>
          </cell>
          <cell r="L924">
            <v>0</v>
          </cell>
          <cell r="M924" t="str">
            <v>SAN JOSE DE LA BARRANCA (EL RANCHITO)</v>
          </cell>
          <cell r="T924" t="e">
            <v>#REF!</v>
          </cell>
        </row>
        <row r="925">
          <cell r="A925" t="str">
            <v>SAN FRANCISCO DEL RINCON</v>
          </cell>
          <cell r="B925" t="str">
            <v>11DPR2431F</v>
          </cell>
          <cell r="C925" t="str">
            <v>X</v>
          </cell>
          <cell r="E925" t="str">
            <v>IGNACIO ALLENDE</v>
          </cell>
          <cell r="F925">
            <v>104</v>
          </cell>
          <cell r="G925">
            <v>14</v>
          </cell>
          <cell r="H925" t="str">
            <v>San Francisco del Rincón</v>
          </cell>
          <cell r="I925">
            <v>85000</v>
          </cell>
          <cell r="J925" t="str">
            <v>Completa</v>
          </cell>
          <cell r="K925" t="str">
            <v>FEDERICO MEDRANO S/N</v>
          </cell>
          <cell r="L925" t="str">
            <v>CUAUHTEMOC</v>
          </cell>
          <cell r="M925" t="str">
            <v>SAN FRANCISCO DEL RINCON</v>
          </cell>
          <cell r="T925" t="e">
            <v>#REF!</v>
          </cell>
        </row>
        <row r="926">
          <cell r="A926" t="str">
            <v>VISTA HERMOSA (EL TUZO)</v>
          </cell>
          <cell r="B926" t="str">
            <v>11DPR3140X</v>
          </cell>
          <cell r="C926" t="str">
            <v>X</v>
          </cell>
          <cell r="E926" t="str">
            <v>JUSTO SIERRA</v>
          </cell>
          <cell r="F926">
            <v>145</v>
          </cell>
          <cell r="G926">
            <v>14</v>
          </cell>
          <cell r="H926" t="str">
            <v>San Francisco del Rincón</v>
          </cell>
          <cell r="I926">
            <v>30000</v>
          </cell>
          <cell r="J926" t="str">
            <v>Multigrado</v>
          </cell>
          <cell r="K926" t="str">
            <v>VISTA HERMOSA</v>
          </cell>
          <cell r="L926">
            <v>0</v>
          </cell>
          <cell r="M926" t="str">
            <v>VISTA HERMOSA (EL TUZO)</v>
          </cell>
          <cell r="T926" t="e">
            <v>#REF!</v>
          </cell>
        </row>
        <row r="927">
          <cell r="A927" t="str">
            <v>EL PEDREGOSO</v>
          </cell>
          <cell r="B927" t="str">
            <v>11DPR2988B</v>
          </cell>
          <cell r="C927" t="str">
            <v>X</v>
          </cell>
          <cell r="E927" t="str">
            <v>EMPERADOR CUAHUTEMOC</v>
          </cell>
          <cell r="F927">
            <v>46</v>
          </cell>
          <cell r="G927">
            <v>14</v>
          </cell>
          <cell r="H927" t="str">
            <v>San Francisco del Rincón</v>
          </cell>
          <cell r="I927">
            <v>30000</v>
          </cell>
          <cell r="J927" t="str">
            <v>Multigrado</v>
          </cell>
          <cell r="K927" t="str">
            <v>EL PEDREGOSO</v>
          </cell>
          <cell r="L927">
            <v>0</v>
          </cell>
          <cell r="M927" t="str">
            <v>EL PEDREGOSO</v>
          </cell>
          <cell r="T927" t="e">
            <v>#REF!</v>
          </cell>
        </row>
        <row r="928">
          <cell r="A928" t="str">
            <v>EL CAPULIN</v>
          </cell>
          <cell r="B928" t="str">
            <v>11DJN2478J</v>
          </cell>
          <cell r="C928" t="str">
            <v>X</v>
          </cell>
          <cell r="E928" t="str">
            <v>LAZARO CARDENAS</v>
          </cell>
          <cell r="F928">
            <v>97</v>
          </cell>
          <cell r="G928">
            <v>8</v>
          </cell>
          <cell r="H928" t="str">
            <v>San José Iturbide</v>
          </cell>
          <cell r="I928">
            <v>45000</v>
          </cell>
          <cell r="J928" t="str">
            <v>Completa</v>
          </cell>
          <cell r="K928" t="str">
            <v>EL CAPULIN</v>
          </cell>
          <cell r="L928">
            <v>0</v>
          </cell>
          <cell r="M928" t="str">
            <v>EL CAPULIN</v>
          </cell>
          <cell r="T928" t="e">
            <v>#REF!</v>
          </cell>
        </row>
        <row r="929">
          <cell r="A929" t="str">
            <v>EL CAPULIN</v>
          </cell>
          <cell r="B929" t="str">
            <v>11EPR0294E</v>
          </cell>
          <cell r="C929" t="str">
            <v>X</v>
          </cell>
          <cell r="E929" t="str">
            <v>MIGUEL HIDALGO</v>
          </cell>
          <cell r="F929">
            <v>514</v>
          </cell>
          <cell r="G929">
            <v>2</v>
          </cell>
          <cell r="H929" t="str">
            <v>San José Iturbide</v>
          </cell>
          <cell r="I929">
            <v>85000</v>
          </cell>
          <cell r="J929" t="str">
            <v>Completa</v>
          </cell>
          <cell r="K929" t="str">
            <v>ALLENDE PONIENTE S/N</v>
          </cell>
          <cell r="L929">
            <v>0</v>
          </cell>
          <cell r="M929" t="str">
            <v>EL CAPULIN</v>
          </cell>
          <cell r="T929" t="e">
            <v>#REF!</v>
          </cell>
        </row>
        <row r="930">
          <cell r="A930" t="e">
            <v>#N/A</v>
          </cell>
          <cell r="B930" t="str">
            <v>11DML0033C</v>
          </cell>
          <cell r="C930" t="str">
            <v>X</v>
          </cell>
          <cell r="E930" t="str">
            <v>CENTRO DE ATENCION MULTIPLE SAN JOSE ITURBIDE</v>
          </cell>
          <cell r="F930">
            <v>8</v>
          </cell>
          <cell r="G930">
            <v>88</v>
          </cell>
          <cell r="H930" t="str">
            <v>San José Iturbide</v>
          </cell>
          <cell r="I930">
            <v>45000</v>
          </cell>
          <cell r="J930" t="str">
            <v>Completa</v>
          </cell>
          <cell r="K930" t="e">
            <v>#N/A</v>
          </cell>
          <cell r="L930" t="e">
            <v>#N/A</v>
          </cell>
          <cell r="M930" t="e">
            <v>#N/A</v>
          </cell>
          <cell r="T930" t="e">
            <v>#REF!</v>
          </cell>
        </row>
        <row r="931">
          <cell r="A931" t="str">
            <v>SAN JOSE ITURBIDE</v>
          </cell>
          <cell r="B931" t="str">
            <v>11DJN4351R</v>
          </cell>
          <cell r="C931" t="str">
            <v>X</v>
          </cell>
          <cell r="E931" t="str">
            <v>GABILONDO SOLER</v>
          </cell>
          <cell r="F931">
            <v>47</v>
          </cell>
          <cell r="G931">
            <v>8</v>
          </cell>
          <cell r="H931" t="str">
            <v>San José Iturbide</v>
          </cell>
          <cell r="I931">
            <v>85000</v>
          </cell>
          <cell r="J931" t="str">
            <v>Completa</v>
          </cell>
          <cell r="K931" t="str">
            <v>HUIZACHE NUM. 23</v>
          </cell>
          <cell r="L931" t="str">
            <v>LOMA DE BUENAVISTA</v>
          </cell>
          <cell r="M931" t="str">
            <v>SAN JOSE ITURBIDE</v>
          </cell>
          <cell r="T931" t="e">
            <v>#REF!</v>
          </cell>
        </row>
        <row r="932">
          <cell r="A932" t="str">
            <v>SAN JOSE ITURBIDE</v>
          </cell>
          <cell r="B932" t="str">
            <v>11EPR0817U</v>
          </cell>
          <cell r="D932" t="str">
            <v>X</v>
          </cell>
          <cell r="E932" t="str">
            <v>MA. TERESA GARCIA DE TORRES LANDA</v>
          </cell>
          <cell r="F932">
            <v>514</v>
          </cell>
          <cell r="G932">
            <v>2</v>
          </cell>
          <cell r="H932" t="str">
            <v>San José Iturbide</v>
          </cell>
          <cell r="I932">
            <v>85000</v>
          </cell>
          <cell r="J932" t="str">
            <v>Completa</v>
          </cell>
          <cell r="K932" t="str">
            <v>MOCTEZUMA S/N FRENTE AL JARDIN ALAMEDA</v>
          </cell>
          <cell r="L932" t="str">
            <v>NO APLICA</v>
          </cell>
          <cell r="M932" t="str">
            <v>SAN JOSE ITURBIDE</v>
          </cell>
          <cell r="T932" t="e">
            <v>#REF!</v>
          </cell>
        </row>
        <row r="933">
          <cell r="A933" t="str">
            <v>EL CAPULIN</v>
          </cell>
          <cell r="B933" t="str">
            <v>11DPR0260P</v>
          </cell>
          <cell r="C933" t="str">
            <v>X</v>
          </cell>
          <cell r="E933" t="str">
            <v>NIÑOS HEROES</v>
          </cell>
          <cell r="F933">
            <v>109</v>
          </cell>
          <cell r="G933">
            <v>21</v>
          </cell>
          <cell r="H933" t="str">
            <v>San José Iturbide</v>
          </cell>
          <cell r="I933">
            <v>85000</v>
          </cell>
          <cell r="J933" t="str">
            <v>Completa</v>
          </cell>
          <cell r="K933" t="str">
            <v>EL CAPULIN</v>
          </cell>
          <cell r="L933">
            <v>0</v>
          </cell>
          <cell r="M933" t="str">
            <v>EL CAPULIN</v>
          </cell>
          <cell r="T933" t="e">
            <v>#REF!</v>
          </cell>
        </row>
        <row r="934">
          <cell r="A934" t="str">
            <v>EL HUIZACHE DE GALOMO</v>
          </cell>
          <cell r="B934" t="str">
            <v>11DPR3390C</v>
          </cell>
          <cell r="C934" t="str">
            <v>X</v>
          </cell>
          <cell r="E934" t="str">
            <v>JAIME NUNO</v>
          </cell>
          <cell r="F934">
            <v>180</v>
          </cell>
          <cell r="G934">
            <v>21</v>
          </cell>
          <cell r="H934" t="str">
            <v>San José Iturbide</v>
          </cell>
          <cell r="I934">
            <v>22500</v>
          </cell>
          <cell r="J934" t="str">
            <v>Multigrado</v>
          </cell>
          <cell r="K934" t="str">
            <v>EL HUIZACHE DE GALOMO</v>
          </cell>
          <cell r="L934">
            <v>0</v>
          </cell>
          <cell r="M934" t="str">
            <v>EL HUIZACHE DE GALOMO</v>
          </cell>
          <cell r="T934" t="e">
            <v>#REF!</v>
          </cell>
        </row>
        <row r="935">
          <cell r="A935" t="str">
            <v>SAN JOSE ITURBIDE</v>
          </cell>
          <cell r="B935" t="str">
            <v>11DPR3152B</v>
          </cell>
          <cell r="D935" t="str">
            <v>X</v>
          </cell>
          <cell r="E935" t="str">
            <v>RICARDO FLORES MAGON</v>
          </cell>
          <cell r="F935">
            <v>109</v>
          </cell>
          <cell r="G935">
            <v>21</v>
          </cell>
          <cell r="H935" t="str">
            <v>San José Iturbide</v>
          </cell>
          <cell r="I935">
            <v>83000</v>
          </cell>
          <cell r="J935" t="str">
            <v>Completa</v>
          </cell>
          <cell r="K935" t="str">
            <v>PROLONGACION JUAREZ S/N</v>
          </cell>
          <cell r="L935">
            <v>0</v>
          </cell>
          <cell r="M935" t="str">
            <v>SAN JOSE ITURBIDE</v>
          </cell>
          <cell r="T935" t="e">
            <v>#REF!</v>
          </cell>
        </row>
        <row r="936">
          <cell r="A936" t="str">
            <v>LOS VEGA DE ABAJO</v>
          </cell>
          <cell r="B936" t="str">
            <v>11DPR3739B</v>
          </cell>
          <cell r="D936" t="str">
            <v>X</v>
          </cell>
          <cell r="E936" t="str">
            <v>PATRIA Y LIBERTAD</v>
          </cell>
          <cell r="F936">
            <v>180</v>
          </cell>
          <cell r="G936">
            <v>21</v>
          </cell>
          <cell r="H936" t="str">
            <v>San José Iturbide</v>
          </cell>
          <cell r="I936">
            <v>22500</v>
          </cell>
          <cell r="J936" t="str">
            <v>Multigrado</v>
          </cell>
          <cell r="K936" t="str">
            <v>LOS VEGA DE ABAJO</v>
          </cell>
          <cell r="L936">
            <v>0</v>
          </cell>
          <cell r="M936" t="str">
            <v>LOS VEGA DE ABAJO</v>
          </cell>
          <cell r="T936" t="e">
            <v>#REF!</v>
          </cell>
        </row>
        <row r="937">
          <cell r="A937" t="str">
            <v>MEDINA</v>
          </cell>
          <cell r="B937" t="str">
            <v>11DJN2991Z</v>
          </cell>
          <cell r="C937" t="str">
            <v>X</v>
          </cell>
          <cell r="E937" t="str">
            <v>ROSAURA ZAPATA</v>
          </cell>
          <cell r="F937">
            <v>47</v>
          </cell>
          <cell r="G937">
            <v>8</v>
          </cell>
          <cell r="H937" t="str">
            <v>San José Iturbide</v>
          </cell>
          <cell r="I937">
            <v>30000</v>
          </cell>
          <cell r="J937" t="str">
            <v>Multigrado</v>
          </cell>
          <cell r="K937" t="str">
            <v>MEDINA</v>
          </cell>
          <cell r="L937">
            <v>0</v>
          </cell>
          <cell r="M937" t="str">
            <v>MEDINA</v>
          </cell>
          <cell r="T937" t="e">
            <v>#REF!</v>
          </cell>
        </row>
        <row r="938">
          <cell r="A938" t="str">
            <v>TULILLO DE ARRIBA</v>
          </cell>
          <cell r="B938" t="str">
            <v>11DPR1356I</v>
          </cell>
          <cell r="C938" t="str">
            <v>X</v>
          </cell>
          <cell r="E938" t="str">
            <v>JOSE MA. MORELOS Y PAVON</v>
          </cell>
          <cell r="F938">
            <v>180</v>
          </cell>
          <cell r="G938">
            <v>21</v>
          </cell>
          <cell r="H938" t="str">
            <v>San José Iturbide</v>
          </cell>
          <cell r="I938">
            <v>85000</v>
          </cell>
          <cell r="J938" t="str">
            <v>Completa</v>
          </cell>
          <cell r="K938" t="str">
            <v>TULILLO DE ARRIBA</v>
          </cell>
          <cell r="L938">
            <v>0</v>
          </cell>
          <cell r="M938" t="str">
            <v>TULILLO DE ARRIBA</v>
          </cell>
          <cell r="T938" t="e">
            <v>#REF!</v>
          </cell>
        </row>
        <row r="939">
          <cell r="A939" t="str">
            <v>SAN JOSE ITURBIDE</v>
          </cell>
          <cell r="B939" t="str">
            <v>11DPR0258A</v>
          </cell>
          <cell r="D939" t="str">
            <v>X</v>
          </cell>
          <cell r="E939" t="str">
            <v>JUSTICIA SOCIAL</v>
          </cell>
          <cell r="F939">
            <v>180</v>
          </cell>
          <cell r="G939">
            <v>21</v>
          </cell>
          <cell r="H939" t="str">
            <v>San José Iturbide</v>
          </cell>
          <cell r="I939">
            <v>85000</v>
          </cell>
          <cell r="J939" t="str">
            <v>Completa</v>
          </cell>
          <cell r="K939" t="str">
            <v>GOMEZ FARIAS S/N</v>
          </cell>
          <cell r="L939">
            <v>0</v>
          </cell>
          <cell r="M939" t="str">
            <v>SAN JOSE ITURBIDE</v>
          </cell>
          <cell r="T939" t="e">
            <v>#REF!</v>
          </cell>
        </row>
        <row r="940">
          <cell r="A940" t="str">
            <v>OJO DE AGUA DEL REFUGIO</v>
          </cell>
          <cell r="B940" t="str">
            <v>11DPR3154Z</v>
          </cell>
          <cell r="C940" t="str">
            <v>X</v>
          </cell>
          <cell r="E940" t="str">
            <v>DIEGO RIVERA</v>
          </cell>
          <cell r="F940">
            <v>109</v>
          </cell>
          <cell r="G940">
            <v>21</v>
          </cell>
          <cell r="H940" t="str">
            <v>San José Iturbide</v>
          </cell>
          <cell r="I940">
            <v>70000</v>
          </cell>
          <cell r="J940" t="str">
            <v>Completa</v>
          </cell>
          <cell r="K940" t="str">
            <v>OJO DE AGUA DEL REFUGIO</v>
          </cell>
          <cell r="L940">
            <v>0</v>
          </cell>
          <cell r="M940" t="str">
            <v>OJO DE AGUA DEL REFUGIO</v>
          </cell>
          <cell r="T940" t="e">
            <v>#REF!</v>
          </cell>
        </row>
        <row r="941">
          <cell r="A941" t="str">
            <v>OJO DE DIEGO</v>
          </cell>
          <cell r="B941" t="str">
            <v>11DPR0273T</v>
          </cell>
          <cell r="D941" t="str">
            <v>X</v>
          </cell>
          <cell r="E941" t="str">
            <v>EL PIPILA</v>
          </cell>
          <cell r="F941">
            <v>180</v>
          </cell>
          <cell r="G941">
            <v>21</v>
          </cell>
          <cell r="H941" t="str">
            <v>San José Iturbide</v>
          </cell>
          <cell r="I941">
            <v>25500</v>
          </cell>
          <cell r="J941" t="str">
            <v>Multigrado</v>
          </cell>
          <cell r="K941" t="str">
            <v>OJO DE DIEGO</v>
          </cell>
          <cell r="L941">
            <v>0</v>
          </cell>
          <cell r="M941" t="str">
            <v>OJO DE DIEGO</v>
          </cell>
          <cell r="T941" t="e">
            <v>#REF!</v>
          </cell>
        </row>
        <row r="942">
          <cell r="A942" t="str">
            <v>TULILLO DE ARRIBA</v>
          </cell>
          <cell r="B942" t="str">
            <v>11ETV0646Q</v>
          </cell>
          <cell r="C942" t="str">
            <v>X</v>
          </cell>
          <cell r="E942" t="str">
            <v>TELESECUNDARIA NUM. 675</v>
          </cell>
          <cell r="F942">
            <v>525</v>
          </cell>
          <cell r="G942">
            <v>6</v>
          </cell>
          <cell r="H942" t="str">
            <v>San José Iturbide</v>
          </cell>
          <cell r="I942">
            <v>85000</v>
          </cell>
          <cell r="J942" t="str">
            <v>Completa</v>
          </cell>
          <cell r="K942" t="str">
            <v>TULILLO DE ARRIBA</v>
          </cell>
          <cell r="L942">
            <v>0</v>
          </cell>
          <cell r="M942" t="str">
            <v>TULILLO DE ARRIBA</v>
          </cell>
          <cell r="T942" t="e">
            <v>#REF!</v>
          </cell>
        </row>
        <row r="943">
          <cell r="A943" t="str">
            <v>5 DE MAYO</v>
          </cell>
          <cell r="B943" t="str">
            <v>11ETV0644S</v>
          </cell>
          <cell r="C943" t="str">
            <v>X</v>
          </cell>
          <cell r="E943" t="str">
            <v>TELESECUNDARIA NUM. 670</v>
          </cell>
          <cell r="F943">
            <v>525</v>
          </cell>
          <cell r="G943">
            <v>6</v>
          </cell>
          <cell r="H943" t="str">
            <v>San José Iturbide</v>
          </cell>
          <cell r="I943">
            <v>85000</v>
          </cell>
          <cell r="J943" t="str">
            <v>Completa</v>
          </cell>
          <cell r="K943" t="str">
            <v>5 DE MAYO S/N</v>
          </cell>
          <cell r="L943">
            <v>0</v>
          </cell>
          <cell r="M943" t="str">
            <v>5 DE MAYO</v>
          </cell>
          <cell r="T943" t="e">
            <v>#REF!</v>
          </cell>
        </row>
        <row r="944">
          <cell r="A944" t="str">
            <v>LAS TUZAS</v>
          </cell>
          <cell r="B944" t="str">
            <v>11ETV0828Z</v>
          </cell>
          <cell r="C944" t="str">
            <v>X</v>
          </cell>
          <cell r="E944" t="str">
            <v>TELESECUNDARIA NUM. 828</v>
          </cell>
          <cell r="F944">
            <v>525</v>
          </cell>
          <cell r="G944">
            <v>6</v>
          </cell>
          <cell r="H944" t="str">
            <v>San José Iturbide</v>
          </cell>
          <cell r="I944">
            <v>85000</v>
          </cell>
          <cell r="J944" t="str">
            <v>Completa</v>
          </cell>
          <cell r="K944" t="str">
            <v>LAS TUZAS</v>
          </cell>
          <cell r="L944">
            <v>0</v>
          </cell>
          <cell r="M944" t="str">
            <v>LAS TUZAS</v>
          </cell>
          <cell r="T944" t="e">
            <v>#REF!</v>
          </cell>
        </row>
        <row r="945">
          <cell r="A945" t="str">
            <v>SAN DIEGO DE LAS TRASQUILAS</v>
          </cell>
          <cell r="B945" t="str">
            <v>11DPR0670S</v>
          </cell>
          <cell r="C945" t="str">
            <v>X</v>
          </cell>
          <cell r="E945" t="str">
            <v>BENITO JUAREZ</v>
          </cell>
          <cell r="F945">
            <v>21</v>
          </cell>
          <cell r="G945">
            <v>21</v>
          </cell>
          <cell r="H945" t="str">
            <v>San José Iturbide</v>
          </cell>
          <cell r="I945">
            <v>85000</v>
          </cell>
          <cell r="J945" t="str">
            <v>Completa</v>
          </cell>
          <cell r="K945" t="str">
            <v>SAN DIEGO DE LAS TRASQUILAS</v>
          </cell>
          <cell r="L945">
            <v>0</v>
          </cell>
          <cell r="M945" t="str">
            <v>SAN DIEGO DE LAS TRASQUILAS</v>
          </cell>
          <cell r="T945" t="e">
            <v>#REF!</v>
          </cell>
        </row>
        <row r="946">
          <cell r="A946" t="str">
            <v>SANTA ANITA</v>
          </cell>
          <cell r="B946" t="str">
            <v>11ETV0164K</v>
          </cell>
          <cell r="C946" t="str">
            <v>X</v>
          </cell>
          <cell r="E946" t="str">
            <v>TELESECUNDARIA NUM. 167</v>
          </cell>
          <cell r="F946">
            <v>525</v>
          </cell>
          <cell r="G946">
            <v>6</v>
          </cell>
          <cell r="H946" t="str">
            <v>San José Iturbide</v>
          </cell>
          <cell r="I946">
            <v>85000</v>
          </cell>
          <cell r="J946" t="str">
            <v>Completa</v>
          </cell>
          <cell r="K946" t="str">
            <v>SANTA ANITA</v>
          </cell>
          <cell r="L946">
            <v>0</v>
          </cell>
          <cell r="M946" t="str">
            <v>SANTA ANITA</v>
          </cell>
          <cell r="T946" t="e">
            <v>#REF!</v>
          </cell>
        </row>
        <row r="947">
          <cell r="A947" t="str">
            <v>SAN JOSE ITURBIDE</v>
          </cell>
          <cell r="B947" t="str">
            <v>11DJN0252Q</v>
          </cell>
          <cell r="D947" t="str">
            <v>X</v>
          </cell>
          <cell r="E947" t="str">
            <v>ANTONIO CASO</v>
          </cell>
          <cell r="F947">
            <v>47</v>
          </cell>
          <cell r="G947">
            <v>8</v>
          </cell>
          <cell r="H947" t="str">
            <v>San José Iturbide</v>
          </cell>
          <cell r="I947">
            <v>85000</v>
          </cell>
          <cell r="J947" t="str">
            <v>Completa</v>
          </cell>
          <cell r="K947" t="str">
            <v>ALDAMA NUM. 7</v>
          </cell>
          <cell r="L947">
            <v>0</v>
          </cell>
          <cell r="M947" t="str">
            <v>SAN JOSE ITURBIDE</v>
          </cell>
          <cell r="T947" t="e">
            <v>#REF!</v>
          </cell>
        </row>
        <row r="948">
          <cell r="A948" t="str">
            <v>SAN JOSE ITURBIDE</v>
          </cell>
          <cell r="B948" t="str">
            <v>11EJN0295N</v>
          </cell>
          <cell r="C948" t="str">
            <v>X</v>
          </cell>
          <cell r="E948" t="str">
            <v>MARISOL</v>
          </cell>
          <cell r="F948">
            <v>510</v>
          </cell>
          <cell r="G948">
            <v>2</v>
          </cell>
          <cell r="H948" t="str">
            <v>San José Iturbide</v>
          </cell>
          <cell r="I948">
            <v>45000</v>
          </cell>
          <cell r="J948" t="str">
            <v>Completa</v>
          </cell>
          <cell r="K948" t="str">
            <v>JOSE CAMARILLO S/N</v>
          </cell>
          <cell r="L948">
            <v>0</v>
          </cell>
          <cell r="M948" t="str">
            <v>SAN JOSE ITURBIDE</v>
          </cell>
          <cell r="T948" t="e">
            <v>#REF!</v>
          </cell>
        </row>
        <row r="949">
          <cell r="A949" t="str">
            <v>EL PATOLITO</v>
          </cell>
          <cell r="B949" t="str">
            <v>11ETV0832L</v>
          </cell>
          <cell r="D949" t="str">
            <v>X</v>
          </cell>
          <cell r="E949" t="str">
            <v>TELESECUNDARIA NUM. 832</v>
          </cell>
          <cell r="F949">
            <v>525</v>
          </cell>
          <cell r="G949">
            <v>6</v>
          </cell>
          <cell r="H949" t="str">
            <v>San José Iturbide</v>
          </cell>
          <cell r="I949">
            <v>85000</v>
          </cell>
          <cell r="J949" t="str">
            <v>Completa</v>
          </cell>
          <cell r="K949" t="str">
            <v>PATOLITO</v>
          </cell>
          <cell r="L949">
            <v>0</v>
          </cell>
          <cell r="M949" t="str">
            <v>EL PATOLITO</v>
          </cell>
          <cell r="T949" t="e">
            <v>#REF!</v>
          </cell>
        </row>
        <row r="950">
          <cell r="A950" t="str">
            <v>SAN JUAN PRIMERO</v>
          </cell>
          <cell r="B950" t="str">
            <v>11DJN4490S</v>
          </cell>
          <cell r="D950" t="str">
            <v>X</v>
          </cell>
          <cell r="E950" t="str">
            <v>MIGUEL HIDALGO</v>
          </cell>
          <cell r="F950">
            <v>11</v>
          </cell>
          <cell r="G950">
            <v>7</v>
          </cell>
          <cell r="H950" t="str">
            <v>San Luis de la Paz</v>
          </cell>
          <cell r="I950">
            <v>20000</v>
          </cell>
          <cell r="J950" t="str">
            <v>Multigrado</v>
          </cell>
          <cell r="K950" t="str">
            <v>SAN JUAN PRIMERO</v>
          </cell>
          <cell r="L950">
            <v>0</v>
          </cell>
          <cell r="M950" t="str">
            <v>SAN JUAN PRIMERO</v>
          </cell>
          <cell r="T950" t="e">
            <v>#REF!</v>
          </cell>
        </row>
        <row r="951">
          <cell r="A951" t="str">
            <v>LA LAGUNA SECA (LA LAGUNA)</v>
          </cell>
          <cell r="B951" t="str">
            <v>11DJN2409N</v>
          </cell>
          <cell r="C951" t="str">
            <v>X</v>
          </cell>
          <cell r="E951" t="str">
            <v>PABLO MONTESINOS</v>
          </cell>
          <cell r="F951">
            <v>11</v>
          </cell>
          <cell r="G951">
            <v>7</v>
          </cell>
          <cell r="H951" t="str">
            <v>San Luis de la Paz</v>
          </cell>
          <cell r="I951">
            <v>20000</v>
          </cell>
          <cell r="J951" t="str">
            <v>Multigrado</v>
          </cell>
          <cell r="K951" t="str">
            <v>LAGUNA SECA</v>
          </cell>
          <cell r="L951">
            <v>0</v>
          </cell>
          <cell r="M951" t="str">
            <v>LA LAGUNA SECA (LA LAGUNA)</v>
          </cell>
          <cell r="T951" t="e">
            <v>#REF!</v>
          </cell>
        </row>
        <row r="952">
          <cell r="A952" t="str">
            <v>SAN LUIS DE LA PAZ</v>
          </cell>
          <cell r="B952" t="str">
            <v>11DPR3789J</v>
          </cell>
          <cell r="C952" t="str">
            <v>X</v>
          </cell>
          <cell r="E952" t="str">
            <v>RAMON LOPEZ VELARDE</v>
          </cell>
          <cell r="F952">
            <v>167</v>
          </cell>
          <cell r="G952">
            <v>18</v>
          </cell>
          <cell r="H952" t="str">
            <v>San Luis de la Paz</v>
          </cell>
          <cell r="I952">
            <v>45000</v>
          </cell>
          <cell r="J952" t="str">
            <v>Completa</v>
          </cell>
          <cell r="K952" t="str">
            <v>AVENIDA PLANTA SOLAR S/N</v>
          </cell>
          <cell r="L952">
            <v>0</v>
          </cell>
          <cell r="M952" t="str">
            <v>SAN LUIS DE LA PAZ</v>
          </cell>
          <cell r="T952" t="e">
            <v>#REF!</v>
          </cell>
        </row>
        <row r="953">
          <cell r="A953" t="str">
            <v>DOLORES SAN JUAN</v>
          </cell>
          <cell r="B953" t="str">
            <v>11DPR0289U</v>
          </cell>
          <cell r="C953" t="str">
            <v>X</v>
          </cell>
          <cell r="E953" t="str">
            <v>CELERINO CANO</v>
          </cell>
          <cell r="F953">
            <v>167</v>
          </cell>
          <cell r="G953">
            <v>18</v>
          </cell>
          <cell r="H953" t="str">
            <v>San Luis de la Paz</v>
          </cell>
          <cell r="I953">
            <v>45000</v>
          </cell>
          <cell r="J953" t="str">
            <v>Completa</v>
          </cell>
          <cell r="K953" t="str">
            <v>LOS DOLORES</v>
          </cell>
          <cell r="L953">
            <v>0</v>
          </cell>
          <cell r="M953" t="str">
            <v>DOLORES SAN JUAN</v>
          </cell>
          <cell r="T953" t="e">
            <v>#REF!</v>
          </cell>
        </row>
        <row r="954">
          <cell r="A954" t="str">
            <v>PUERTO DEL GATO</v>
          </cell>
          <cell r="B954" t="str">
            <v>11DPR2728P</v>
          </cell>
          <cell r="C954" t="str">
            <v>X</v>
          </cell>
          <cell r="E954" t="str">
            <v>GUADALUPE VICTORIA</v>
          </cell>
          <cell r="F954">
            <v>147</v>
          </cell>
          <cell r="G954">
            <v>18</v>
          </cell>
          <cell r="H954" t="str">
            <v>San Luis de la Paz</v>
          </cell>
          <cell r="I954">
            <v>20000</v>
          </cell>
          <cell r="J954" t="str">
            <v>Multigrado</v>
          </cell>
          <cell r="K954" t="str">
            <v>PUERTO DEL GATO</v>
          </cell>
          <cell r="L954">
            <v>0</v>
          </cell>
          <cell r="M954" t="str">
            <v>PUERTO DEL GATO</v>
          </cell>
          <cell r="T954" t="e">
            <v>#REF!</v>
          </cell>
        </row>
        <row r="955">
          <cell r="A955" t="str">
            <v>LA HUERTA</v>
          </cell>
          <cell r="B955" t="str">
            <v>11DJN0649Z</v>
          </cell>
          <cell r="C955" t="str">
            <v>X</v>
          </cell>
          <cell r="E955" t="str">
            <v>XICOTENCATL</v>
          </cell>
          <cell r="F955">
            <v>11</v>
          </cell>
          <cell r="G955">
            <v>7</v>
          </cell>
          <cell r="H955" t="str">
            <v>San Luis de la Paz</v>
          </cell>
          <cell r="I955">
            <v>20000</v>
          </cell>
          <cell r="J955" t="str">
            <v>Multigrado</v>
          </cell>
          <cell r="K955" t="str">
            <v>LA HUERTA</v>
          </cell>
          <cell r="L955">
            <v>0</v>
          </cell>
          <cell r="M955" t="str">
            <v>LA HUERTA</v>
          </cell>
          <cell r="T955" t="e">
            <v>#REF!</v>
          </cell>
        </row>
        <row r="956">
          <cell r="A956" t="str">
            <v>LA SOLEDAD</v>
          </cell>
          <cell r="B956" t="str">
            <v>11DJN3758Z</v>
          </cell>
          <cell r="C956" t="str">
            <v>X</v>
          </cell>
          <cell r="E956" t="str">
            <v>CARMEN RAMOS DEL RIO</v>
          </cell>
          <cell r="F956">
            <v>11</v>
          </cell>
          <cell r="G956">
            <v>7</v>
          </cell>
          <cell r="H956" t="str">
            <v>San Luis de la Paz</v>
          </cell>
          <cell r="I956">
            <v>20000</v>
          </cell>
          <cell r="J956" t="str">
            <v>Multigrado</v>
          </cell>
          <cell r="K956" t="str">
            <v>LA SOLEDAD</v>
          </cell>
          <cell r="L956">
            <v>0</v>
          </cell>
          <cell r="M956" t="str">
            <v>LA SOLEDAD</v>
          </cell>
          <cell r="T956" t="e">
            <v>#REF!</v>
          </cell>
        </row>
        <row r="957">
          <cell r="A957" t="str">
            <v>SAN LUIS DE LA PAZ</v>
          </cell>
          <cell r="B957" t="str">
            <v>11EPR0771P</v>
          </cell>
          <cell r="C957" t="str">
            <v>X</v>
          </cell>
          <cell r="E957" t="str">
            <v>PROFRA. MARIA ISABEL DIAZ GOMEZ</v>
          </cell>
          <cell r="F957">
            <v>511</v>
          </cell>
          <cell r="G957">
            <v>2</v>
          </cell>
          <cell r="H957" t="str">
            <v>San Luis de la Paz</v>
          </cell>
          <cell r="I957">
            <v>45000</v>
          </cell>
          <cell r="J957" t="str">
            <v>Completa</v>
          </cell>
          <cell r="K957" t="str">
            <v>GUERRERO NUM. 218</v>
          </cell>
          <cell r="L957">
            <v>0</v>
          </cell>
          <cell r="M957" t="str">
            <v>SAN LUIS DE LA PAZ</v>
          </cell>
          <cell r="T957" t="e">
            <v>#REF!</v>
          </cell>
        </row>
        <row r="958">
          <cell r="A958" t="str">
            <v>SAN LUIS DE LA PAZ</v>
          </cell>
          <cell r="B958" t="str">
            <v>11DJN4074E</v>
          </cell>
          <cell r="C958" t="str">
            <v>X</v>
          </cell>
          <cell r="E958" t="str">
            <v>MARIA GREVER</v>
          </cell>
          <cell r="F958">
            <v>68</v>
          </cell>
          <cell r="G958">
            <v>7</v>
          </cell>
          <cell r="H958" t="str">
            <v>San Luis de la Paz</v>
          </cell>
          <cell r="I958">
            <v>45000</v>
          </cell>
          <cell r="J958" t="str">
            <v>Completa</v>
          </cell>
          <cell r="K958" t="str">
            <v>FRANCISCO VILLA S/N A UN COSTADO DEL PARQUE</v>
          </cell>
          <cell r="L958" t="str">
            <v>BUENAVISTA</v>
          </cell>
          <cell r="M958" t="str">
            <v>SAN LUIS DE LA PAZ</v>
          </cell>
          <cell r="T958" t="e">
            <v>#REF!</v>
          </cell>
        </row>
        <row r="959">
          <cell r="A959" t="str">
            <v>SAN LUIS DE LA PAZ</v>
          </cell>
          <cell r="B959" t="str">
            <v>11EPR0861H</v>
          </cell>
          <cell r="C959" t="str">
            <v>X</v>
          </cell>
          <cell r="E959" t="str">
            <v>MANUELA S. DE BORJA</v>
          </cell>
          <cell r="F959">
            <v>511</v>
          </cell>
          <cell r="G959">
            <v>2</v>
          </cell>
          <cell r="H959" t="str">
            <v>San Luis de la Paz</v>
          </cell>
          <cell r="I959">
            <v>85000</v>
          </cell>
          <cell r="J959" t="str">
            <v>Completa</v>
          </cell>
          <cell r="K959" t="str">
            <v>GENERAL ANAYA NUM. 102</v>
          </cell>
          <cell r="L959" t="str">
            <v>CENTRO</v>
          </cell>
          <cell r="M959" t="str">
            <v>SAN LUIS DE LA PAZ</v>
          </cell>
          <cell r="T959" t="e">
            <v>#REF!</v>
          </cell>
        </row>
        <row r="960">
          <cell r="A960" t="str">
            <v>EL TOREADOR DE ABAJO</v>
          </cell>
          <cell r="B960" t="str">
            <v>11ETV0648O</v>
          </cell>
          <cell r="C960" t="str">
            <v>X</v>
          </cell>
          <cell r="E960" t="str">
            <v>TELESECUNDARIA NUM. 697</v>
          </cell>
          <cell r="F960">
            <v>535</v>
          </cell>
          <cell r="G960">
            <v>6</v>
          </cell>
          <cell r="H960" t="str">
            <v>San Luis de la Paz</v>
          </cell>
          <cell r="I960">
            <v>55000</v>
          </cell>
          <cell r="J960" t="str">
            <v>Completa</v>
          </cell>
          <cell r="K960" t="str">
            <v>EL TOREADOR</v>
          </cell>
          <cell r="L960">
            <v>0</v>
          </cell>
          <cell r="M960" t="str">
            <v>EL TOREADOR DE ABAJO</v>
          </cell>
          <cell r="T960" t="e">
            <v>#REF!</v>
          </cell>
        </row>
        <row r="961">
          <cell r="A961" t="str">
            <v>POZO BLANCO (ESTACION POZO BLANCO)</v>
          </cell>
          <cell r="B961" t="str">
            <v>11DJN2532N</v>
          </cell>
          <cell r="C961" t="str">
            <v>X</v>
          </cell>
          <cell r="E961" t="str">
            <v>ROSA AGAZZI</v>
          </cell>
          <cell r="F961">
            <v>11</v>
          </cell>
          <cell r="G961">
            <v>7</v>
          </cell>
          <cell r="H961" t="str">
            <v>San Luis de la Paz</v>
          </cell>
          <cell r="I961">
            <v>20000</v>
          </cell>
          <cell r="J961" t="str">
            <v>Multigrado</v>
          </cell>
          <cell r="K961" t="str">
            <v>ESTACION DE POZO BLANCO</v>
          </cell>
          <cell r="L961">
            <v>0</v>
          </cell>
          <cell r="M961" t="str">
            <v>POZO BLANCO (ESTACION POZO BLANCO)</v>
          </cell>
          <cell r="T961" t="e">
            <v>#REF!</v>
          </cell>
        </row>
        <row r="962">
          <cell r="A962" t="str">
            <v>LA CIENEGA</v>
          </cell>
          <cell r="B962" t="str">
            <v>11EPR0301Y</v>
          </cell>
          <cell r="C962" t="str">
            <v>X</v>
          </cell>
          <cell r="E962" t="str">
            <v>NIÑOS HEROES</v>
          </cell>
          <cell r="F962">
            <v>511</v>
          </cell>
          <cell r="G962">
            <v>2</v>
          </cell>
          <cell r="H962" t="str">
            <v>San Luis de la Paz</v>
          </cell>
          <cell r="I962">
            <v>45000</v>
          </cell>
          <cell r="J962" t="str">
            <v>Completa</v>
          </cell>
          <cell r="K962" t="str">
            <v>CIENEGA DEL REFUGIO</v>
          </cell>
          <cell r="L962" t="str">
            <v>CIENEGA DEL REFUGIO</v>
          </cell>
          <cell r="M962" t="str">
            <v>LA CIENEGA</v>
          </cell>
          <cell r="T962" t="e">
            <v>#REF!</v>
          </cell>
        </row>
        <row r="963">
          <cell r="A963" t="str">
            <v>LA TINAJA</v>
          </cell>
          <cell r="B963" t="str">
            <v>11DJN2530P</v>
          </cell>
          <cell r="C963" t="str">
            <v>X</v>
          </cell>
          <cell r="E963" t="str">
            <v>IGNACIO JOSE ALLENDE</v>
          </cell>
          <cell r="F963">
            <v>11</v>
          </cell>
          <cell r="G963">
            <v>7</v>
          </cell>
          <cell r="H963" t="str">
            <v>San Luis de la Paz</v>
          </cell>
          <cell r="I963">
            <v>20000</v>
          </cell>
          <cell r="J963" t="str">
            <v>Multigrado</v>
          </cell>
          <cell r="K963" t="str">
            <v>LA TINAJA</v>
          </cell>
          <cell r="L963">
            <v>0</v>
          </cell>
          <cell r="M963" t="str">
            <v>LA TINAJA</v>
          </cell>
          <cell r="T963" t="e">
            <v>#REF!</v>
          </cell>
        </row>
        <row r="964">
          <cell r="A964" t="e">
            <v>#N/A</v>
          </cell>
          <cell r="B964" t="str">
            <v>11DML0036Z</v>
          </cell>
          <cell r="C964" t="str">
            <v>X</v>
          </cell>
          <cell r="E964" t="str">
            <v>WALTER C. BUCHANAN</v>
          </cell>
          <cell r="F964">
            <v>8</v>
          </cell>
          <cell r="G964">
            <v>88</v>
          </cell>
          <cell r="H964" t="str">
            <v>San Luis de la Paz</v>
          </cell>
          <cell r="I964">
            <v>50000</v>
          </cell>
          <cell r="J964" t="str">
            <v>Completa</v>
          </cell>
          <cell r="K964" t="e">
            <v>#N/A</v>
          </cell>
          <cell r="L964" t="e">
            <v>#N/A</v>
          </cell>
          <cell r="M964" t="e">
            <v>#N/A</v>
          </cell>
          <cell r="T964" t="e">
            <v>#REF!</v>
          </cell>
        </row>
        <row r="965">
          <cell r="A965" t="str">
            <v>LA SOLEDAD DEL MONTE</v>
          </cell>
          <cell r="B965" t="str">
            <v>11EPR0837H</v>
          </cell>
          <cell r="C965" t="str">
            <v>X</v>
          </cell>
          <cell r="E965" t="str">
            <v>GUADALUPE VICTORIA</v>
          </cell>
          <cell r="F965">
            <v>511</v>
          </cell>
          <cell r="G965">
            <v>2</v>
          </cell>
          <cell r="H965" t="str">
            <v>San Luis de la Paz</v>
          </cell>
          <cell r="I965">
            <v>20000</v>
          </cell>
          <cell r="J965" t="str">
            <v>Multigrado</v>
          </cell>
          <cell r="K965" t="str">
            <v>SOLEDAD DEL MONTE</v>
          </cell>
          <cell r="L965">
            <v>0</v>
          </cell>
          <cell r="M965" t="str">
            <v>LA SOLEDAD DEL MONTE</v>
          </cell>
          <cell r="T965" t="e">
            <v>#REF!</v>
          </cell>
        </row>
        <row r="966">
          <cell r="A966" t="str">
            <v>LA CRUZ DE GUERRERO</v>
          </cell>
          <cell r="B966" t="str">
            <v>11ETV1024R</v>
          </cell>
          <cell r="C966" t="str">
            <v>X</v>
          </cell>
          <cell r="E966" t="str">
            <v>TELESECUNDARIA NUM. 1024</v>
          </cell>
          <cell r="F966">
            <v>535</v>
          </cell>
          <cell r="G966">
            <v>6</v>
          </cell>
          <cell r="H966" t="str">
            <v>San Luis de la Paz</v>
          </cell>
          <cell r="I966">
            <v>85000</v>
          </cell>
          <cell r="J966" t="str">
            <v>Completa</v>
          </cell>
          <cell r="K966" t="str">
            <v>CRUZ DE GUERRERO</v>
          </cell>
          <cell r="L966">
            <v>0</v>
          </cell>
          <cell r="M966" t="str">
            <v>LA CRUZ DE GUERRERO</v>
          </cell>
          <cell r="T966" t="e">
            <v>#REF!</v>
          </cell>
        </row>
        <row r="967">
          <cell r="A967" t="str">
            <v>MISION DE CHICHIMECAS</v>
          </cell>
          <cell r="B967" t="str">
            <v>11DCC0001W</v>
          </cell>
          <cell r="C967" t="str">
            <v>X</v>
          </cell>
          <cell r="E967" t="str">
            <v>VALENTIN GOMEZ FARIAS</v>
          </cell>
          <cell r="F967">
            <v>41</v>
          </cell>
          <cell r="G967">
            <v>7</v>
          </cell>
          <cell r="H967" t="str">
            <v>San Luis de la Paz</v>
          </cell>
          <cell r="I967">
            <v>26000</v>
          </cell>
          <cell r="J967" t="str">
            <v>Multigrado</v>
          </cell>
          <cell r="K967" t="str">
            <v>MISION DE CHICHIMECAS</v>
          </cell>
          <cell r="L967">
            <v>0</v>
          </cell>
          <cell r="M967" t="str">
            <v>MISION DE CHICHIMECAS</v>
          </cell>
          <cell r="T967" t="e">
            <v>#REF!</v>
          </cell>
        </row>
        <row r="968">
          <cell r="A968" t="str">
            <v>SAN LUIS DE LA PAZ</v>
          </cell>
          <cell r="B968" t="str">
            <v>11DJN4378Y</v>
          </cell>
          <cell r="C968" t="str">
            <v>X</v>
          </cell>
          <cell r="E968" t="str">
            <v>LAURA MENDEZ DE CUENCA</v>
          </cell>
          <cell r="F968">
            <v>11</v>
          </cell>
          <cell r="G968">
            <v>7</v>
          </cell>
          <cell r="H968" t="str">
            <v>San Luis de la Paz</v>
          </cell>
          <cell r="I968">
            <v>30000</v>
          </cell>
          <cell r="J968" t="str">
            <v>Multigrado</v>
          </cell>
          <cell r="K968" t="str">
            <v>RIO MANZANARES</v>
          </cell>
          <cell r="L968" t="str">
            <v>FRACCIONAMIENTO LA ESPERANZA</v>
          </cell>
          <cell r="M968" t="str">
            <v>SAN LUIS DE LA PAZ</v>
          </cell>
          <cell r="T968" t="e">
            <v>#REF!</v>
          </cell>
        </row>
        <row r="969">
          <cell r="A969" t="str">
            <v>PASO COLORADO</v>
          </cell>
          <cell r="B969" t="str">
            <v>11DPR3474K</v>
          </cell>
          <cell r="C969" t="str">
            <v>X</v>
          </cell>
          <cell r="E969" t="str">
            <v>ESCUELA PRIMARIA</v>
          </cell>
          <cell r="F969">
            <v>147</v>
          </cell>
          <cell r="G969">
            <v>18</v>
          </cell>
          <cell r="H969" t="str">
            <v>San Luis de la Paz</v>
          </cell>
          <cell r="I969">
            <v>24000</v>
          </cell>
          <cell r="J969" t="str">
            <v>Multigrado</v>
          </cell>
          <cell r="K969" t="str">
            <v>PASO COLORADO</v>
          </cell>
          <cell r="L969">
            <v>0</v>
          </cell>
          <cell r="M969" t="str">
            <v>PASO COLORADO</v>
          </cell>
          <cell r="T969" t="e">
            <v>#REF!</v>
          </cell>
        </row>
        <row r="970">
          <cell r="A970" t="str">
            <v>EL VARAL (LA MERCED)</v>
          </cell>
          <cell r="B970" t="str">
            <v>11ETV0834J</v>
          </cell>
          <cell r="C970" t="str">
            <v>X</v>
          </cell>
          <cell r="E970" t="str">
            <v>TELESECUNDARIA NUM. 834</v>
          </cell>
          <cell r="F970">
            <v>535</v>
          </cell>
          <cell r="G970">
            <v>6</v>
          </cell>
          <cell r="H970" t="str">
            <v>San Luis de la Paz</v>
          </cell>
          <cell r="I970">
            <v>45000</v>
          </cell>
          <cell r="J970" t="str">
            <v>Completa</v>
          </cell>
          <cell r="K970" t="str">
            <v>EL VARAL S/N</v>
          </cell>
          <cell r="L970">
            <v>0</v>
          </cell>
          <cell r="M970" t="str">
            <v>EL VARAL (LA MERCED)</v>
          </cell>
          <cell r="T970" t="e">
            <v>#REF!</v>
          </cell>
        </row>
        <row r="971">
          <cell r="A971" t="str">
            <v>SAN LUIS DE LA PAZ</v>
          </cell>
          <cell r="B971" t="str">
            <v>11DJN2794Y</v>
          </cell>
          <cell r="C971" t="str">
            <v>X</v>
          </cell>
          <cell r="E971" t="str">
            <v>VIRGINIA GOMEZ DE DIAZ</v>
          </cell>
          <cell r="F971">
            <v>41</v>
          </cell>
          <cell r="G971">
            <v>7</v>
          </cell>
          <cell r="H971" t="str">
            <v>San Luis de la Paz</v>
          </cell>
          <cell r="I971">
            <v>45000</v>
          </cell>
          <cell r="J971" t="str">
            <v>Completa</v>
          </cell>
          <cell r="K971" t="str">
            <v>LIC. VERDAD NUM. 28</v>
          </cell>
          <cell r="L971">
            <v>0</v>
          </cell>
          <cell r="M971" t="str">
            <v>SAN LUIS DE LA PAZ</v>
          </cell>
          <cell r="T971" t="e">
            <v>#REF!</v>
          </cell>
        </row>
        <row r="972">
          <cell r="A972" t="str">
            <v>LA LEONA</v>
          </cell>
          <cell r="B972" t="str">
            <v>11DPR2699K</v>
          </cell>
          <cell r="D972" t="str">
            <v>X</v>
          </cell>
          <cell r="E972" t="str">
            <v>REVOLUCION MEXICANA</v>
          </cell>
          <cell r="F972">
            <v>57</v>
          </cell>
          <cell r="G972">
            <v>18</v>
          </cell>
          <cell r="H972" t="str">
            <v>San Luis de la Paz</v>
          </cell>
          <cell r="I972">
            <v>20000</v>
          </cell>
          <cell r="J972" t="str">
            <v>Multigrado</v>
          </cell>
          <cell r="K972" t="str">
            <v>LA LEONA</v>
          </cell>
          <cell r="L972">
            <v>0</v>
          </cell>
          <cell r="M972" t="str">
            <v>LA LEONA</v>
          </cell>
          <cell r="T972" t="e">
            <v>#REF!</v>
          </cell>
        </row>
        <row r="973">
          <cell r="A973" t="str">
            <v>SAN LUIS DE LA PAZ</v>
          </cell>
          <cell r="B973" t="str">
            <v>11EJN0172D</v>
          </cell>
          <cell r="C973" t="str">
            <v>X</v>
          </cell>
          <cell r="E973" t="str">
            <v>PAULINA</v>
          </cell>
          <cell r="F973">
            <v>506</v>
          </cell>
          <cell r="G973">
            <v>2</v>
          </cell>
          <cell r="H973" t="str">
            <v>San Luis de la Paz</v>
          </cell>
          <cell r="I973">
            <v>45000</v>
          </cell>
          <cell r="J973" t="str">
            <v>Completa</v>
          </cell>
          <cell r="K973" t="str">
            <v>JUAREZ NUM. 101</v>
          </cell>
          <cell r="L973" t="str">
            <v>ZONA CENTRO</v>
          </cell>
          <cell r="M973" t="str">
            <v>SAN LUIS DE LA PAZ</v>
          </cell>
          <cell r="T973" t="e">
            <v>#REF!</v>
          </cell>
        </row>
        <row r="974">
          <cell r="A974" t="str">
            <v>LA MESA DE JESUS</v>
          </cell>
          <cell r="B974" t="str">
            <v>11ETV0380Z</v>
          </cell>
          <cell r="D974" t="str">
            <v>X</v>
          </cell>
          <cell r="E974" t="str">
            <v>TELESECUNDARIA NUM. 383</v>
          </cell>
          <cell r="F974">
            <v>535</v>
          </cell>
          <cell r="G974">
            <v>6</v>
          </cell>
          <cell r="H974" t="str">
            <v>San Luis de la Paz</v>
          </cell>
          <cell r="I974">
            <v>45000</v>
          </cell>
          <cell r="J974" t="str">
            <v>Completa</v>
          </cell>
          <cell r="K974" t="str">
            <v>LA MESA DE JESUS</v>
          </cell>
          <cell r="L974">
            <v>0</v>
          </cell>
          <cell r="M974" t="str">
            <v>LA MESA DE JESUS</v>
          </cell>
          <cell r="T974" t="e">
            <v>#REF!</v>
          </cell>
        </row>
        <row r="975">
          <cell r="A975" t="str">
            <v>LA SOLEDAD</v>
          </cell>
          <cell r="B975" t="str">
            <v>11ETV0971M</v>
          </cell>
          <cell r="C975" t="str">
            <v>X</v>
          </cell>
          <cell r="E975" t="str">
            <v>TELESECUNDARIA NUM. 971</v>
          </cell>
          <cell r="F975">
            <v>527</v>
          </cell>
          <cell r="G975">
            <v>6</v>
          </cell>
          <cell r="H975" t="str">
            <v>San Luis de la Paz</v>
          </cell>
          <cell r="I975">
            <v>85000</v>
          </cell>
          <cell r="J975" t="str">
            <v>Completa</v>
          </cell>
          <cell r="K975" t="str">
            <v>LA SOLEDAD</v>
          </cell>
          <cell r="L975">
            <v>0</v>
          </cell>
          <cell r="M975" t="str">
            <v>LA SOLEDAD</v>
          </cell>
          <cell r="T975" t="e">
            <v>#REF!</v>
          </cell>
        </row>
        <row r="976">
          <cell r="A976" t="str">
            <v>LOS CHARCOS</v>
          </cell>
          <cell r="B976" t="str">
            <v>11DJN2632M</v>
          </cell>
          <cell r="C976" t="str">
            <v>X</v>
          </cell>
          <cell r="E976" t="str">
            <v>FEDERICO GUILLERMO AUGUSTO FROEBEL</v>
          </cell>
          <cell r="F976">
            <v>11</v>
          </cell>
          <cell r="G976">
            <v>7</v>
          </cell>
          <cell r="H976" t="str">
            <v>San Luis de la Paz</v>
          </cell>
          <cell r="I976">
            <v>20000</v>
          </cell>
          <cell r="J976" t="str">
            <v>Multigrado</v>
          </cell>
          <cell r="K976" t="str">
            <v>EL CHARCO</v>
          </cell>
          <cell r="L976">
            <v>0</v>
          </cell>
          <cell r="M976" t="str">
            <v>LOS CHARCOS</v>
          </cell>
          <cell r="T976" t="e">
            <v>#REF!</v>
          </cell>
        </row>
        <row r="977">
          <cell r="A977" t="str">
            <v>MISION DE CHICHIMECAS</v>
          </cell>
          <cell r="B977" t="str">
            <v>11ECC0002U</v>
          </cell>
          <cell r="C977" t="str">
            <v>X</v>
          </cell>
          <cell r="E977" t="str">
            <v>JUAGUE NANDE</v>
          </cell>
          <cell r="F977">
            <v>506</v>
          </cell>
          <cell r="G977">
            <v>2</v>
          </cell>
          <cell r="H977" t="str">
            <v>San Luis de la Paz</v>
          </cell>
          <cell r="I977">
            <v>45000</v>
          </cell>
          <cell r="J977" t="str">
            <v>Completa</v>
          </cell>
          <cell r="K977" t="str">
            <v>MISION DE CHICHIMECAS</v>
          </cell>
          <cell r="L977" t="str">
            <v>ZONA CENTRO</v>
          </cell>
          <cell r="M977" t="str">
            <v>MISION DE CHICHIMECAS</v>
          </cell>
          <cell r="T977" t="e">
            <v>#REF!</v>
          </cell>
        </row>
        <row r="978">
          <cell r="A978" t="str">
            <v>VISTA HERMOSA</v>
          </cell>
          <cell r="B978" t="str">
            <v>11ETV0836H</v>
          </cell>
          <cell r="C978" t="str">
            <v>X</v>
          </cell>
          <cell r="E978" t="str">
            <v>TELESECUNDARIA NUM. 836</v>
          </cell>
          <cell r="F978">
            <v>535</v>
          </cell>
          <cell r="G978">
            <v>6</v>
          </cell>
          <cell r="H978" t="str">
            <v>San Luis de la Paz</v>
          </cell>
          <cell r="I978">
            <v>65000</v>
          </cell>
          <cell r="J978" t="str">
            <v>Completa</v>
          </cell>
          <cell r="K978" t="str">
            <v>VISTA HERMOSA</v>
          </cell>
          <cell r="L978">
            <v>0</v>
          </cell>
          <cell r="M978" t="str">
            <v>VISTA HERMOSA</v>
          </cell>
          <cell r="T978" t="e">
            <v>#REF!</v>
          </cell>
        </row>
        <row r="979">
          <cell r="A979" t="str">
            <v>SAN JUAN DE LOS RANGELES</v>
          </cell>
          <cell r="B979" t="str">
            <v>11ETV1026P</v>
          </cell>
          <cell r="C979" t="str">
            <v>X</v>
          </cell>
          <cell r="E979" t="str">
            <v>TELESECUNDARIA NUM. 1026</v>
          </cell>
          <cell r="F979">
            <v>527</v>
          </cell>
          <cell r="G979">
            <v>6</v>
          </cell>
          <cell r="H979" t="str">
            <v>San Luis de la Paz</v>
          </cell>
          <cell r="I979">
            <v>45000</v>
          </cell>
          <cell r="J979" t="str">
            <v>Completa</v>
          </cell>
          <cell r="K979" t="str">
            <v>SAN JUAN DE LOS RANGELES</v>
          </cell>
          <cell r="L979">
            <v>0</v>
          </cell>
          <cell r="M979" t="str">
            <v>SAN JUAN DE LOS RANGELES</v>
          </cell>
          <cell r="T979" t="e">
            <v>#REF!</v>
          </cell>
        </row>
        <row r="980">
          <cell r="A980" t="str">
            <v>SAN CAYETANO</v>
          </cell>
          <cell r="B980" t="str">
            <v>11ETV1071B</v>
          </cell>
          <cell r="C980" t="str">
            <v>X</v>
          </cell>
          <cell r="E980" t="str">
            <v>TELESECUNDARIA NUM. 1071</v>
          </cell>
          <cell r="F980">
            <v>535</v>
          </cell>
          <cell r="G980">
            <v>6</v>
          </cell>
          <cell r="H980" t="str">
            <v>San Luis de la Paz</v>
          </cell>
          <cell r="I980">
            <v>45000</v>
          </cell>
          <cell r="J980" t="str">
            <v>Completa</v>
          </cell>
          <cell r="K980" t="str">
            <v>SAN CAYETANO</v>
          </cell>
          <cell r="L980">
            <v>0</v>
          </cell>
          <cell r="M980" t="str">
            <v>SAN CAYETANO</v>
          </cell>
          <cell r="T980" t="e">
            <v>#REF!</v>
          </cell>
        </row>
        <row r="981">
          <cell r="A981" t="str">
            <v>SAN LUIS DE LA PAZ</v>
          </cell>
          <cell r="B981" t="str">
            <v>11EPR0779H</v>
          </cell>
          <cell r="C981" t="str">
            <v>X</v>
          </cell>
          <cell r="E981" t="str">
            <v>JOSEFA ORTIZ DE DOMINGUEZ</v>
          </cell>
          <cell r="F981">
            <v>562</v>
          </cell>
          <cell r="G981">
            <v>2</v>
          </cell>
          <cell r="H981" t="str">
            <v>San Luis de la Paz</v>
          </cell>
          <cell r="I981">
            <v>45000</v>
          </cell>
          <cell r="J981" t="str">
            <v>Completa</v>
          </cell>
          <cell r="K981" t="str">
            <v>SAN RAFAEL NUM. 116</v>
          </cell>
          <cell r="L981" t="str">
            <v>LA CENTRAL</v>
          </cell>
          <cell r="M981" t="str">
            <v>SAN LUIS DE LA PAZ</v>
          </cell>
          <cell r="T981" t="e">
            <v>#REF!</v>
          </cell>
        </row>
        <row r="982">
          <cell r="A982" t="str">
            <v>SAN NICOLAS DEL CARMEN</v>
          </cell>
          <cell r="B982" t="str">
            <v>11ETV0605Q</v>
          </cell>
          <cell r="C982" t="str">
            <v>X</v>
          </cell>
          <cell r="E982" t="str">
            <v>TELESECUNDARIA NUM. 608</v>
          </cell>
          <cell r="F982">
            <v>535</v>
          </cell>
          <cell r="G982">
            <v>6</v>
          </cell>
          <cell r="H982" t="str">
            <v>San Luis de la Paz</v>
          </cell>
          <cell r="I982">
            <v>85000</v>
          </cell>
          <cell r="J982" t="str">
            <v>Completa</v>
          </cell>
          <cell r="K982" t="str">
            <v>SAN NICOLAS DEL CARMEN</v>
          </cell>
          <cell r="L982">
            <v>0</v>
          </cell>
          <cell r="M982" t="str">
            <v>SAN NICOLAS DEL CARMEN</v>
          </cell>
          <cell r="T982" t="e">
            <v>#REF!</v>
          </cell>
        </row>
        <row r="983">
          <cell r="A983" t="str">
            <v>POZO HONDO (EX-HACIENDA DE POZO HONDO)</v>
          </cell>
          <cell r="B983" t="str">
            <v>11ETV0352D</v>
          </cell>
          <cell r="C983" t="str">
            <v>X</v>
          </cell>
          <cell r="E983" t="str">
            <v>TELESECUNDARIA NUM. 360</v>
          </cell>
          <cell r="F983">
            <v>535</v>
          </cell>
          <cell r="G983">
            <v>6</v>
          </cell>
          <cell r="H983" t="str">
            <v>San Luis de la Paz</v>
          </cell>
          <cell r="I983">
            <v>55000</v>
          </cell>
          <cell r="J983" t="str">
            <v>Completa</v>
          </cell>
          <cell r="K983" t="str">
            <v>POZO HONDO</v>
          </cell>
          <cell r="L983">
            <v>0</v>
          </cell>
          <cell r="M983" t="str">
            <v>POZO HONDO (EX-HACIENDA DE POZO HONDO)</v>
          </cell>
          <cell r="T983" t="e">
            <v>#REF!</v>
          </cell>
        </row>
        <row r="984">
          <cell r="A984" t="str">
            <v>CERRO PRIETO</v>
          </cell>
          <cell r="B984" t="str">
            <v>11DJN4092U</v>
          </cell>
          <cell r="C984" t="str">
            <v>X</v>
          </cell>
          <cell r="E984" t="str">
            <v>JOSE MARIA MARROQUI</v>
          </cell>
          <cell r="F984">
            <v>41</v>
          </cell>
          <cell r="G984">
            <v>7</v>
          </cell>
          <cell r="H984" t="str">
            <v>San Luis de la Paz</v>
          </cell>
          <cell r="I984">
            <v>25000</v>
          </cell>
          <cell r="J984" t="str">
            <v>Multigrado</v>
          </cell>
          <cell r="K984" t="str">
            <v>CERRO DE PLATA S/N</v>
          </cell>
          <cell r="L984">
            <v>0</v>
          </cell>
          <cell r="M984" t="str">
            <v>CERRO PRIETO</v>
          </cell>
          <cell r="T984" t="e">
            <v>#REF!</v>
          </cell>
        </row>
        <row r="985">
          <cell r="A985" t="str">
            <v>EL BOZO</v>
          </cell>
          <cell r="B985" t="str">
            <v>11DPR1367O</v>
          </cell>
          <cell r="C985" t="str">
            <v>X</v>
          </cell>
          <cell r="E985" t="str">
            <v>LIC. ADOLFO LOPEZ MATEOS</v>
          </cell>
          <cell r="F985">
            <v>118</v>
          </cell>
          <cell r="G985">
            <v>18</v>
          </cell>
          <cell r="H985" t="str">
            <v>San Luis de la Paz</v>
          </cell>
          <cell r="I985">
            <v>20000</v>
          </cell>
          <cell r="J985" t="str">
            <v>Multigrado</v>
          </cell>
          <cell r="K985" t="str">
            <v>EL BOZO</v>
          </cell>
          <cell r="L985">
            <v>0</v>
          </cell>
          <cell r="M985" t="str">
            <v>EL BOZO</v>
          </cell>
          <cell r="T985" t="e">
            <v>#REF!</v>
          </cell>
        </row>
        <row r="986">
          <cell r="A986" t="str">
            <v>SAN JOSE DEL CARMEN (EL CASCARERO)</v>
          </cell>
          <cell r="B986" t="str">
            <v>11DJN0931X</v>
          </cell>
          <cell r="D986" t="str">
            <v>X</v>
          </cell>
          <cell r="E986" t="str">
            <v>JARDIN DE NIÑOS</v>
          </cell>
          <cell r="F986">
            <v>68</v>
          </cell>
          <cell r="G986">
            <v>7</v>
          </cell>
          <cell r="H986" t="str">
            <v>San Luis de la Paz</v>
          </cell>
          <cell r="I986">
            <v>20000</v>
          </cell>
          <cell r="J986" t="str">
            <v>Multigrado</v>
          </cell>
          <cell r="K986" t="str">
            <v>SAN JOSE DEL CARMEN</v>
          </cell>
          <cell r="L986">
            <v>0</v>
          </cell>
          <cell r="M986" t="str">
            <v>SAN JOSE DEL CARMEN (EL CASCARERO)</v>
          </cell>
          <cell r="T986" t="e">
            <v>#REF!</v>
          </cell>
        </row>
        <row r="987">
          <cell r="A987" t="str">
            <v>COVADONGA</v>
          </cell>
          <cell r="B987" t="str">
            <v>11DJN2393C</v>
          </cell>
          <cell r="C987" t="str">
            <v>X</v>
          </cell>
          <cell r="E987" t="str">
            <v>FRAY TORIBIO DE BENAVENTE</v>
          </cell>
          <cell r="F987">
            <v>11</v>
          </cell>
          <cell r="G987">
            <v>7</v>
          </cell>
          <cell r="H987" t="str">
            <v>San Luis de la Paz</v>
          </cell>
          <cell r="I987">
            <v>20000</v>
          </cell>
          <cell r="J987" t="str">
            <v>Multigrado</v>
          </cell>
          <cell r="K987" t="str">
            <v>JUAREZ NUM. 1</v>
          </cell>
          <cell r="L987">
            <v>0</v>
          </cell>
          <cell r="M987" t="str">
            <v>COVADONGA</v>
          </cell>
          <cell r="T987" t="e">
            <v>#REF!</v>
          </cell>
        </row>
        <row r="988">
          <cell r="A988" t="str">
            <v>SAN LUIS DE LA PAZ</v>
          </cell>
          <cell r="B988" t="str">
            <v>11EPR0299Z</v>
          </cell>
          <cell r="C988" t="str">
            <v>X</v>
          </cell>
          <cell r="E988" t="str">
            <v>NICOLAS BRAVO</v>
          </cell>
          <cell r="F988">
            <v>511</v>
          </cell>
          <cell r="G988">
            <v>2</v>
          </cell>
          <cell r="H988" t="str">
            <v>San Luis de la Paz</v>
          </cell>
          <cell r="I988">
            <v>85000</v>
          </cell>
          <cell r="J988" t="str">
            <v>Completa</v>
          </cell>
          <cell r="K988" t="str">
            <v>GENERAL ANAYA NUM. 102</v>
          </cell>
          <cell r="L988" t="str">
            <v>CENTRO</v>
          </cell>
          <cell r="M988" t="str">
            <v>SAN LUIS DE LA PAZ</v>
          </cell>
          <cell r="T988" t="e">
            <v>#REF!</v>
          </cell>
        </row>
        <row r="989">
          <cell r="A989" t="str">
            <v>SAN ERNESTO</v>
          </cell>
          <cell r="B989" t="str">
            <v>11DJN2529Z</v>
          </cell>
          <cell r="C989" t="str">
            <v>X</v>
          </cell>
          <cell r="E989" t="str">
            <v>ROSAURA ZAPATA</v>
          </cell>
          <cell r="F989">
            <v>41</v>
          </cell>
          <cell r="G989">
            <v>7</v>
          </cell>
          <cell r="H989" t="str">
            <v>San Luis de la Paz</v>
          </cell>
          <cell r="I989">
            <v>20000</v>
          </cell>
          <cell r="J989" t="str">
            <v>Multigrado</v>
          </cell>
          <cell r="K989" t="str">
            <v>SAN ERNESTO</v>
          </cell>
          <cell r="L989">
            <v>0</v>
          </cell>
          <cell r="M989" t="str">
            <v>SAN ERNESTO</v>
          </cell>
          <cell r="T989" t="e">
            <v>#REF!</v>
          </cell>
        </row>
        <row r="990">
          <cell r="A990" t="str">
            <v>LA LUZ DE LA ESQUINA</v>
          </cell>
          <cell r="B990" t="str">
            <v>11DJN2397Z</v>
          </cell>
          <cell r="C990" t="str">
            <v>X</v>
          </cell>
          <cell r="E990" t="str">
            <v>LUIS CHAVEZ OROZCO</v>
          </cell>
          <cell r="F990">
            <v>41</v>
          </cell>
          <cell r="G990">
            <v>7</v>
          </cell>
          <cell r="H990" t="str">
            <v>San Luis de la Paz</v>
          </cell>
          <cell r="I990">
            <v>20000</v>
          </cell>
          <cell r="J990" t="str">
            <v>Multigrado</v>
          </cell>
          <cell r="K990" t="str">
            <v>LA LUZ DE LA ESQUINA</v>
          </cell>
          <cell r="L990">
            <v>0</v>
          </cell>
          <cell r="M990" t="str">
            <v>LA LUZ DE LA ESQUINA</v>
          </cell>
          <cell r="T990" t="e">
            <v>#REF!</v>
          </cell>
        </row>
        <row r="991">
          <cell r="A991" t="str">
            <v>SAN LUIS DE LA PAZ</v>
          </cell>
          <cell r="B991" t="str">
            <v>11DJN2411B</v>
          </cell>
          <cell r="C991" t="str">
            <v>X</v>
          </cell>
          <cell r="E991" t="str">
            <v>CARMEN NORMA MONROY</v>
          </cell>
          <cell r="F991">
            <v>11</v>
          </cell>
          <cell r="G991">
            <v>7</v>
          </cell>
          <cell r="H991" t="str">
            <v>San Luis de la Paz</v>
          </cell>
          <cell r="I991">
            <v>45000</v>
          </cell>
          <cell r="J991" t="str">
            <v>Completa</v>
          </cell>
          <cell r="K991" t="str">
            <v>DR. MORA NUM. 103 SEGUNDA PRIVADA</v>
          </cell>
          <cell r="L991">
            <v>0</v>
          </cell>
          <cell r="M991" t="str">
            <v>SAN LUIS DE LA PAZ</v>
          </cell>
          <cell r="T991" t="e">
            <v>#REF!</v>
          </cell>
        </row>
        <row r="992">
          <cell r="A992" t="str">
            <v>LA ESQUINA (LA ESQUINA DE LA PURISIMA)</v>
          </cell>
          <cell r="B992" t="str">
            <v>11ETV1022T</v>
          </cell>
          <cell r="C992" t="str">
            <v>X</v>
          </cell>
          <cell r="E992" t="str">
            <v>TELESECUNDARIA NUM. 1022</v>
          </cell>
          <cell r="F992">
            <v>535</v>
          </cell>
          <cell r="G992">
            <v>6</v>
          </cell>
          <cell r="H992" t="str">
            <v>San Luis de la Paz</v>
          </cell>
          <cell r="I992">
            <v>45000</v>
          </cell>
          <cell r="J992" t="str">
            <v>Completa</v>
          </cell>
          <cell r="K992" t="str">
            <v>LA ESQUINA</v>
          </cell>
          <cell r="L992">
            <v>0</v>
          </cell>
          <cell r="M992" t="str">
            <v>LA ESQUINA (LA ESQUINA DE LA PURISIMA)</v>
          </cell>
          <cell r="T992" t="e">
            <v>#REF!</v>
          </cell>
        </row>
        <row r="993">
          <cell r="A993" t="str">
            <v>PUERTO BLANCO DOS</v>
          </cell>
          <cell r="B993" t="str">
            <v>11DJN0950L</v>
          </cell>
          <cell r="C993" t="str">
            <v>X</v>
          </cell>
          <cell r="E993" t="str">
            <v>JOSE VASCONCELOS</v>
          </cell>
          <cell r="F993">
            <v>41</v>
          </cell>
          <cell r="G993">
            <v>7</v>
          </cell>
          <cell r="H993" t="str">
            <v>San Luis de la Paz</v>
          </cell>
          <cell r="I993">
            <v>20000</v>
          </cell>
          <cell r="J993" t="str">
            <v>Multigrado</v>
          </cell>
          <cell r="K993" t="str">
            <v>PUERTO BLANCO</v>
          </cell>
          <cell r="L993">
            <v>0</v>
          </cell>
          <cell r="M993" t="str">
            <v>PUERTO BLANCO DOS</v>
          </cell>
          <cell r="T993" t="e">
            <v>#REF!</v>
          </cell>
        </row>
        <row r="994">
          <cell r="A994" t="str">
            <v>SAN LUIS DE LA PAZ</v>
          </cell>
          <cell r="B994" t="str">
            <v>11DPR3362G</v>
          </cell>
          <cell r="C994" t="str">
            <v>X</v>
          </cell>
          <cell r="E994" t="str">
            <v>MOCTEZUMA</v>
          </cell>
          <cell r="F994">
            <v>181</v>
          </cell>
          <cell r="G994">
            <v>18</v>
          </cell>
          <cell r="H994" t="str">
            <v>San Luis de la Paz</v>
          </cell>
          <cell r="I994">
            <v>45000</v>
          </cell>
          <cell r="J994" t="str">
            <v>Completa</v>
          </cell>
          <cell r="K994" t="str">
            <v>J. ASCENCIO NUM. 449</v>
          </cell>
          <cell r="L994">
            <v>0</v>
          </cell>
          <cell r="M994" t="str">
            <v>SAN LUIS DE LA PAZ</v>
          </cell>
          <cell r="T994" t="e">
            <v>#REF!</v>
          </cell>
        </row>
        <row r="995">
          <cell r="A995" t="str">
            <v>EL CHUPADERO</v>
          </cell>
          <cell r="B995" t="str">
            <v>11ETV0351E</v>
          </cell>
          <cell r="C995" t="str">
            <v>X</v>
          </cell>
          <cell r="E995" t="str">
            <v>TELESECUNDARIA NUM. 359</v>
          </cell>
          <cell r="F995">
            <v>535</v>
          </cell>
          <cell r="G995">
            <v>6</v>
          </cell>
          <cell r="H995" t="str">
            <v>San Luis de la Paz</v>
          </cell>
          <cell r="I995">
            <v>45000</v>
          </cell>
          <cell r="J995" t="str">
            <v>Completa</v>
          </cell>
          <cell r="K995" t="str">
            <v>CHUPADERO</v>
          </cell>
          <cell r="L995">
            <v>0</v>
          </cell>
          <cell r="M995" t="str">
            <v>EL CHUPADERO</v>
          </cell>
          <cell r="T995" t="e">
            <v>#REF!</v>
          </cell>
        </row>
        <row r="996">
          <cell r="A996" t="str">
            <v>LOS PLATANOS (EL PLATANO)</v>
          </cell>
          <cell r="B996" t="str">
            <v>11DJN4452P</v>
          </cell>
          <cell r="C996" t="str">
            <v>X</v>
          </cell>
          <cell r="E996" t="str">
            <v>EMMA GODOY</v>
          </cell>
          <cell r="F996">
            <v>68</v>
          </cell>
          <cell r="G996">
            <v>7</v>
          </cell>
          <cell r="H996" t="str">
            <v>San Luis de la Paz</v>
          </cell>
          <cell r="I996">
            <v>20000</v>
          </cell>
          <cell r="J996" t="str">
            <v>Multigrado</v>
          </cell>
          <cell r="K996" t="str">
            <v>LOS PLATANOS</v>
          </cell>
          <cell r="L996">
            <v>0</v>
          </cell>
          <cell r="M996" t="str">
            <v>LOS PLATANOS (EL PLATANO)</v>
          </cell>
          <cell r="T996" t="e">
            <v>#REF!</v>
          </cell>
        </row>
        <row r="997">
          <cell r="A997" t="str">
            <v>EL TOREADOR DE ABAJO</v>
          </cell>
          <cell r="B997" t="str">
            <v>11DPR0305V</v>
          </cell>
          <cell r="C997" t="str">
            <v>X</v>
          </cell>
          <cell r="E997" t="str">
            <v>FRANCISCO JAVIER MINA</v>
          </cell>
          <cell r="F997">
            <v>118</v>
          </cell>
          <cell r="G997">
            <v>18</v>
          </cell>
          <cell r="H997" t="str">
            <v>San Luis de la Paz</v>
          </cell>
          <cell r="I997">
            <v>45000</v>
          </cell>
          <cell r="J997" t="str">
            <v>Completa</v>
          </cell>
          <cell r="K997" t="str">
            <v>EL TOREADOR</v>
          </cell>
          <cell r="L997">
            <v>0</v>
          </cell>
          <cell r="M997" t="str">
            <v>EL TOREADOR DE ABAJO</v>
          </cell>
          <cell r="T997" t="e">
            <v>#REF!</v>
          </cell>
        </row>
        <row r="998">
          <cell r="A998" t="str">
            <v>NORITA DEL REFUGIO</v>
          </cell>
          <cell r="B998" t="str">
            <v>11ETV1023S</v>
          </cell>
          <cell r="C998" t="str">
            <v>X</v>
          </cell>
          <cell r="E998" t="str">
            <v>TELESECUNDARIA NUM. 1023</v>
          </cell>
          <cell r="F998">
            <v>535</v>
          </cell>
          <cell r="G998">
            <v>6</v>
          </cell>
          <cell r="H998" t="str">
            <v>San Luis de la Paz</v>
          </cell>
          <cell r="I998">
            <v>45000</v>
          </cell>
          <cell r="J998" t="str">
            <v>Completa</v>
          </cell>
          <cell r="K998" t="str">
            <v>NORIA DEL REFUGIO</v>
          </cell>
          <cell r="L998">
            <v>0</v>
          </cell>
          <cell r="M998" t="str">
            <v>NORITA DEL REFUGIO</v>
          </cell>
          <cell r="T998" t="e">
            <v>#REF!</v>
          </cell>
        </row>
        <row r="999">
          <cell r="A999" t="str">
            <v>SAN LUIS DE LA PAZ</v>
          </cell>
          <cell r="B999" t="str">
            <v>11DPR3354Y</v>
          </cell>
          <cell r="C999" t="str">
            <v>X</v>
          </cell>
          <cell r="E999" t="str">
            <v>JUAN ESCUTIA</v>
          </cell>
          <cell r="F999">
            <v>118</v>
          </cell>
          <cell r="G999">
            <v>18</v>
          </cell>
          <cell r="H999" t="str">
            <v>San Luis de la Paz</v>
          </cell>
          <cell r="I999">
            <v>45000</v>
          </cell>
          <cell r="J999" t="str">
            <v>Completa</v>
          </cell>
          <cell r="K999" t="str">
            <v>PEDRO MORENO NUM. 301</v>
          </cell>
          <cell r="L999" t="str">
            <v>LA MONTAÑITA</v>
          </cell>
          <cell r="M999" t="str">
            <v>SAN LUIS DE LA PAZ</v>
          </cell>
          <cell r="T999" t="e">
            <v>#REF!</v>
          </cell>
        </row>
        <row r="1000">
          <cell r="A1000" t="str">
            <v>SAN ANTON DE LOS MARTINEZ</v>
          </cell>
          <cell r="B1000" t="str">
            <v>11DPR0290J</v>
          </cell>
          <cell r="C1000" t="str">
            <v>X</v>
          </cell>
          <cell r="E1000" t="str">
            <v>FRANCISCO I. MADERO</v>
          </cell>
          <cell r="F1000">
            <v>168</v>
          </cell>
          <cell r="G1000">
            <v>18</v>
          </cell>
          <cell r="H1000" t="str">
            <v>San Luis de la Paz</v>
          </cell>
          <cell r="I1000">
            <v>20000</v>
          </cell>
          <cell r="J1000" t="str">
            <v>Multigrado</v>
          </cell>
          <cell r="K1000" t="str">
            <v>SAN ANTON DE LOS MARTINEZ</v>
          </cell>
          <cell r="L1000">
            <v>0</v>
          </cell>
          <cell r="M1000" t="str">
            <v>SAN ANTON DE LOS MARTINEZ</v>
          </cell>
          <cell r="T1000" t="e">
            <v>#REF!</v>
          </cell>
        </row>
        <row r="1001">
          <cell r="A1001" t="str">
            <v>SAN PEDRO DE LA CRUZ</v>
          </cell>
          <cell r="B1001" t="str">
            <v>11DJN4105H</v>
          </cell>
          <cell r="C1001" t="str">
            <v>X</v>
          </cell>
          <cell r="E1001" t="str">
            <v>EDMUNDO HALLEY</v>
          </cell>
          <cell r="F1001">
            <v>68</v>
          </cell>
          <cell r="G1001">
            <v>7</v>
          </cell>
          <cell r="H1001" t="str">
            <v>San Luis de la Paz</v>
          </cell>
          <cell r="I1001">
            <v>20000</v>
          </cell>
          <cell r="J1001" t="str">
            <v>Multigrado</v>
          </cell>
          <cell r="K1001" t="str">
            <v>SAN PEDRO DE LA CRUZ</v>
          </cell>
          <cell r="L1001">
            <v>0</v>
          </cell>
          <cell r="M1001" t="str">
            <v>SAN PEDRO DE LA CRUZ</v>
          </cell>
          <cell r="T1001" t="e">
            <v>#REF!</v>
          </cell>
        </row>
        <row r="1002">
          <cell r="A1002" t="str">
            <v>CORRAL BLANCO</v>
          </cell>
          <cell r="B1002" t="str">
            <v>11DPR2912M</v>
          </cell>
          <cell r="C1002" t="str">
            <v>X</v>
          </cell>
          <cell r="E1002" t="str">
            <v>FRANCISCO VILLA</v>
          </cell>
          <cell r="F1002">
            <v>158</v>
          </cell>
          <cell r="G1002">
            <v>27</v>
          </cell>
          <cell r="H1002" t="str">
            <v>Santa Catarina</v>
          </cell>
          <cell r="I1002">
            <v>20000</v>
          </cell>
          <cell r="J1002" t="str">
            <v>Multigrado</v>
          </cell>
          <cell r="K1002" t="str">
            <v>CORRAL BLANCO</v>
          </cell>
          <cell r="L1002">
            <v>0</v>
          </cell>
          <cell r="M1002" t="str">
            <v>CORRAL BLANCO</v>
          </cell>
          <cell r="T1002" t="e">
            <v>#REF!</v>
          </cell>
        </row>
        <row r="1003">
          <cell r="A1003" t="str">
            <v>EL TABLON</v>
          </cell>
          <cell r="B1003" t="str">
            <v>11DPR3821B</v>
          </cell>
          <cell r="C1003" t="str">
            <v>X</v>
          </cell>
          <cell r="E1003" t="str">
            <v>NIÑOS HEROES</v>
          </cell>
          <cell r="F1003">
            <v>158</v>
          </cell>
          <cell r="G1003">
            <v>27</v>
          </cell>
          <cell r="H1003" t="str">
            <v>Santa Catarina</v>
          </cell>
          <cell r="I1003">
            <v>20000</v>
          </cell>
          <cell r="J1003" t="str">
            <v>Multigrado</v>
          </cell>
          <cell r="K1003" t="str">
            <v>ALLENDE S/N</v>
          </cell>
          <cell r="L1003">
            <v>0</v>
          </cell>
          <cell r="M1003" t="str">
            <v>EL TABLON</v>
          </cell>
          <cell r="T1003" t="e">
            <v>#REF!</v>
          </cell>
        </row>
        <row r="1004">
          <cell r="A1004" t="str">
            <v>SAN JOSE DE LAS PILAS</v>
          </cell>
          <cell r="B1004" t="str">
            <v>11DPR0318Z</v>
          </cell>
          <cell r="C1004" t="str">
            <v>X</v>
          </cell>
          <cell r="E1004" t="str">
            <v>NICOLAS BRAVO</v>
          </cell>
          <cell r="F1004">
            <v>28</v>
          </cell>
          <cell r="G1004">
            <v>17</v>
          </cell>
          <cell r="H1004" t="str">
            <v>Santa Cruz de Juventino Rosas</v>
          </cell>
          <cell r="I1004">
            <v>85000</v>
          </cell>
          <cell r="J1004" t="str">
            <v>Completa</v>
          </cell>
          <cell r="K1004" t="str">
            <v>SAN JOSE DE LAS PILAS</v>
          </cell>
          <cell r="L1004">
            <v>0</v>
          </cell>
          <cell r="M1004" t="str">
            <v>SAN JOSE DE LAS PILAS</v>
          </cell>
          <cell r="T1004" t="e">
            <v>#REF!</v>
          </cell>
        </row>
        <row r="1005">
          <cell r="A1005" t="str">
            <v>POZOS</v>
          </cell>
          <cell r="B1005" t="str">
            <v>11DPR3794V</v>
          </cell>
          <cell r="C1005" t="str">
            <v>X</v>
          </cell>
          <cell r="E1005" t="str">
            <v>PROFRA. ALICIA GARCIA RAMIREZ</v>
          </cell>
          <cell r="F1005">
            <v>105</v>
          </cell>
          <cell r="G1005">
            <v>17</v>
          </cell>
          <cell r="H1005" t="str">
            <v>Santa Cruz de Juventino Rosas</v>
          </cell>
          <cell r="I1005">
            <v>85000</v>
          </cell>
          <cell r="J1005" t="str">
            <v>Completa</v>
          </cell>
          <cell r="K1005" t="str">
            <v>FRANCISCO VILLA S/N</v>
          </cell>
          <cell r="L1005">
            <v>0</v>
          </cell>
          <cell r="M1005" t="str">
            <v>POZOS</v>
          </cell>
          <cell r="T1005" t="e">
            <v>#REF!</v>
          </cell>
        </row>
        <row r="1006">
          <cell r="A1006" t="str">
            <v>SANTA CRUZ DE JUVENTINO ROSAS</v>
          </cell>
          <cell r="B1006" t="str">
            <v>11EPR0032U</v>
          </cell>
          <cell r="C1006" t="str">
            <v>X</v>
          </cell>
          <cell r="E1006" t="str">
            <v>PROFR. PABLO GOMEZ LOPEZ</v>
          </cell>
          <cell r="F1006">
            <v>545</v>
          </cell>
          <cell r="G1006">
            <v>4</v>
          </cell>
          <cell r="H1006" t="str">
            <v>Santa Cruz de Juventino Rosas</v>
          </cell>
          <cell r="I1006">
            <v>85000</v>
          </cell>
          <cell r="J1006" t="str">
            <v>Completa</v>
          </cell>
          <cell r="K1006" t="str">
            <v>AVENIDA LOPEZ MATEOS S/N</v>
          </cell>
          <cell r="L1006">
            <v>0</v>
          </cell>
          <cell r="M1006" t="str">
            <v>SANTA CRUZ DE JUVENTINO ROSAS</v>
          </cell>
          <cell r="T1006" t="e">
            <v>#REF!</v>
          </cell>
        </row>
        <row r="1007">
          <cell r="A1007" t="str">
            <v>SANTA CRUZ DE JUVENTINO ROSAS</v>
          </cell>
          <cell r="B1007" t="str">
            <v>11EPR0304V</v>
          </cell>
          <cell r="C1007" t="str">
            <v>X</v>
          </cell>
          <cell r="E1007" t="str">
            <v>LIC. ADOLFO LOPEZ MATEOS</v>
          </cell>
          <cell r="F1007">
            <v>545</v>
          </cell>
          <cell r="G1007">
            <v>4</v>
          </cell>
          <cell r="H1007" t="str">
            <v>Santa Cruz de Juventino Rosas</v>
          </cell>
          <cell r="I1007">
            <v>85000</v>
          </cell>
          <cell r="J1007" t="str">
            <v>Completa</v>
          </cell>
          <cell r="K1007" t="str">
            <v>AVENIDA LOPEZ MATEOS S/N</v>
          </cell>
          <cell r="L1007">
            <v>0</v>
          </cell>
          <cell r="M1007" t="str">
            <v>SANTA CRUZ DE JUVENTINO ROSAS</v>
          </cell>
          <cell r="T1007" t="e">
            <v>#REF!</v>
          </cell>
        </row>
        <row r="1008">
          <cell r="A1008" t="str">
            <v>SANTA CRUZ DE JUVENTINO ROSAS</v>
          </cell>
          <cell r="B1008" t="str">
            <v>11EPR0305U</v>
          </cell>
          <cell r="C1008" t="str">
            <v>X</v>
          </cell>
          <cell r="E1008" t="str">
            <v>TOMASA ESTEVEZ</v>
          </cell>
          <cell r="F1008">
            <v>545</v>
          </cell>
          <cell r="G1008">
            <v>4</v>
          </cell>
          <cell r="H1008" t="str">
            <v>Santa Cruz de Juventino Rosas</v>
          </cell>
          <cell r="I1008">
            <v>85000</v>
          </cell>
          <cell r="J1008" t="str">
            <v>Completa</v>
          </cell>
          <cell r="K1008" t="str">
            <v>1 DE MAYO S/N</v>
          </cell>
          <cell r="L1008">
            <v>0</v>
          </cell>
          <cell r="M1008" t="str">
            <v>SANTA CRUZ DE JUVENTINO ROSAS</v>
          </cell>
          <cell r="T1008" t="e">
            <v>#REF!</v>
          </cell>
        </row>
        <row r="1009">
          <cell r="A1009" t="str">
            <v>SANTA CRUZ DE JUVENTINO ROSAS</v>
          </cell>
          <cell r="B1009" t="str">
            <v>11DJN0047G</v>
          </cell>
          <cell r="C1009" t="str">
            <v>X</v>
          </cell>
          <cell r="E1009" t="str">
            <v>JUVENTINO ROSAS</v>
          </cell>
          <cell r="F1009">
            <v>32</v>
          </cell>
          <cell r="G1009">
            <v>13</v>
          </cell>
          <cell r="H1009" t="str">
            <v>Santa Cruz de Juventino Rosas</v>
          </cell>
          <cell r="I1009">
            <v>85000</v>
          </cell>
          <cell r="J1009" t="str">
            <v>Completa</v>
          </cell>
          <cell r="K1009" t="str">
            <v>PROFESORA JOSEFINA VILLAGOMEZ NUM. 102</v>
          </cell>
          <cell r="L1009" t="str">
            <v>ZONA CENTRO</v>
          </cell>
          <cell r="M1009" t="str">
            <v>SANTA CRUZ DE JUVENTINO ROSAS</v>
          </cell>
          <cell r="T1009" t="e">
            <v>#REF!</v>
          </cell>
        </row>
        <row r="1010">
          <cell r="A1010" t="str">
            <v>SANTA CRUZ DE JUVENTINO ROSAS</v>
          </cell>
          <cell r="B1010" t="str">
            <v>11DJN3374V</v>
          </cell>
          <cell r="C1010" t="str">
            <v>X</v>
          </cell>
          <cell r="E1010" t="str">
            <v>DIEGO RIVERA</v>
          </cell>
          <cell r="F1010">
            <v>32</v>
          </cell>
          <cell r="G1010">
            <v>13</v>
          </cell>
          <cell r="H1010" t="str">
            <v>Santa Cruz de Juventino Rosas</v>
          </cell>
          <cell r="I1010">
            <v>85000</v>
          </cell>
          <cell r="J1010" t="str">
            <v>Completa</v>
          </cell>
          <cell r="K1010" t="str">
            <v>EBANO NUM. 203</v>
          </cell>
          <cell r="L1010" t="str">
            <v>FRACCIONAMIENTO ARBOLEDAS</v>
          </cell>
          <cell r="M1010" t="str">
            <v>SANTA CRUZ DE JUVENTINO ROSAS</v>
          </cell>
          <cell r="T1010" t="e">
            <v>#REF!</v>
          </cell>
        </row>
        <row r="1011">
          <cell r="A1011" t="str">
            <v>SANTA CRUZ DE JUVENTINO ROSAS</v>
          </cell>
          <cell r="B1011" t="str">
            <v>11DJN0521U</v>
          </cell>
          <cell r="C1011" t="str">
            <v>X</v>
          </cell>
          <cell r="E1011" t="str">
            <v>JOSE JOAQUIN FERNANDEZ DE LIZARDI</v>
          </cell>
          <cell r="F1011">
            <v>32</v>
          </cell>
          <cell r="G1011">
            <v>13</v>
          </cell>
          <cell r="H1011" t="str">
            <v>Santa Cruz de Juventino Rosas</v>
          </cell>
          <cell r="I1011">
            <v>85000</v>
          </cell>
          <cell r="J1011" t="str">
            <v>Completa</v>
          </cell>
          <cell r="K1011" t="str">
            <v>12 DE NOVIEMBRE S/N</v>
          </cell>
          <cell r="L1011">
            <v>0</v>
          </cell>
          <cell r="M1011" t="str">
            <v>SANTA CRUZ DE JUVENTINO ROSAS</v>
          </cell>
          <cell r="T1011" t="e">
            <v>#REF!</v>
          </cell>
        </row>
        <row r="1012">
          <cell r="A1012" t="str">
            <v>SANTA CRUZ DE JUVENTINO ROSAS</v>
          </cell>
          <cell r="B1012" t="str">
            <v>11DJN4271F</v>
          </cell>
          <cell r="D1012" t="str">
            <v>X</v>
          </cell>
          <cell r="E1012" t="str">
            <v>FRANCISCO JAVIER MINA</v>
          </cell>
          <cell r="F1012">
            <v>32</v>
          </cell>
          <cell r="G1012">
            <v>13</v>
          </cell>
          <cell r="H1012" t="str">
            <v>Santa Cruz de Juventino Rosas</v>
          </cell>
          <cell r="I1012">
            <v>85000</v>
          </cell>
          <cell r="J1012" t="str">
            <v>Completa</v>
          </cell>
          <cell r="K1012" t="str">
            <v>LAS FLORES</v>
          </cell>
          <cell r="L1012">
            <v>0</v>
          </cell>
          <cell r="M1012" t="str">
            <v>SANTA CRUZ DE JUVENTINO ROSAS</v>
          </cell>
          <cell r="T1012" t="e">
            <v>#REF!</v>
          </cell>
        </row>
        <row r="1013">
          <cell r="A1013" t="str">
            <v>SAN ANTONIO NUEVO VALENCIA (LA CHIRIPA)</v>
          </cell>
          <cell r="B1013" t="str">
            <v>11DPR0722H</v>
          </cell>
          <cell r="C1013" t="str">
            <v>X</v>
          </cell>
          <cell r="E1013" t="str">
            <v>IGNACIO ALLENDE</v>
          </cell>
          <cell r="F1013">
            <v>105</v>
          </cell>
          <cell r="G1013">
            <v>17</v>
          </cell>
          <cell r="H1013" t="str">
            <v>Santa Cruz de Juventino Rosas</v>
          </cell>
          <cell r="I1013">
            <v>25000</v>
          </cell>
          <cell r="J1013" t="str">
            <v>Multigrado</v>
          </cell>
          <cell r="K1013" t="str">
            <v>SAN ANTONIO NUEVA VALENCIA</v>
          </cell>
          <cell r="L1013">
            <v>0</v>
          </cell>
          <cell r="M1013" t="str">
            <v>SAN ANTONIO NUEVO VALENCIA (LA CHIRIPA)</v>
          </cell>
          <cell r="T1013" t="e">
            <v>#REF!</v>
          </cell>
        </row>
        <row r="1014">
          <cell r="A1014" t="str">
            <v>RINCON DE CENTENO</v>
          </cell>
          <cell r="B1014" t="str">
            <v>11DJN0512M</v>
          </cell>
          <cell r="C1014" t="str">
            <v>X</v>
          </cell>
          <cell r="E1014" t="str">
            <v>LAZARO CARDENAS DEL RIO</v>
          </cell>
          <cell r="F1014">
            <v>32</v>
          </cell>
          <cell r="G1014">
            <v>13</v>
          </cell>
          <cell r="H1014" t="str">
            <v>Santa Cruz de Juventino Rosas</v>
          </cell>
          <cell r="I1014">
            <v>85000</v>
          </cell>
          <cell r="J1014" t="str">
            <v>Completa</v>
          </cell>
          <cell r="K1014" t="str">
            <v>RINCON DE CENTENO</v>
          </cell>
          <cell r="L1014">
            <v>0</v>
          </cell>
          <cell r="M1014" t="str">
            <v>RINCON DE CENTENO</v>
          </cell>
          <cell r="T1014" t="e">
            <v>#REF!</v>
          </cell>
        </row>
        <row r="1015">
          <cell r="A1015" t="str">
            <v>SAN DIEGO DE LOS DOLORES</v>
          </cell>
          <cell r="B1015" t="str">
            <v>11ETV0610B</v>
          </cell>
          <cell r="C1015" t="str">
            <v>X</v>
          </cell>
          <cell r="E1015" t="str">
            <v>MIGUEL HIDALGO Y COSTILLA</v>
          </cell>
          <cell r="F1015">
            <v>536</v>
          </cell>
          <cell r="G1015">
            <v>4</v>
          </cell>
          <cell r="H1015" t="str">
            <v>Santa Cruz de Juventino Rosas</v>
          </cell>
          <cell r="I1015">
            <v>85000</v>
          </cell>
          <cell r="J1015" t="str">
            <v>Completa</v>
          </cell>
          <cell r="K1015" t="str">
            <v>SAN DIEGO DE LOS DOLORES</v>
          </cell>
          <cell r="L1015">
            <v>0</v>
          </cell>
          <cell r="M1015" t="str">
            <v>SAN DIEGO DE LOS DOLORES</v>
          </cell>
          <cell r="T1015" t="e">
            <v>#REF!</v>
          </cell>
        </row>
        <row r="1016">
          <cell r="A1016" t="str">
            <v>EL NARANJILLO</v>
          </cell>
          <cell r="B1016" t="str">
            <v>11DJN2430Q</v>
          </cell>
          <cell r="D1016" t="str">
            <v>X</v>
          </cell>
          <cell r="E1016" t="str">
            <v>FRANCISCO MARQUEZ</v>
          </cell>
          <cell r="F1016">
            <v>32</v>
          </cell>
          <cell r="G1016">
            <v>13</v>
          </cell>
          <cell r="H1016" t="str">
            <v>Santa Cruz de Juventino Rosas</v>
          </cell>
          <cell r="I1016">
            <v>30000</v>
          </cell>
          <cell r="J1016" t="str">
            <v>Multigrado</v>
          </cell>
          <cell r="K1016" t="str">
            <v>EL NARANJILLO</v>
          </cell>
          <cell r="L1016">
            <v>0</v>
          </cell>
          <cell r="M1016" t="str">
            <v>EL NARANJILLO</v>
          </cell>
          <cell r="T1016" t="e">
            <v>#REF!</v>
          </cell>
        </row>
        <row r="1017">
          <cell r="A1017" t="str">
            <v>SANTIAGO DE CUENDA</v>
          </cell>
          <cell r="B1017" t="str">
            <v>11EPR0773N</v>
          </cell>
          <cell r="C1017" t="str">
            <v>X</v>
          </cell>
          <cell r="E1017" t="str">
            <v>JOSE MARIA MORELOS Y PAVON</v>
          </cell>
          <cell r="F1017">
            <v>545</v>
          </cell>
          <cell r="G1017">
            <v>4</v>
          </cell>
          <cell r="H1017" t="str">
            <v>Santa Cruz de Juventino Rosas</v>
          </cell>
          <cell r="I1017">
            <v>85000</v>
          </cell>
          <cell r="J1017" t="str">
            <v>Completa</v>
          </cell>
          <cell r="K1017" t="str">
            <v>SANTIAGO DE CUENDA</v>
          </cell>
          <cell r="L1017">
            <v>0</v>
          </cell>
          <cell r="M1017" t="str">
            <v>SANTIAGO DE CUENDA</v>
          </cell>
          <cell r="T1017" t="e">
            <v>#REF!</v>
          </cell>
        </row>
        <row r="1018">
          <cell r="A1018" t="str">
            <v>POZOS</v>
          </cell>
          <cell r="B1018" t="str">
            <v>11ETV0445T</v>
          </cell>
          <cell r="C1018" t="str">
            <v>X</v>
          </cell>
          <cell r="E1018" t="str">
            <v>BENITO JUAREZ</v>
          </cell>
          <cell r="F1018">
            <v>536</v>
          </cell>
          <cell r="G1018">
            <v>4</v>
          </cell>
          <cell r="H1018" t="str">
            <v>Santa Cruz de Juventino Rosas</v>
          </cell>
          <cell r="I1018">
            <v>85000</v>
          </cell>
          <cell r="J1018" t="str">
            <v>Completa</v>
          </cell>
          <cell r="K1018" t="str">
            <v>POZOS</v>
          </cell>
          <cell r="L1018">
            <v>0</v>
          </cell>
          <cell r="M1018" t="str">
            <v>POZOS</v>
          </cell>
          <cell r="T1018" t="e">
            <v>#REF!</v>
          </cell>
        </row>
        <row r="1019">
          <cell r="A1019" t="str">
            <v>EL JAGüEY</v>
          </cell>
          <cell r="B1019" t="str">
            <v>11DPR0541Y</v>
          </cell>
          <cell r="D1019" t="str">
            <v>X</v>
          </cell>
          <cell r="E1019" t="str">
            <v>MIGUEL HIDALGO</v>
          </cell>
          <cell r="F1019">
            <v>105</v>
          </cell>
          <cell r="G1019">
            <v>17</v>
          </cell>
          <cell r="H1019" t="str">
            <v>Santa Cruz de Juventino Rosas</v>
          </cell>
          <cell r="I1019">
            <v>30000</v>
          </cell>
          <cell r="J1019" t="str">
            <v>Multigrado</v>
          </cell>
          <cell r="K1019" t="str">
            <v>JAGUEY</v>
          </cell>
          <cell r="L1019">
            <v>0</v>
          </cell>
          <cell r="M1019" t="str">
            <v>EL JAGüEY</v>
          </cell>
          <cell r="T1019" t="e">
            <v>#REF!</v>
          </cell>
        </row>
        <row r="1020">
          <cell r="A1020" t="str">
            <v>SANTA CRUZ DE JUVENTINO ROSAS</v>
          </cell>
          <cell r="B1020" t="str">
            <v>11DJN4065X</v>
          </cell>
          <cell r="C1020" t="str">
            <v>X</v>
          </cell>
          <cell r="E1020" t="str">
            <v>MARIA ENRIQUETA</v>
          </cell>
          <cell r="F1020">
            <v>32</v>
          </cell>
          <cell r="G1020">
            <v>13</v>
          </cell>
          <cell r="H1020" t="str">
            <v>Santa Cruz de Juventino Rosas</v>
          </cell>
          <cell r="I1020">
            <v>85000</v>
          </cell>
          <cell r="J1020" t="str">
            <v>Completa</v>
          </cell>
          <cell r="K1020" t="str">
            <v>PROLONGACION ISABELA CATOLICA S/N</v>
          </cell>
          <cell r="L1020">
            <v>0</v>
          </cell>
          <cell r="M1020" t="str">
            <v>SANTA CRUZ DE JUVENTINO ROSAS</v>
          </cell>
          <cell r="T1020" t="e">
            <v>#REF!</v>
          </cell>
        </row>
        <row r="1021">
          <cell r="A1021" t="str">
            <v>SAN ANTONIO DE MORALES</v>
          </cell>
          <cell r="B1021" t="str">
            <v>11DPR0715Y</v>
          </cell>
          <cell r="C1021" t="str">
            <v>X</v>
          </cell>
          <cell r="E1021" t="str">
            <v>FRANCISCO SARABIA</v>
          </cell>
          <cell r="F1021">
            <v>28</v>
          </cell>
          <cell r="G1021">
            <v>17</v>
          </cell>
          <cell r="H1021" t="str">
            <v>Santa Cruz de Juventino Rosas</v>
          </cell>
          <cell r="I1021">
            <v>85000</v>
          </cell>
          <cell r="J1021" t="str">
            <v>Completa</v>
          </cell>
          <cell r="K1021" t="str">
            <v>SAN ANTONIO DE MORALES</v>
          </cell>
          <cell r="L1021">
            <v>0</v>
          </cell>
          <cell r="M1021" t="str">
            <v>SAN ANTONIO DE MORALES</v>
          </cell>
          <cell r="T1021" t="e">
            <v>#REF!</v>
          </cell>
        </row>
        <row r="1022">
          <cell r="A1022" t="str">
            <v>FRANCO TAVERA</v>
          </cell>
          <cell r="B1022" t="str">
            <v>11DPR0321M</v>
          </cell>
          <cell r="C1022" t="str">
            <v>X</v>
          </cell>
          <cell r="E1022" t="str">
            <v>VENUSTIANO CARRANZA</v>
          </cell>
          <cell r="F1022">
            <v>28</v>
          </cell>
          <cell r="G1022">
            <v>17</v>
          </cell>
          <cell r="H1022" t="str">
            <v>Santa Cruz de Juventino Rosas</v>
          </cell>
          <cell r="I1022">
            <v>85000</v>
          </cell>
          <cell r="J1022" t="str">
            <v>Completa</v>
          </cell>
          <cell r="K1022" t="str">
            <v>TAVERA Y LA CORREA S/N</v>
          </cell>
          <cell r="L1022" t="str">
            <v>TAVERA Y LA CORREA</v>
          </cell>
          <cell r="M1022" t="str">
            <v>FRANCO TAVERA</v>
          </cell>
          <cell r="T1022" t="e">
            <v>#REF!</v>
          </cell>
        </row>
        <row r="1023">
          <cell r="A1023" t="str">
            <v>SAN DIEGO DE LOS DOLORES</v>
          </cell>
          <cell r="B1023" t="str">
            <v>11DJN2545R</v>
          </cell>
          <cell r="D1023" t="str">
            <v>X</v>
          </cell>
          <cell r="E1023" t="str">
            <v>24 DE FEBRERO</v>
          </cell>
          <cell r="F1023">
            <v>32</v>
          </cell>
          <cell r="G1023">
            <v>13</v>
          </cell>
          <cell r="H1023" t="str">
            <v>Santa Cruz de Juventino Rosas</v>
          </cell>
          <cell r="I1023">
            <v>30000</v>
          </cell>
          <cell r="J1023" t="str">
            <v>Multigrado</v>
          </cell>
          <cell r="K1023" t="str">
            <v>SAN DIEGO DE LOS DOLORES</v>
          </cell>
          <cell r="L1023">
            <v>0</v>
          </cell>
          <cell r="M1023" t="str">
            <v>SAN DIEGO DE LOS DOLORES</v>
          </cell>
          <cell r="T1023" t="e">
            <v>#REF!</v>
          </cell>
        </row>
        <row r="1024">
          <cell r="A1024" t="str">
            <v>LOS DULCES NOMBRES</v>
          </cell>
          <cell r="B1024" t="str">
            <v>11DJN4252R</v>
          </cell>
          <cell r="D1024" t="str">
            <v>X</v>
          </cell>
          <cell r="E1024" t="str">
            <v>LEONA VICARIO</v>
          </cell>
          <cell r="F1024">
            <v>32</v>
          </cell>
          <cell r="G1024">
            <v>13</v>
          </cell>
          <cell r="H1024" t="str">
            <v>Santa Cruz de Juventino Rosas</v>
          </cell>
          <cell r="I1024">
            <v>30000</v>
          </cell>
          <cell r="J1024" t="str">
            <v>Multigrado</v>
          </cell>
          <cell r="K1024" t="str">
            <v>LOS DULCES NOMBRES</v>
          </cell>
          <cell r="L1024">
            <v>0</v>
          </cell>
          <cell r="M1024" t="str">
            <v>LOS DULCES NOMBRES</v>
          </cell>
          <cell r="T1024" t="e">
            <v>#REF!</v>
          </cell>
        </row>
        <row r="1025">
          <cell r="A1025" t="str">
            <v>MESAS DE ACOSTA</v>
          </cell>
          <cell r="B1025" t="str">
            <v>11DJN2542U</v>
          </cell>
          <cell r="D1025" t="str">
            <v>X</v>
          </cell>
          <cell r="E1025" t="str">
            <v>ESPERANZA ESTRADA</v>
          </cell>
          <cell r="F1025">
            <v>32</v>
          </cell>
          <cell r="G1025">
            <v>13</v>
          </cell>
          <cell r="H1025" t="str">
            <v>Santa Cruz de Juventino Rosas</v>
          </cell>
          <cell r="I1025">
            <v>29000</v>
          </cell>
          <cell r="J1025" t="str">
            <v>Multigrado</v>
          </cell>
          <cell r="K1025" t="str">
            <v>MESAS DE ACOSTA</v>
          </cell>
          <cell r="L1025">
            <v>0</v>
          </cell>
          <cell r="M1025" t="str">
            <v>MESAS DE ACOSTA</v>
          </cell>
          <cell r="T1025" t="e">
            <v>#REF!</v>
          </cell>
        </row>
        <row r="1026">
          <cell r="A1026" t="str">
            <v>SANTA CRUZ DE JUVENTINO ROSAS</v>
          </cell>
          <cell r="B1026" t="str">
            <v>11DPR3892W</v>
          </cell>
          <cell r="D1026" t="str">
            <v>X</v>
          </cell>
          <cell r="E1026" t="str">
            <v>JOSE VASCONCELOS</v>
          </cell>
          <cell r="F1026">
            <v>105</v>
          </cell>
          <cell r="G1026">
            <v>17</v>
          </cell>
          <cell r="H1026" t="str">
            <v>Santa Cruz de Juventino Rosas</v>
          </cell>
          <cell r="I1026">
            <v>85000</v>
          </cell>
          <cell r="J1026" t="str">
            <v>Completa</v>
          </cell>
          <cell r="K1026" t="str">
            <v>LEONA VICARIO S/N PONIENTE</v>
          </cell>
          <cell r="L1026" t="str">
            <v>NUEVA SANTA CRUZ II</v>
          </cell>
          <cell r="M1026" t="str">
            <v>SANTA CRUZ DE JUVENTINO ROSAS</v>
          </cell>
          <cell r="T1026" t="e">
            <v>#REF!</v>
          </cell>
        </row>
        <row r="1027">
          <cell r="A1027" t="str">
            <v>LOS RODRIGUEZ</v>
          </cell>
          <cell r="B1027" t="str">
            <v>11DJN0223V</v>
          </cell>
          <cell r="C1027" t="str">
            <v>X</v>
          </cell>
          <cell r="E1027" t="str">
            <v>AMADO NERVO</v>
          </cell>
          <cell r="F1027">
            <v>72</v>
          </cell>
          <cell r="G1027">
            <v>15</v>
          </cell>
          <cell r="H1027" t="str">
            <v>Silao</v>
          </cell>
          <cell r="I1027">
            <v>85000</v>
          </cell>
          <cell r="J1027" t="str">
            <v>Completa</v>
          </cell>
          <cell r="K1027" t="str">
            <v>LOS RODRIGUEZ</v>
          </cell>
          <cell r="L1027">
            <v>0</v>
          </cell>
          <cell r="M1027" t="str">
            <v>LOS RODRIGUEZ</v>
          </cell>
          <cell r="T1027" t="e">
            <v>#REF!</v>
          </cell>
        </row>
        <row r="1028">
          <cell r="A1028" t="str">
            <v>AGUAS BUENAS</v>
          </cell>
          <cell r="B1028" t="str">
            <v>11DJN0320X</v>
          </cell>
          <cell r="C1028" t="str">
            <v>X</v>
          </cell>
          <cell r="E1028" t="str">
            <v>CANDIDO NAVARRO</v>
          </cell>
          <cell r="F1028">
            <v>72</v>
          </cell>
          <cell r="G1028">
            <v>15</v>
          </cell>
          <cell r="H1028" t="str">
            <v>Silao</v>
          </cell>
          <cell r="I1028">
            <v>30000</v>
          </cell>
          <cell r="J1028" t="str">
            <v>Multigrado</v>
          </cell>
          <cell r="K1028" t="str">
            <v>AGUAS BUENAS</v>
          </cell>
          <cell r="L1028">
            <v>0</v>
          </cell>
          <cell r="M1028" t="str">
            <v>AGUAS BUENAS</v>
          </cell>
          <cell r="T1028" t="e">
            <v>#REF!</v>
          </cell>
        </row>
        <row r="1029">
          <cell r="A1029" t="str">
            <v>TUNA MANSA</v>
          </cell>
          <cell r="B1029" t="str">
            <v>11DJN2358X</v>
          </cell>
          <cell r="C1029" t="str">
            <v>X</v>
          </cell>
          <cell r="E1029" t="str">
            <v>GUADALUPE VICTORIA</v>
          </cell>
          <cell r="F1029">
            <v>72</v>
          </cell>
          <cell r="G1029">
            <v>15</v>
          </cell>
          <cell r="H1029" t="str">
            <v>Silao</v>
          </cell>
          <cell r="I1029">
            <v>30000</v>
          </cell>
          <cell r="J1029" t="str">
            <v>Multigrado</v>
          </cell>
          <cell r="K1029" t="str">
            <v>TUNA MANSA</v>
          </cell>
          <cell r="L1029">
            <v>0</v>
          </cell>
          <cell r="M1029" t="str">
            <v>TUNA MANSA</v>
          </cell>
          <cell r="T1029" t="e">
            <v>#REF!</v>
          </cell>
        </row>
        <row r="1030">
          <cell r="A1030" t="str">
            <v>LA YERBABUENA (CAÑADA DE AMEZQUITA)</v>
          </cell>
          <cell r="B1030" t="str">
            <v>11DJN2506P</v>
          </cell>
          <cell r="C1030" t="str">
            <v>X</v>
          </cell>
          <cell r="E1030" t="str">
            <v>JARDIN DE NIÑOS</v>
          </cell>
          <cell r="F1030">
            <v>72</v>
          </cell>
          <cell r="G1030">
            <v>15</v>
          </cell>
          <cell r="H1030" t="str">
            <v>Silao</v>
          </cell>
          <cell r="I1030">
            <v>25000</v>
          </cell>
          <cell r="J1030" t="str">
            <v>Multigrado</v>
          </cell>
          <cell r="K1030" t="str">
            <v>PALMA NUM. 18</v>
          </cell>
          <cell r="L1030">
            <v>0</v>
          </cell>
          <cell r="M1030" t="str">
            <v>LA YERBABUENA (CAÑADA DE AMEZQUITA)</v>
          </cell>
          <cell r="T1030" t="e">
            <v>#REF!</v>
          </cell>
        </row>
        <row r="1031">
          <cell r="A1031" t="str">
            <v>SILAO</v>
          </cell>
          <cell r="B1031" t="str">
            <v>11DJN4371E</v>
          </cell>
          <cell r="C1031" t="str">
            <v>X</v>
          </cell>
          <cell r="E1031" t="str">
            <v>LEV VIGOTSKY</v>
          </cell>
          <cell r="F1031">
            <v>72</v>
          </cell>
          <cell r="G1031">
            <v>15</v>
          </cell>
          <cell r="H1031" t="str">
            <v>Silao</v>
          </cell>
          <cell r="I1031">
            <v>85000</v>
          </cell>
          <cell r="J1031" t="str">
            <v>Completa</v>
          </cell>
          <cell r="K1031" t="str">
            <v>CALZADA HIDALGO S/N</v>
          </cell>
          <cell r="L1031" t="str">
            <v>ZONA CENTRO</v>
          </cell>
          <cell r="M1031" t="str">
            <v>SILAO</v>
          </cell>
          <cell r="T1031" t="e">
            <v>#REF!</v>
          </cell>
        </row>
        <row r="1032">
          <cell r="A1032" t="str">
            <v>EL CAPULIN DE LA CUESTA (EL CAPULIN)</v>
          </cell>
          <cell r="B1032" t="str">
            <v>11DPR0343Y</v>
          </cell>
          <cell r="C1032" t="str">
            <v>X</v>
          </cell>
          <cell r="E1032" t="str">
            <v>LEONA VICARIO</v>
          </cell>
          <cell r="F1032">
            <v>132</v>
          </cell>
          <cell r="G1032">
            <v>4</v>
          </cell>
          <cell r="H1032" t="str">
            <v>Silao</v>
          </cell>
          <cell r="I1032">
            <v>85000</v>
          </cell>
          <cell r="J1032" t="str">
            <v>Completa</v>
          </cell>
          <cell r="K1032" t="str">
            <v>CAPULIN DE LA CUESTA</v>
          </cell>
          <cell r="L1032">
            <v>0</v>
          </cell>
          <cell r="M1032" t="str">
            <v>EL CAPULIN DE LA CUESTA (EL CAPULIN)</v>
          </cell>
          <cell r="T1032" t="e">
            <v>#REF!</v>
          </cell>
        </row>
        <row r="1033">
          <cell r="A1033" t="str">
            <v>CERRITOS</v>
          </cell>
          <cell r="B1033" t="str">
            <v>11DPR0344X</v>
          </cell>
          <cell r="C1033" t="str">
            <v>X</v>
          </cell>
          <cell r="E1033" t="str">
            <v>MELCHOR OCAMPO</v>
          </cell>
          <cell r="F1033">
            <v>132</v>
          </cell>
          <cell r="G1033">
            <v>4</v>
          </cell>
          <cell r="H1033" t="str">
            <v>Silao</v>
          </cell>
          <cell r="I1033">
            <v>85000</v>
          </cell>
          <cell r="J1033" t="str">
            <v>Completa</v>
          </cell>
          <cell r="K1033" t="str">
            <v>CERRITOS</v>
          </cell>
          <cell r="L1033">
            <v>0</v>
          </cell>
          <cell r="M1033" t="str">
            <v>CERRITOS</v>
          </cell>
          <cell r="T1033" t="e">
            <v>#REF!</v>
          </cell>
        </row>
        <row r="1034">
          <cell r="A1034" t="str">
            <v>REFUGIO DE OCAMPO</v>
          </cell>
          <cell r="B1034" t="str">
            <v>11DPR0362M</v>
          </cell>
          <cell r="C1034" t="str">
            <v>X</v>
          </cell>
          <cell r="E1034" t="str">
            <v>JOSE MARIA MORELOS</v>
          </cell>
          <cell r="F1034">
            <v>132</v>
          </cell>
          <cell r="G1034">
            <v>4</v>
          </cell>
          <cell r="H1034" t="str">
            <v>Silao</v>
          </cell>
          <cell r="I1034">
            <v>30000</v>
          </cell>
          <cell r="J1034" t="str">
            <v>Multigrado</v>
          </cell>
          <cell r="K1034" t="str">
            <v>REFUGIO DE OCAMPO</v>
          </cell>
          <cell r="L1034">
            <v>0</v>
          </cell>
          <cell r="M1034" t="str">
            <v>REFUGIO DE OCAMPO</v>
          </cell>
          <cell r="T1034" t="e">
            <v>#REF!</v>
          </cell>
        </row>
        <row r="1035">
          <cell r="A1035" t="str">
            <v>CHICHIMEQUILLAS</v>
          </cell>
          <cell r="B1035" t="str">
            <v>11DPR0563J</v>
          </cell>
          <cell r="C1035" t="str">
            <v>X</v>
          </cell>
          <cell r="E1035" t="str">
            <v>FRANCISCO I. MADERO</v>
          </cell>
          <cell r="F1035">
            <v>122</v>
          </cell>
          <cell r="G1035">
            <v>4</v>
          </cell>
          <cell r="H1035" t="str">
            <v>Silao</v>
          </cell>
          <cell r="I1035">
            <v>85000</v>
          </cell>
          <cell r="J1035" t="str">
            <v>Completa</v>
          </cell>
          <cell r="K1035" t="str">
            <v>CHICHIMEQUILLAS</v>
          </cell>
          <cell r="L1035">
            <v>0</v>
          </cell>
          <cell r="M1035" t="str">
            <v>CHICHIMEQUILLAS</v>
          </cell>
          <cell r="T1035" t="e">
            <v>#REF!</v>
          </cell>
        </row>
        <row r="1036">
          <cell r="A1036" t="str">
            <v>COLONIAS NUEVO MEXICO</v>
          </cell>
          <cell r="B1036" t="str">
            <v>11DPR3031Q</v>
          </cell>
          <cell r="D1036" t="str">
            <v>X</v>
          </cell>
          <cell r="E1036" t="str">
            <v>5 DE MAYO</v>
          </cell>
          <cell r="F1036">
            <v>3</v>
          </cell>
          <cell r="G1036">
            <v>4</v>
          </cell>
          <cell r="H1036" t="str">
            <v>Silao</v>
          </cell>
          <cell r="I1036">
            <v>85000</v>
          </cell>
          <cell r="J1036" t="str">
            <v>Completa</v>
          </cell>
          <cell r="K1036" t="str">
            <v>COLONIAS NUEVO MEXICO</v>
          </cell>
          <cell r="L1036" t="str">
            <v>COLONIA NUEVO MEXICO</v>
          </cell>
          <cell r="M1036" t="str">
            <v>COLONIAS NUEVO MEXICO</v>
          </cell>
          <cell r="T1036" t="e">
            <v>#REF!</v>
          </cell>
        </row>
        <row r="1037">
          <cell r="A1037" t="str">
            <v>MENORES</v>
          </cell>
          <cell r="B1037" t="str">
            <v>11EPR0319X</v>
          </cell>
          <cell r="D1037" t="str">
            <v>X</v>
          </cell>
          <cell r="E1037" t="str">
            <v>EMILIANO ZAPATA</v>
          </cell>
          <cell r="F1037">
            <v>517</v>
          </cell>
          <cell r="G1037">
            <v>8</v>
          </cell>
          <cell r="H1037" t="str">
            <v>Silao</v>
          </cell>
          <cell r="I1037">
            <v>85000</v>
          </cell>
          <cell r="J1037" t="str">
            <v>Completa</v>
          </cell>
          <cell r="K1037" t="str">
            <v>MENORES</v>
          </cell>
          <cell r="L1037">
            <v>0</v>
          </cell>
          <cell r="M1037" t="str">
            <v>MENORES</v>
          </cell>
          <cell r="T1037" t="e">
            <v>#REF!</v>
          </cell>
        </row>
        <row r="1038">
          <cell r="A1038" t="str">
            <v>SILAO</v>
          </cell>
          <cell r="B1038" t="str">
            <v>11EPR0647Q</v>
          </cell>
          <cell r="D1038" t="str">
            <v>X</v>
          </cell>
          <cell r="E1038" t="str">
            <v>AQUILES SERDAN</v>
          </cell>
          <cell r="F1038">
            <v>517</v>
          </cell>
          <cell r="G1038">
            <v>8</v>
          </cell>
          <cell r="H1038" t="str">
            <v>Silao</v>
          </cell>
          <cell r="I1038">
            <v>75000</v>
          </cell>
          <cell r="J1038" t="str">
            <v>Completa</v>
          </cell>
          <cell r="K1038" t="str">
            <v>BOULEVARD BALLERES S/N</v>
          </cell>
          <cell r="L1038">
            <v>0</v>
          </cell>
          <cell r="M1038" t="str">
            <v>SILAO</v>
          </cell>
          <cell r="T1038" t="e">
            <v>#REF!</v>
          </cell>
        </row>
        <row r="1039">
          <cell r="A1039" t="str">
            <v>SILAO</v>
          </cell>
          <cell r="B1039" t="str">
            <v>11EPR0900T</v>
          </cell>
          <cell r="D1039" t="str">
            <v>X</v>
          </cell>
          <cell r="E1039" t="str">
            <v>ESCUELA PRIMARIA</v>
          </cell>
          <cell r="F1039">
            <v>517</v>
          </cell>
          <cell r="G1039">
            <v>8</v>
          </cell>
          <cell r="H1039" t="str">
            <v>Silao</v>
          </cell>
          <cell r="I1039">
            <v>65000</v>
          </cell>
          <cell r="J1039" t="str">
            <v>Completa</v>
          </cell>
          <cell r="K1039" t="str">
            <v>ALAMEDA S/N</v>
          </cell>
          <cell r="L1039" t="str">
            <v>ZONA CENTRO</v>
          </cell>
          <cell r="M1039" t="str">
            <v>SILAO</v>
          </cell>
          <cell r="T1039" t="e">
            <v>#REF!</v>
          </cell>
        </row>
        <row r="1040">
          <cell r="A1040" t="str">
            <v>EL JITOMATAL</v>
          </cell>
          <cell r="B1040" t="str">
            <v>11DJN0827L</v>
          </cell>
          <cell r="D1040" t="str">
            <v>X</v>
          </cell>
          <cell r="E1040" t="str">
            <v>MELCHOR OCAMPO</v>
          </cell>
          <cell r="F1040">
            <v>72</v>
          </cell>
          <cell r="G1040">
            <v>15</v>
          </cell>
          <cell r="H1040" t="str">
            <v>Silao</v>
          </cell>
          <cell r="I1040">
            <v>30000</v>
          </cell>
          <cell r="J1040" t="str">
            <v>Multigrado</v>
          </cell>
          <cell r="K1040" t="str">
            <v>JITOMATAL</v>
          </cell>
          <cell r="L1040">
            <v>0</v>
          </cell>
          <cell r="M1040" t="str">
            <v>EL JITOMATAL</v>
          </cell>
          <cell r="T1040" t="e">
            <v>#REF!</v>
          </cell>
        </row>
        <row r="1041">
          <cell r="A1041" t="str">
            <v>LOS RODRIGUEZ</v>
          </cell>
          <cell r="B1041" t="str">
            <v>11DPR0363L</v>
          </cell>
          <cell r="C1041" t="str">
            <v>X</v>
          </cell>
          <cell r="E1041" t="str">
            <v>RICARDO FLORES MAGON</v>
          </cell>
          <cell r="F1041">
            <v>132</v>
          </cell>
          <cell r="G1041">
            <v>4</v>
          </cell>
          <cell r="H1041" t="str">
            <v>Silao</v>
          </cell>
          <cell r="I1041">
            <v>70000</v>
          </cell>
          <cell r="J1041" t="str">
            <v>Completa</v>
          </cell>
          <cell r="K1041" t="str">
            <v>LOS RODRIGUEZ</v>
          </cell>
          <cell r="L1041">
            <v>0</v>
          </cell>
          <cell r="M1041" t="str">
            <v>LOS RODRIGUEZ</v>
          </cell>
          <cell r="T1041" t="e">
            <v>#REF!</v>
          </cell>
        </row>
        <row r="1042">
          <cell r="A1042" t="str">
            <v>VETA DE RAMALES</v>
          </cell>
          <cell r="B1042" t="str">
            <v>11DJN4450R</v>
          </cell>
          <cell r="C1042" t="str">
            <v>X</v>
          </cell>
          <cell r="E1042" t="str">
            <v>ROSAURA ZAPATA CANO</v>
          </cell>
          <cell r="F1042">
            <v>31</v>
          </cell>
          <cell r="G1042">
            <v>15</v>
          </cell>
          <cell r="H1042" t="str">
            <v>Silao</v>
          </cell>
          <cell r="I1042">
            <v>30000</v>
          </cell>
          <cell r="J1042" t="str">
            <v>Multigrado</v>
          </cell>
          <cell r="K1042" t="str">
            <v>VETA DE RAMALES</v>
          </cell>
          <cell r="L1042">
            <v>0</v>
          </cell>
          <cell r="M1042" t="str">
            <v>VETA DE RAMALES</v>
          </cell>
          <cell r="T1042" t="e">
            <v>#REF!</v>
          </cell>
        </row>
        <row r="1043">
          <cell r="A1043" t="str">
            <v>MONTE DEL COECILLO</v>
          </cell>
          <cell r="B1043" t="str">
            <v>11DPR0354D</v>
          </cell>
          <cell r="C1043" t="str">
            <v>X</v>
          </cell>
          <cell r="E1043" t="str">
            <v>VICENTE GUERRERO</v>
          </cell>
          <cell r="F1043">
            <v>73</v>
          </cell>
          <cell r="G1043">
            <v>4</v>
          </cell>
          <cell r="H1043" t="str">
            <v>Silao</v>
          </cell>
          <cell r="I1043">
            <v>85000</v>
          </cell>
          <cell r="J1043" t="str">
            <v>Completa</v>
          </cell>
          <cell r="K1043" t="str">
            <v>MONTE DEL COECILLO</v>
          </cell>
          <cell r="L1043">
            <v>0</v>
          </cell>
          <cell r="M1043" t="str">
            <v>MONTE DEL COECILLO</v>
          </cell>
          <cell r="T1043" t="e">
            <v>#REF!</v>
          </cell>
        </row>
        <row r="1044">
          <cell r="A1044" t="str">
            <v>EJIDO NORIA DE SOPEÑA</v>
          </cell>
          <cell r="B1044" t="str">
            <v>11DPR1366P</v>
          </cell>
          <cell r="D1044" t="str">
            <v>X</v>
          </cell>
          <cell r="E1044" t="str">
            <v>BENITO JUAREZ</v>
          </cell>
          <cell r="F1044">
            <v>122</v>
          </cell>
          <cell r="G1044">
            <v>4</v>
          </cell>
          <cell r="H1044" t="str">
            <v>Silao</v>
          </cell>
          <cell r="I1044">
            <v>85000</v>
          </cell>
          <cell r="J1044" t="str">
            <v>Completa</v>
          </cell>
          <cell r="K1044" t="str">
            <v>NORIA DE SOPEÑA</v>
          </cell>
          <cell r="L1044">
            <v>0</v>
          </cell>
          <cell r="M1044" t="str">
            <v>EJIDO NORIA DE SOPEÑA</v>
          </cell>
          <cell r="T1044" t="e">
            <v>#REF!</v>
          </cell>
        </row>
        <row r="1045">
          <cell r="A1045" t="str">
            <v>SILAO</v>
          </cell>
          <cell r="B1045" t="str">
            <v>11DPR2228U</v>
          </cell>
          <cell r="C1045" t="str">
            <v>X</v>
          </cell>
          <cell r="E1045" t="str">
            <v>TENOCH</v>
          </cell>
          <cell r="F1045">
            <v>132</v>
          </cell>
          <cell r="G1045">
            <v>4</v>
          </cell>
          <cell r="H1045" t="str">
            <v>Silao</v>
          </cell>
          <cell r="I1045">
            <v>85000</v>
          </cell>
          <cell r="J1045" t="str">
            <v>Completa</v>
          </cell>
          <cell r="K1045" t="str">
            <v>LOS ANGELES</v>
          </cell>
          <cell r="L1045" t="str">
            <v>LOS ANGELES</v>
          </cell>
          <cell r="M1045" t="str">
            <v>SILAO</v>
          </cell>
          <cell r="T1045" t="e">
            <v>#REF!</v>
          </cell>
        </row>
        <row r="1046">
          <cell r="A1046" t="str">
            <v>COLONIA FRANCISCO JAVIER MINA</v>
          </cell>
          <cell r="B1046" t="str">
            <v>11DPR3666Z</v>
          </cell>
          <cell r="C1046" t="str">
            <v>X</v>
          </cell>
          <cell r="E1046" t="str">
            <v>ESCUELA PRIMARIA</v>
          </cell>
          <cell r="F1046">
            <v>122</v>
          </cell>
          <cell r="G1046">
            <v>4</v>
          </cell>
          <cell r="H1046" t="str">
            <v>Silao</v>
          </cell>
          <cell r="I1046">
            <v>85000</v>
          </cell>
          <cell r="J1046" t="str">
            <v>Completa</v>
          </cell>
          <cell r="K1046" t="str">
            <v>FRANCISCO JAVIER MINA</v>
          </cell>
          <cell r="L1046">
            <v>0</v>
          </cell>
          <cell r="M1046" t="str">
            <v>COLONIA FRANCISCO JAVIER MINA</v>
          </cell>
          <cell r="T1046" t="e">
            <v>#REF!</v>
          </cell>
        </row>
        <row r="1047">
          <cell r="A1047" t="str">
            <v>SILAO</v>
          </cell>
          <cell r="B1047" t="str">
            <v>11DPR3889I</v>
          </cell>
          <cell r="C1047" t="str">
            <v>X</v>
          </cell>
          <cell r="E1047" t="str">
            <v>DIEGO RIVERA</v>
          </cell>
          <cell r="F1047">
            <v>122</v>
          </cell>
          <cell r="G1047">
            <v>4</v>
          </cell>
          <cell r="H1047" t="str">
            <v>Silao</v>
          </cell>
          <cell r="I1047">
            <v>30000</v>
          </cell>
          <cell r="J1047" t="str">
            <v>Multigrado</v>
          </cell>
          <cell r="K1047" t="str">
            <v>NARDO NUM. 6</v>
          </cell>
          <cell r="L1047" t="str">
            <v>FRACCIONAMIENTO LA JOYITA</v>
          </cell>
          <cell r="M1047" t="str">
            <v>SILAO</v>
          </cell>
          <cell r="T1047" t="e">
            <v>#REF!</v>
          </cell>
        </row>
        <row r="1048">
          <cell r="A1048" t="str">
            <v>PROVIDENCIA DE NAPOLES</v>
          </cell>
          <cell r="B1048" t="str">
            <v>11DJN2353B</v>
          </cell>
          <cell r="C1048" t="str">
            <v>X</v>
          </cell>
          <cell r="E1048" t="str">
            <v>JOSE VASCONCELOS</v>
          </cell>
          <cell r="F1048">
            <v>72</v>
          </cell>
          <cell r="G1048">
            <v>15</v>
          </cell>
          <cell r="H1048" t="str">
            <v>Silao</v>
          </cell>
          <cell r="I1048">
            <v>25000</v>
          </cell>
          <cell r="J1048" t="str">
            <v>Multigrado</v>
          </cell>
          <cell r="K1048" t="str">
            <v>PROVIDENCIA DE NAPOLES</v>
          </cell>
          <cell r="L1048">
            <v>0</v>
          </cell>
          <cell r="M1048" t="str">
            <v>PROVIDENCIA DE NAPOLES</v>
          </cell>
          <cell r="T1048" t="e">
            <v>#REF!</v>
          </cell>
        </row>
        <row r="1049">
          <cell r="A1049" t="str">
            <v>SAN IGNACIO</v>
          </cell>
          <cell r="B1049" t="str">
            <v>11DJN2730N</v>
          </cell>
          <cell r="C1049" t="str">
            <v>X</v>
          </cell>
          <cell r="E1049" t="str">
            <v>NACIONES UNIDAS</v>
          </cell>
          <cell r="F1049">
            <v>72</v>
          </cell>
          <cell r="G1049">
            <v>15</v>
          </cell>
          <cell r="H1049" t="str">
            <v>Silao</v>
          </cell>
          <cell r="I1049">
            <v>25000</v>
          </cell>
          <cell r="J1049" t="str">
            <v>Multigrado</v>
          </cell>
          <cell r="K1049" t="str">
            <v>SAN IGNACIO</v>
          </cell>
          <cell r="L1049">
            <v>0</v>
          </cell>
          <cell r="M1049" t="str">
            <v>SAN IGNACIO</v>
          </cell>
          <cell r="T1049" t="e">
            <v>#REF!</v>
          </cell>
        </row>
        <row r="1050">
          <cell r="A1050" t="str">
            <v>COLONIAS NUEVO MEXICO</v>
          </cell>
          <cell r="B1050" t="str">
            <v>11DPR0368G</v>
          </cell>
          <cell r="D1050" t="str">
            <v>X</v>
          </cell>
          <cell r="E1050" t="str">
            <v>AMADO NERVO</v>
          </cell>
          <cell r="F1050">
            <v>3</v>
          </cell>
          <cell r="G1050">
            <v>4</v>
          </cell>
          <cell r="H1050" t="str">
            <v>Silao</v>
          </cell>
          <cell r="I1050">
            <v>85000</v>
          </cell>
          <cell r="J1050" t="str">
            <v>Completa</v>
          </cell>
          <cell r="K1050" t="str">
            <v>SAN MIGUEL DEL ARENAL</v>
          </cell>
          <cell r="L1050" t="str">
            <v>SAN MIGUEL DEL ARENAL</v>
          </cell>
          <cell r="M1050" t="str">
            <v>COLONIAS NUEVO MEXICO</v>
          </cell>
          <cell r="T1050" t="e">
            <v>#REF!</v>
          </cell>
        </row>
        <row r="1051">
          <cell r="A1051" t="str">
            <v>SILAO</v>
          </cell>
          <cell r="B1051" t="str">
            <v>11DPR0542X</v>
          </cell>
          <cell r="C1051" t="str">
            <v>X</v>
          </cell>
          <cell r="E1051" t="str">
            <v>LAZARO CARDENAS DEL RIO</v>
          </cell>
          <cell r="F1051">
            <v>122</v>
          </cell>
          <cell r="G1051">
            <v>4</v>
          </cell>
          <cell r="H1051" t="str">
            <v>Silao</v>
          </cell>
          <cell r="I1051">
            <v>80000</v>
          </cell>
          <cell r="J1051" t="str">
            <v>Completa</v>
          </cell>
          <cell r="K1051" t="str">
            <v>NARDO NUM. 6</v>
          </cell>
          <cell r="L1051" t="str">
            <v>FRACCIONAMIENTO LA JOYITA</v>
          </cell>
          <cell r="M1051" t="str">
            <v>SILAO</v>
          </cell>
          <cell r="T1051" t="e">
            <v>#REF!</v>
          </cell>
        </row>
        <row r="1052">
          <cell r="A1052" t="str">
            <v>EL SALITRILLO</v>
          </cell>
          <cell r="B1052" t="str">
            <v>11DJN0323U</v>
          </cell>
          <cell r="C1052" t="str">
            <v>X</v>
          </cell>
          <cell r="E1052" t="str">
            <v>MIGUEL F. MARTINEZ</v>
          </cell>
          <cell r="F1052">
            <v>72</v>
          </cell>
          <cell r="G1052">
            <v>15</v>
          </cell>
          <cell r="H1052" t="str">
            <v>Silao</v>
          </cell>
          <cell r="I1052">
            <v>30000</v>
          </cell>
          <cell r="J1052" t="str">
            <v>Multigrado</v>
          </cell>
          <cell r="K1052" t="str">
            <v>SALITRILLOS</v>
          </cell>
          <cell r="L1052">
            <v>0</v>
          </cell>
          <cell r="M1052" t="str">
            <v>EL SALITRILLO</v>
          </cell>
          <cell r="T1052" t="e">
            <v>#REF!</v>
          </cell>
        </row>
        <row r="1053">
          <cell r="A1053" t="str">
            <v>COLONIA EMILIANO ZAPATA (EL CERRITO)</v>
          </cell>
          <cell r="B1053" t="str">
            <v>11DJN1125A</v>
          </cell>
          <cell r="D1053" t="str">
            <v>X</v>
          </cell>
          <cell r="E1053" t="str">
            <v>VICENTE GUERRERO</v>
          </cell>
          <cell r="F1053">
            <v>20</v>
          </cell>
          <cell r="G1053">
            <v>15</v>
          </cell>
          <cell r="H1053" t="str">
            <v>Silao</v>
          </cell>
          <cell r="I1053">
            <v>30000</v>
          </cell>
          <cell r="J1053" t="str">
            <v>Multigrado</v>
          </cell>
          <cell r="K1053" t="str">
            <v>EMILIANO ZAPATA</v>
          </cell>
          <cell r="L1053">
            <v>0</v>
          </cell>
          <cell r="M1053" t="str">
            <v>COLONIA EMILIANO ZAPATA (EL CERRITO)</v>
          </cell>
          <cell r="T1053" t="e">
            <v>#REF!</v>
          </cell>
        </row>
        <row r="1054">
          <cell r="A1054" t="str">
            <v>SAN MARCOS</v>
          </cell>
          <cell r="B1054" t="str">
            <v>11DJN2998S</v>
          </cell>
          <cell r="C1054" t="str">
            <v>X</v>
          </cell>
          <cell r="E1054" t="str">
            <v>AMERICA</v>
          </cell>
          <cell r="F1054">
            <v>72</v>
          </cell>
          <cell r="G1054">
            <v>15</v>
          </cell>
          <cell r="H1054" t="str">
            <v>Silao</v>
          </cell>
          <cell r="I1054">
            <v>30000</v>
          </cell>
          <cell r="J1054" t="str">
            <v>Multigrado</v>
          </cell>
          <cell r="K1054" t="str">
            <v>SAN MARCOS</v>
          </cell>
          <cell r="L1054">
            <v>0</v>
          </cell>
          <cell r="M1054" t="str">
            <v>SAN MARCOS</v>
          </cell>
          <cell r="T1054" t="e">
            <v>#REF!</v>
          </cell>
        </row>
        <row r="1055">
          <cell r="A1055" t="str">
            <v>COLONIA VILLAS DE GUADALUPE</v>
          </cell>
          <cell r="B1055" t="str">
            <v>11DPR3357V</v>
          </cell>
          <cell r="C1055" t="str">
            <v>X</v>
          </cell>
          <cell r="E1055" t="str">
            <v>ESCUELA PRIMARIA</v>
          </cell>
          <cell r="F1055">
            <v>122</v>
          </cell>
          <cell r="G1055">
            <v>4</v>
          </cell>
          <cell r="H1055" t="str">
            <v>Silao</v>
          </cell>
          <cell r="I1055">
            <v>85000</v>
          </cell>
          <cell r="J1055" t="str">
            <v>Completa</v>
          </cell>
          <cell r="K1055" t="str">
            <v>VILLA DE GUADALUPE</v>
          </cell>
          <cell r="L1055" t="str">
            <v>VILLA DE GUADALUPE</v>
          </cell>
          <cell r="M1055" t="str">
            <v>COLONIA VILLAS DE GUADALUPE</v>
          </cell>
          <cell r="T1055" t="e">
            <v>#REF!</v>
          </cell>
        </row>
        <row r="1056">
          <cell r="A1056" t="str">
            <v>SOTELO (LAS PLAYAS DE SOTELO)</v>
          </cell>
          <cell r="B1056" t="str">
            <v>11DJN2883R</v>
          </cell>
          <cell r="C1056" t="str">
            <v>X</v>
          </cell>
          <cell r="E1056" t="str">
            <v>MARGARITA PAZ PAREDES</v>
          </cell>
          <cell r="F1056">
            <v>20</v>
          </cell>
          <cell r="G1056">
            <v>15</v>
          </cell>
          <cell r="H1056" t="str">
            <v>Silao</v>
          </cell>
          <cell r="I1056">
            <v>30000</v>
          </cell>
          <cell r="J1056" t="str">
            <v>Multigrado</v>
          </cell>
          <cell r="K1056" t="str">
            <v>PLAYAS DE SOTELO</v>
          </cell>
          <cell r="L1056">
            <v>0</v>
          </cell>
          <cell r="M1056" t="str">
            <v>SOTELO (LAS PLAYAS DE SOTELO)</v>
          </cell>
          <cell r="T1056" t="e">
            <v>#REF!</v>
          </cell>
        </row>
        <row r="1057">
          <cell r="A1057" t="str">
            <v>RANCHO SECO</v>
          </cell>
          <cell r="B1057" t="str">
            <v>11DPR0360O</v>
          </cell>
          <cell r="C1057" t="str">
            <v>X</v>
          </cell>
          <cell r="E1057" t="str">
            <v>FRANCISCO SARABIA</v>
          </cell>
          <cell r="F1057">
            <v>122</v>
          </cell>
          <cell r="G1057">
            <v>4</v>
          </cell>
          <cell r="H1057" t="str">
            <v>Silao</v>
          </cell>
          <cell r="I1057">
            <v>30000</v>
          </cell>
          <cell r="J1057" t="str">
            <v>Multigrado</v>
          </cell>
          <cell r="K1057" t="str">
            <v>RANCHO SECO S/N</v>
          </cell>
          <cell r="L1057">
            <v>0</v>
          </cell>
          <cell r="M1057" t="str">
            <v>RANCHO SECO</v>
          </cell>
          <cell r="T1057" t="e">
            <v>#REF!</v>
          </cell>
        </row>
        <row r="1058">
          <cell r="A1058" t="str">
            <v>LOZA DE BARRERA</v>
          </cell>
          <cell r="B1058" t="str">
            <v>11DPR1272A</v>
          </cell>
          <cell r="D1058" t="str">
            <v>X</v>
          </cell>
          <cell r="E1058" t="str">
            <v>LAZARO CARDENAS</v>
          </cell>
          <cell r="F1058">
            <v>3</v>
          </cell>
          <cell r="G1058">
            <v>4</v>
          </cell>
          <cell r="H1058" t="str">
            <v>Silao</v>
          </cell>
          <cell r="I1058">
            <v>85000</v>
          </cell>
          <cell r="J1058" t="str">
            <v>Completa</v>
          </cell>
          <cell r="K1058" t="str">
            <v>LOZA DE BARRERA</v>
          </cell>
          <cell r="L1058">
            <v>0</v>
          </cell>
          <cell r="M1058" t="str">
            <v>LOZA DE BARRERA</v>
          </cell>
          <cell r="T1058" t="e">
            <v>#REF!</v>
          </cell>
        </row>
        <row r="1059">
          <cell r="A1059" t="str">
            <v>EJIDO NORIA DE SOPEÑA</v>
          </cell>
          <cell r="B1059" t="str">
            <v>11DPR2544I</v>
          </cell>
          <cell r="C1059" t="str">
            <v>X</v>
          </cell>
          <cell r="E1059" t="str">
            <v>MARGARITA MAZA DE JUAREZ</v>
          </cell>
          <cell r="F1059">
            <v>122</v>
          </cell>
          <cell r="G1059">
            <v>4</v>
          </cell>
          <cell r="H1059" t="str">
            <v>Silao</v>
          </cell>
          <cell r="I1059">
            <v>85000</v>
          </cell>
          <cell r="J1059" t="str">
            <v>Completa</v>
          </cell>
          <cell r="K1059" t="str">
            <v>NORIA DE SOPEÑA</v>
          </cell>
          <cell r="L1059">
            <v>0</v>
          </cell>
          <cell r="M1059" t="str">
            <v>EJIDO NORIA DE SOPEÑA</v>
          </cell>
          <cell r="T1059" t="e">
            <v>#REF!</v>
          </cell>
        </row>
        <row r="1060">
          <cell r="A1060" t="str">
            <v>EL CAPULIN DE LA CUESTA (EL CAPULIN)</v>
          </cell>
          <cell r="B1060" t="str">
            <v>11DJN0248D</v>
          </cell>
          <cell r="C1060" t="str">
            <v>X</v>
          </cell>
          <cell r="E1060" t="str">
            <v>MANUEL M PONCE</v>
          </cell>
          <cell r="F1060">
            <v>72</v>
          </cell>
          <cell r="G1060">
            <v>15</v>
          </cell>
          <cell r="H1060" t="str">
            <v>Silao</v>
          </cell>
          <cell r="I1060">
            <v>30000</v>
          </cell>
          <cell r="J1060" t="str">
            <v>Multigrado</v>
          </cell>
          <cell r="K1060" t="str">
            <v>EL CAPULIN DE LA CUESTA</v>
          </cell>
          <cell r="L1060">
            <v>0</v>
          </cell>
          <cell r="M1060" t="str">
            <v>EL CAPULIN DE LA CUESTA (EL CAPULIN)</v>
          </cell>
          <cell r="T1060" t="e">
            <v>#REF!</v>
          </cell>
        </row>
        <row r="1061">
          <cell r="A1061" t="str">
            <v>SILAO</v>
          </cell>
          <cell r="B1061" t="str">
            <v>11DJN0317J</v>
          </cell>
          <cell r="C1061" t="str">
            <v>X</v>
          </cell>
          <cell r="E1061" t="str">
            <v>EVA SAMANO DE LOPEZ MATEOS</v>
          </cell>
          <cell r="F1061">
            <v>72</v>
          </cell>
          <cell r="G1061">
            <v>15</v>
          </cell>
          <cell r="H1061" t="str">
            <v>Silao</v>
          </cell>
          <cell r="I1061">
            <v>85000</v>
          </cell>
          <cell r="J1061" t="str">
            <v>Completa</v>
          </cell>
          <cell r="K1061" t="str">
            <v>AVENIDA REFORMA NUM. 1-A</v>
          </cell>
          <cell r="L1061" t="str">
            <v>FRACCIONAMIENTO REFORMA</v>
          </cell>
          <cell r="M1061" t="str">
            <v>SILAO</v>
          </cell>
          <cell r="T1061" t="e">
            <v>#REF!</v>
          </cell>
        </row>
        <row r="1062">
          <cell r="A1062" t="str">
            <v>SAN AGUSTIN DE LAS FLORES (SAN AGUSTIN)</v>
          </cell>
          <cell r="B1062" t="str">
            <v>11DJN0599H</v>
          </cell>
          <cell r="C1062" t="str">
            <v>X</v>
          </cell>
          <cell r="E1062" t="str">
            <v>GABINO BARREDA</v>
          </cell>
          <cell r="F1062">
            <v>72</v>
          </cell>
          <cell r="G1062">
            <v>15</v>
          </cell>
          <cell r="H1062" t="str">
            <v>Silao</v>
          </cell>
          <cell r="I1062">
            <v>30000</v>
          </cell>
          <cell r="J1062" t="str">
            <v>Multigrado</v>
          </cell>
          <cell r="K1062" t="str">
            <v>SAN AGUSTIN</v>
          </cell>
          <cell r="L1062">
            <v>0</v>
          </cell>
          <cell r="M1062" t="str">
            <v>SAN AGUSTIN DE LAS FLORES (SAN AGUSTIN)</v>
          </cell>
          <cell r="T1062" t="e">
            <v>#REF!</v>
          </cell>
        </row>
        <row r="1063">
          <cell r="A1063" t="str">
            <v>MEDRANOS</v>
          </cell>
          <cell r="B1063" t="str">
            <v>11DJN0602E</v>
          </cell>
          <cell r="C1063" t="str">
            <v>X</v>
          </cell>
          <cell r="E1063" t="str">
            <v>MARIA DEL CARMEN MILLAN</v>
          </cell>
          <cell r="F1063">
            <v>31</v>
          </cell>
          <cell r="G1063">
            <v>15</v>
          </cell>
          <cell r="H1063" t="str">
            <v>Silao</v>
          </cell>
          <cell r="I1063">
            <v>85000</v>
          </cell>
          <cell r="J1063" t="str">
            <v>Completa</v>
          </cell>
          <cell r="K1063" t="str">
            <v>MEDRANOS</v>
          </cell>
          <cell r="L1063">
            <v>0</v>
          </cell>
          <cell r="M1063" t="str">
            <v>MEDRANOS</v>
          </cell>
          <cell r="T1063" t="e">
            <v>#REF!</v>
          </cell>
        </row>
        <row r="1064">
          <cell r="A1064" t="str">
            <v>EL PARAISO</v>
          </cell>
          <cell r="B1064" t="str">
            <v>11DPR0357A</v>
          </cell>
          <cell r="C1064" t="str">
            <v>X</v>
          </cell>
          <cell r="E1064" t="str">
            <v>LEONA VICARIO</v>
          </cell>
          <cell r="F1064">
            <v>122</v>
          </cell>
          <cell r="G1064">
            <v>4</v>
          </cell>
          <cell r="H1064" t="str">
            <v>Silao</v>
          </cell>
          <cell r="I1064">
            <v>70000</v>
          </cell>
          <cell r="J1064" t="str">
            <v>Completa</v>
          </cell>
          <cell r="K1064" t="str">
            <v>PARAISO</v>
          </cell>
          <cell r="L1064">
            <v>0</v>
          </cell>
          <cell r="M1064" t="str">
            <v>EL PARAISO</v>
          </cell>
          <cell r="T1064" t="e">
            <v>#REF!</v>
          </cell>
        </row>
        <row r="1065">
          <cell r="A1065" t="str">
            <v>SILAO</v>
          </cell>
          <cell r="B1065" t="str">
            <v>11DPR0728B</v>
          </cell>
          <cell r="C1065" t="str">
            <v>X</v>
          </cell>
          <cell r="E1065" t="str">
            <v>LIC. ADOLFO LOPEZ MATEOS</v>
          </cell>
          <cell r="F1065">
            <v>29</v>
          </cell>
          <cell r="G1065">
            <v>4</v>
          </cell>
          <cell r="H1065" t="str">
            <v>Silao</v>
          </cell>
          <cell r="I1065">
            <v>85000</v>
          </cell>
          <cell r="J1065" t="str">
            <v>Completa</v>
          </cell>
          <cell r="K1065" t="str">
            <v>ADOLFO LOPEZ MATEOS S/N</v>
          </cell>
          <cell r="L1065">
            <v>0</v>
          </cell>
          <cell r="M1065" t="str">
            <v>SILAO</v>
          </cell>
          <cell r="T1065" t="e">
            <v>#REF!</v>
          </cell>
        </row>
        <row r="1066">
          <cell r="A1066" t="str">
            <v>BAÑOS DE AGUAS BUENAS</v>
          </cell>
          <cell r="B1066" t="str">
            <v>11DPR2741J</v>
          </cell>
          <cell r="C1066" t="str">
            <v>X</v>
          </cell>
          <cell r="E1066" t="str">
            <v>HEROES DE CHAPULTEPEC</v>
          </cell>
          <cell r="F1066">
            <v>122</v>
          </cell>
          <cell r="G1066">
            <v>4</v>
          </cell>
          <cell r="H1066" t="str">
            <v>Silao</v>
          </cell>
          <cell r="I1066">
            <v>25500</v>
          </cell>
          <cell r="J1066" t="str">
            <v>Multigrado</v>
          </cell>
          <cell r="K1066" t="str">
            <v>BAÑOS DE AGUAS BUENAS</v>
          </cell>
          <cell r="L1066">
            <v>0</v>
          </cell>
          <cell r="M1066" t="str">
            <v>BAÑOS DE AGUAS BUENAS</v>
          </cell>
          <cell r="T1066" t="e">
            <v>#REF!</v>
          </cell>
        </row>
        <row r="1067">
          <cell r="A1067" t="str">
            <v>SILAO</v>
          </cell>
          <cell r="B1067" t="str">
            <v>11DJN0622S</v>
          </cell>
          <cell r="C1067" t="str">
            <v>X</v>
          </cell>
          <cell r="E1067" t="str">
            <v>ELENA TORRES CUELLAR</v>
          </cell>
          <cell r="F1067">
            <v>72</v>
          </cell>
          <cell r="G1067">
            <v>15</v>
          </cell>
          <cell r="H1067" t="str">
            <v>Silao</v>
          </cell>
          <cell r="I1067">
            <v>85000</v>
          </cell>
          <cell r="J1067" t="str">
            <v>Completa</v>
          </cell>
          <cell r="K1067" t="str">
            <v>AQUILES SERDAN S/N</v>
          </cell>
          <cell r="L1067">
            <v>0</v>
          </cell>
          <cell r="M1067" t="str">
            <v>SILAO</v>
          </cell>
          <cell r="T1067" t="e">
            <v>#REF!</v>
          </cell>
        </row>
        <row r="1068">
          <cell r="A1068" t="str">
            <v>MEZQUITE DE SOTELO (PLAN DE SOTELO)</v>
          </cell>
          <cell r="B1068" t="str">
            <v>11DJN2797V</v>
          </cell>
          <cell r="C1068" t="str">
            <v>X</v>
          </cell>
          <cell r="E1068" t="str">
            <v>JARDIN DE NIÑOS</v>
          </cell>
          <cell r="F1068">
            <v>20</v>
          </cell>
          <cell r="G1068">
            <v>15</v>
          </cell>
          <cell r="H1068" t="str">
            <v>Silao</v>
          </cell>
          <cell r="I1068">
            <v>30000</v>
          </cell>
          <cell r="J1068" t="str">
            <v>Multigrado</v>
          </cell>
          <cell r="K1068" t="str">
            <v>MEZQUITE DE SOTELO</v>
          </cell>
          <cell r="L1068">
            <v>0</v>
          </cell>
          <cell r="M1068" t="str">
            <v>MEZQUITE DE SOTELO (PLAN DE SOTELO)</v>
          </cell>
          <cell r="T1068" t="e">
            <v>#REF!</v>
          </cell>
        </row>
        <row r="1069">
          <cell r="A1069" t="str">
            <v>SILAO</v>
          </cell>
          <cell r="B1069" t="str">
            <v>11DJN4063Z</v>
          </cell>
          <cell r="D1069" t="str">
            <v>X</v>
          </cell>
          <cell r="E1069" t="str">
            <v>LIC. DON JOSE NATIVIDAD MACIAS</v>
          </cell>
          <cell r="F1069">
            <v>20</v>
          </cell>
          <cell r="G1069">
            <v>15</v>
          </cell>
          <cell r="H1069" t="str">
            <v>Silao</v>
          </cell>
          <cell r="I1069">
            <v>85000</v>
          </cell>
          <cell r="J1069" t="str">
            <v>Completa</v>
          </cell>
          <cell r="K1069" t="str">
            <v>RIO HONDO S/N</v>
          </cell>
          <cell r="L1069">
            <v>0</v>
          </cell>
          <cell r="M1069" t="str">
            <v>SILAO</v>
          </cell>
          <cell r="T1069" t="e">
            <v>#REF!</v>
          </cell>
        </row>
        <row r="1070">
          <cell r="A1070" t="str">
            <v>FRANCO</v>
          </cell>
          <cell r="B1070" t="str">
            <v>11EPR0898V</v>
          </cell>
          <cell r="D1070" t="str">
            <v>X</v>
          </cell>
          <cell r="E1070" t="str">
            <v>GABRIELA MISTRAL</v>
          </cell>
          <cell r="F1070">
            <v>548</v>
          </cell>
          <cell r="G1070">
            <v>8</v>
          </cell>
          <cell r="H1070" t="str">
            <v>Silao</v>
          </cell>
          <cell r="I1070">
            <v>30000</v>
          </cell>
          <cell r="J1070" t="str">
            <v>Multigrado</v>
          </cell>
          <cell r="K1070" t="str">
            <v>FRANCO</v>
          </cell>
          <cell r="L1070">
            <v>0</v>
          </cell>
          <cell r="M1070" t="str">
            <v>FRANCO</v>
          </cell>
          <cell r="T1070" t="e">
            <v>#REF!</v>
          </cell>
        </row>
        <row r="1071">
          <cell r="A1071" t="str">
            <v>COECILLO</v>
          </cell>
          <cell r="B1071" t="str">
            <v>11DJN0324T</v>
          </cell>
          <cell r="D1071" t="str">
            <v>X</v>
          </cell>
          <cell r="E1071" t="str">
            <v>LAURO AGUIRRE</v>
          </cell>
          <cell r="F1071">
            <v>20</v>
          </cell>
          <cell r="G1071">
            <v>15</v>
          </cell>
          <cell r="H1071" t="str">
            <v>Silao</v>
          </cell>
          <cell r="I1071">
            <v>85000</v>
          </cell>
          <cell r="J1071" t="str">
            <v>Completa</v>
          </cell>
          <cell r="K1071" t="str">
            <v>ANTONIO FUNES S/N</v>
          </cell>
          <cell r="L1071">
            <v>0</v>
          </cell>
          <cell r="M1071" t="str">
            <v>COECILLO</v>
          </cell>
          <cell r="T1071" t="e">
            <v>#REF!</v>
          </cell>
        </row>
        <row r="1072">
          <cell r="A1072" t="str">
            <v>LOS CHARCOS</v>
          </cell>
          <cell r="B1072" t="str">
            <v>11DJN0605B</v>
          </cell>
          <cell r="C1072" t="str">
            <v>X</v>
          </cell>
          <cell r="E1072" t="str">
            <v>MICAELA HERNANDEZ</v>
          </cell>
          <cell r="F1072">
            <v>31</v>
          </cell>
          <cell r="G1072">
            <v>15</v>
          </cell>
          <cell r="H1072" t="str">
            <v>Silao</v>
          </cell>
          <cell r="I1072">
            <v>30000</v>
          </cell>
          <cell r="J1072" t="str">
            <v>Multigrado</v>
          </cell>
          <cell r="K1072" t="str">
            <v>SAN ANTONIO DE LOS CHARCOS</v>
          </cell>
          <cell r="L1072" t="str">
            <v>SAN ANTONIO DE LOS CHARCOS</v>
          </cell>
          <cell r="M1072" t="str">
            <v>LOS CHARCOS</v>
          </cell>
          <cell r="T1072" t="e">
            <v>#REF!</v>
          </cell>
        </row>
        <row r="1073">
          <cell r="A1073" t="str">
            <v>UNION DE SAN DIEGO (SAN DIEGUILLO)</v>
          </cell>
          <cell r="B1073" t="str">
            <v>11DJN0657H</v>
          </cell>
          <cell r="C1073" t="str">
            <v>X</v>
          </cell>
          <cell r="E1073" t="str">
            <v>ADOLFO LOPEZ MATEOS</v>
          </cell>
          <cell r="F1073">
            <v>31</v>
          </cell>
          <cell r="G1073">
            <v>15</v>
          </cell>
          <cell r="H1073" t="str">
            <v>Silao</v>
          </cell>
          <cell r="I1073">
            <v>30000</v>
          </cell>
          <cell r="J1073" t="str">
            <v>Multigrado</v>
          </cell>
          <cell r="K1073" t="str">
            <v>UNION DE SAN DIEGO</v>
          </cell>
          <cell r="L1073">
            <v>0</v>
          </cell>
          <cell r="M1073" t="str">
            <v>UNION DE SAN DIEGO (SAN DIEGUILLO)</v>
          </cell>
          <cell r="T1073" t="e">
            <v>#REF!</v>
          </cell>
        </row>
        <row r="1074">
          <cell r="A1074" t="str">
            <v>SAN BARTOLO</v>
          </cell>
          <cell r="B1074" t="str">
            <v>11DJN4356M</v>
          </cell>
          <cell r="D1074" t="str">
            <v>X</v>
          </cell>
          <cell r="E1074" t="str">
            <v>NIÑOS HEROES</v>
          </cell>
          <cell r="F1074">
            <v>31</v>
          </cell>
          <cell r="G1074">
            <v>15</v>
          </cell>
          <cell r="H1074" t="str">
            <v>Silao</v>
          </cell>
          <cell r="I1074">
            <v>30000</v>
          </cell>
          <cell r="J1074" t="str">
            <v>Multigrado</v>
          </cell>
          <cell r="K1074" t="str">
            <v>SAN BARTOLO</v>
          </cell>
          <cell r="L1074">
            <v>0</v>
          </cell>
          <cell r="M1074" t="str">
            <v>SAN BARTOLO</v>
          </cell>
          <cell r="T1074" t="e">
            <v>#REF!</v>
          </cell>
        </row>
        <row r="1075">
          <cell r="A1075" t="str">
            <v>LA ALDEA</v>
          </cell>
          <cell r="B1075" t="str">
            <v>11DPR1009A</v>
          </cell>
          <cell r="C1075" t="str">
            <v>X</v>
          </cell>
          <cell r="E1075" t="str">
            <v>MIGUEL HIDALGO Y COSTILLA</v>
          </cell>
          <cell r="F1075">
            <v>29</v>
          </cell>
          <cell r="G1075">
            <v>4</v>
          </cell>
          <cell r="H1075" t="str">
            <v>Silao</v>
          </cell>
          <cell r="I1075">
            <v>85000</v>
          </cell>
          <cell r="J1075" t="str">
            <v>Completa</v>
          </cell>
          <cell r="K1075" t="str">
            <v>LA ALDEA</v>
          </cell>
          <cell r="L1075">
            <v>0</v>
          </cell>
          <cell r="M1075" t="str">
            <v>LA ALDEA</v>
          </cell>
          <cell r="T1075" t="e">
            <v>#REF!</v>
          </cell>
        </row>
        <row r="1076">
          <cell r="A1076" t="str">
            <v>SILAO</v>
          </cell>
          <cell r="B1076" t="str">
            <v>11DPR1394L</v>
          </cell>
          <cell r="C1076" t="str">
            <v>X</v>
          </cell>
          <cell r="E1076" t="str">
            <v>LIC. LUIS I. RODRIGUEZ</v>
          </cell>
          <cell r="F1076">
            <v>73</v>
          </cell>
          <cell r="G1076">
            <v>4</v>
          </cell>
          <cell r="H1076" t="str">
            <v>Silao</v>
          </cell>
          <cell r="I1076">
            <v>75000</v>
          </cell>
          <cell r="J1076" t="str">
            <v>Completa</v>
          </cell>
          <cell r="K1076" t="str">
            <v>PINO SUAREZ NUM. 117</v>
          </cell>
          <cell r="L1076" t="str">
            <v>ZONA CENTRO</v>
          </cell>
          <cell r="M1076" t="str">
            <v>SILAO</v>
          </cell>
          <cell r="T1076" t="e">
            <v>#REF!</v>
          </cell>
        </row>
        <row r="1077">
          <cell r="A1077" t="str">
            <v>MEDIO SITIO</v>
          </cell>
          <cell r="B1077" t="str">
            <v>11DJN0600G</v>
          </cell>
          <cell r="C1077" t="str">
            <v>X</v>
          </cell>
          <cell r="E1077" t="str">
            <v>JAIME NUNO</v>
          </cell>
          <cell r="F1077">
            <v>31</v>
          </cell>
          <cell r="G1077">
            <v>15</v>
          </cell>
          <cell r="H1077" t="str">
            <v>Silao</v>
          </cell>
          <cell r="I1077">
            <v>30000</v>
          </cell>
          <cell r="J1077" t="str">
            <v>Multigrado</v>
          </cell>
          <cell r="K1077" t="str">
            <v>MEDIO SITIO</v>
          </cell>
          <cell r="L1077">
            <v>0</v>
          </cell>
          <cell r="M1077" t="str">
            <v>MEDIO SITIO</v>
          </cell>
          <cell r="T1077" t="e">
            <v>#REF!</v>
          </cell>
        </row>
        <row r="1078">
          <cell r="A1078" t="str">
            <v>SILAO</v>
          </cell>
          <cell r="B1078" t="str">
            <v>11DPR0334Q</v>
          </cell>
          <cell r="C1078" t="str">
            <v>X</v>
          </cell>
          <cell r="E1078" t="str">
            <v>NIÑOS HEROES</v>
          </cell>
          <cell r="F1078">
            <v>29</v>
          </cell>
          <cell r="G1078">
            <v>4</v>
          </cell>
          <cell r="H1078" t="str">
            <v>Silao</v>
          </cell>
          <cell r="I1078">
            <v>85000</v>
          </cell>
          <cell r="J1078" t="str">
            <v>Completa</v>
          </cell>
          <cell r="K1078" t="str">
            <v>HONDA S/N</v>
          </cell>
          <cell r="L1078" t="str">
            <v>ANAHUAC</v>
          </cell>
          <cell r="M1078" t="str">
            <v>SILAO</v>
          </cell>
          <cell r="T1078" t="e">
            <v>#REF!</v>
          </cell>
        </row>
        <row r="1079">
          <cell r="A1079" t="str">
            <v>FRANCO</v>
          </cell>
          <cell r="B1079" t="str">
            <v>11EJN0330C</v>
          </cell>
          <cell r="C1079" t="str">
            <v>X</v>
          </cell>
          <cell r="E1079" t="str">
            <v>LA MALINCHE</v>
          </cell>
          <cell r="F1079">
            <v>518</v>
          </cell>
          <cell r="G1079">
            <v>5</v>
          </cell>
          <cell r="H1079" t="str">
            <v>Silao</v>
          </cell>
          <cell r="I1079">
            <v>85000</v>
          </cell>
          <cell r="J1079" t="str">
            <v>Completa</v>
          </cell>
          <cell r="K1079" t="str">
            <v>FRANCO</v>
          </cell>
          <cell r="L1079">
            <v>0</v>
          </cell>
          <cell r="M1079" t="str">
            <v>FRANCO</v>
          </cell>
          <cell r="T1079" t="e">
            <v>#REF!</v>
          </cell>
        </row>
        <row r="1080">
          <cell r="A1080" t="str">
            <v>COLONIA VILLAS DE GUADALUPE</v>
          </cell>
          <cell r="B1080" t="str">
            <v>11DJN2843Q</v>
          </cell>
          <cell r="D1080" t="str">
            <v>X</v>
          </cell>
          <cell r="E1080" t="str">
            <v>SILAO DE LA VICTORIA</v>
          </cell>
          <cell r="F1080">
            <v>20</v>
          </cell>
          <cell r="G1080">
            <v>15</v>
          </cell>
          <cell r="H1080" t="str">
            <v>Silao</v>
          </cell>
          <cell r="I1080">
            <v>30000</v>
          </cell>
          <cell r="J1080" t="str">
            <v>Multigrado</v>
          </cell>
          <cell r="K1080" t="str">
            <v>VILLA DE GUADALUPE</v>
          </cell>
          <cell r="L1080" t="str">
            <v>VILLA DE GUADALUPE</v>
          </cell>
          <cell r="M1080" t="str">
            <v>COLONIA VILLAS DE GUADALUPE</v>
          </cell>
          <cell r="T1080" t="e">
            <v>#REF!</v>
          </cell>
        </row>
        <row r="1081">
          <cell r="A1081" t="str">
            <v>EL ESPEJO</v>
          </cell>
          <cell r="B1081" t="str">
            <v>11EJN0194P</v>
          </cell>
          <cell r="C1081" t="str">
            <v>X</v>
          </cell>
          <cell r="E1081" t="str">
            <v>IGNACIO MANUEL ALTAMIRANO</v>
          </cell>
          <cell r="F1081">
            <v>518</v>
          </cell>
          <cell r="G1081">
            <v>5</v>
          </cell>
          <cell r="H1081" t="str">
            <v>Silao</v>
          </cell>
          <cell r="I1081">
            <v>30000</v>
          </cell>
          <cell r="J1081" t="str">
            <v>Multigrado</v>
          </cell>
          <cell r="K1081" t="str">
            <v>EL ESPEJO</v>
          </cell>
          <cell r="L1081">
            <v>0</v>
          </cell>
          <cell r="M1081" t="str">
            <v>EL ESPEJO</v>
          </cell>
          <cell r="T1081" t="e">
            <v>#REF!</v>
          </cell>
        </row>
        <row r="1082">
          <cell r="A1082" t="str">
            <v>LUCERO DE RAMALES</v>
          </cell>
          <cell r="B1082" t="str">
            <v>11DJN0597J</v>
          </cell>
          <cell r="C1082" t="str">
            <v>X</v>
          </cell>
          <cell r="E1082" t="str">
            <v>JOSE MA PINO SUAREZ</v>
          </cell>
          <cell r="F1082">
            <v>31</v>
          </cell>
          <cell r="G1082">
            <v>15</v>
          </cell>
          <cell r="H1082" t="str">
            <v>Silao</v>
          </cell>
          <cell r="I1082">
            <v>30000</v>
          </cell>
          <cell r="J1082" t="str">
            <v>Multigrado</v>
          </cell>
          <cell r="K1082" t="str">
            <v>LUCERO DE RAMALES</v>
          </cell>
          <cell r="L1082">
            <v>0</v>
          </cell>
          <cell r="M1082" t="str">
            <v>LUCERO DE RAMALES</v>
          </cell>
          <cell r="T1082" t="e">
            <v>#REF!</v>
          </cell>
        </row>
        <row r="1083">
          <cell r="A1083" t="str">
            <v>SILAO</v>
          </cell>
          <cell r="B1083" t="str">
            <v>11DJN4064Y</v>
          </cell>
          <cell r="C1083" t="str">
            <v>X</v>
          </cell>
          <cell r="E1083" t="str">
            <v>ANTONIO ZUÑIGA</v>
          </cell>
          <cell r="F1083">
            <v>20</v>
          </cell>
          <cell r="G1083">
            <v>15</v>
          </cell>
          <cell r="H1083" t="str">
            <v>Silao</v>
          </cell>
          <cell r="I1083">
            <v>85000</v>
          </cell>
          <cell r="J1083" t="str">
            <v>Completa</v>
          </cell>
          <cell r="K1083" t="str">
            <v>JUVENTINO ROSAS S/N</v>
          </cell>
          <cell r="L1083">
            <v>0</v>
          </cell>
          <cell r="M1083" t="str">
            <v>SILAO</v>
          </cell>
          <cell r="T1083" t="e">
            <v>#REF!</v>
          </cell>
        </row>
        <row r="1084">
          <cell r="A1084" t="str">
            <v>SAN JOSE DE GRACIA</v>
          </cell>
          <cell r="B1084" t="str">
            <v>11DPR0366I</v>
          </cell>
          <cell r="C1084" t="str">
            <v>X</v>
          </cell>
          <cell r="E1084" t="str">
            <v>BENITO JUAREZ</v>
          </cell>
          <cell r="F1084">
            <v>29</v>
          </cell>
          <cell r="G1084">
            <v>4</v>
          </cell>
          <cell r="H1084" t="str">
            <v>Silao</v>
          </cell>
          <cell r="I1084">
            <v>85000</v>
          </cell>
          <cell r="J1084" t="str">
            <v>Completa</v>
          </cell>
          <cell r="K1084" t="str">
            <v>SAN JOSE DE GRACIA</v>
          </cell>
          <cell r="L1084">
            <v>0</v>
          </cell>
          <cell r="M1084" t="str">
            <v>SAN JOSE DE GRACIA</v>
          </cell>
          <cell r="T1084" t="e">
            <v>#REF!</v>
          </cell>
        </row>
        <row r="1085">
          <cell r="A1085" t="str">
            <v>TUNA MANSA</v>
          </cell>
          <cell r="B1085" t="str">
            <v>11DPR0373S</v>
          </cell>
          <cell r="D1085" t="str">
            <v>X</v>
          </cell>
          <cell r="E1085" t="str">
            <v>JOSEFA ORTIZ DE DOMINGUEZ</v>
          </cell>
          <cell r="F1085">
            <v>122</v>
          </cell>
          <cell r="G1085">
            <v>4</v>
          </cell>
          <cell r="H1085" t="str">
            <v>Silao</v>
          </cell>
          <cell r="I1085">
            <v>30000</v>
          </cell>
          <cell r="J1085" t="str">
            <v>Multigrado</v>
          </cell>
          <cell r="K1085" t="str">
            <v>TUNA MANSA</v>
          </cell>
          <cell r="L1085">
            <v>0</v>
          </cell>
          <cell r="M1085" t="str">
            <v>TUNA MANSA</v>
          </cell>
          <cell r="T1085" t="e">
            <v>#REF!</v>
          </cell>
        </row>
        <row r="1086">
          <cell r="A1086" t="str">
            <v>SILAO</v>
          </cell>
          <cell r="B1086" t="str">
            <v>11DPR3650Z</v>
          </cell>
          <cell r="C1086" t="str">
            <v>X</v>
          </cell>
          <cell r="E1086" t="str">
            <v>JOSE MA. LUIS MORA</v>
          </cell>
          <cell r="F1086">
            <v>29</v>
          </cell>
          <cell r="G1086">
            <v>4</v>
          </cell>
          <cell r="H1086" t="str">
            <v>Silao</v>
          </cell>
          <cell r="I1086">
            <v>85000</v>
          </cell>
          <cell r="J1086" t="str">
            <v>Completa</v>
          </cell>
          <cell r="K1086" t="str">
            <v>ADOLFO LOPEZ MATEOS S/N</v>
          </cell>
          <cell r="L1086">
            <v>0</v>
          </cell>
          <cell r="M1086" t="str">
            <v>SILAO</v>
          </cell>
          <cell r="T1086" t="e">
            <v>#REF!</v>
          </cell>
        </row>
        <row r="1087">
          <cell r="A1087" t="str">
            <v>SAN FRANCISCO PUERTA GRANDE</v>
          </cell>
          <cell r="B1087" t="str">
            <v>11DJN0604C</v>
          </cell>
          <cell r="C1087" t="str">
            <v>X</v>
          </cell>
          <cell r="E1087" t="str">
            <v>FRANCISCO JAVIER MINA</v>
          </cell>
          <cell r="F1087">
            <v>31</v>
          </cell>
          <cell r="G1087">
            <v>15</v>
          </cell>
          <cell r="H1087" t="str">
            <v>Silao</v>
          </cell>
          <cell r="I1087">
            <v>30000</v>
          </cell>
          <cell r="J1087" t="str">
            <v>Multigrado</v>
          </cell>
          <cell r="K1087" t="str">
            <v>PUERTA GRANDE</v>
          </cell>
          <cell r="L1087">
            <v>0</v>
          </cell>
          <cell r="M1087" t="str">
            <v>SAN FRANCISCO PUERTA GRANDE</v>
          </cell>
          <cell r="T1087" t="e">
            <v>#REF!</v>
          </cell>
        </row>
        <row r="1088">
          <cell r="A1088" t="str">
            <v>CERRITOS</v>
          </cell>
          <cell r="B1088" t="str">
            <v>11DJN0620U</v>
          </cell>
          <cell r="D1088" t="str">
            <v>X</v>
          </cell>
          <cell r="E1088" t="str">
            <v>JOAQUIN FERNANDEZ DE LIZARDI</v>
          </cell>
          <cell r="F1088">
            <v>31</v>
          </cell>
          <cell r="G1088">
            <v>15</v>
          </cell>
          <cell r="H1088" t="str">
            <v>Silao</v>
          </cell>
          <cell r="I1088">
            <v>30000</v>
          </cell>
          <cell r="J1088" t="str">
            <v>Multigrado</v>
          </cell>
          <cell r="K1088" t="str">
            <v>CERRITOS</v>
          </cell>
          <cell r="L1088">
            <v>0</v>
          </cell>
          <cell r="M1088" t="str">
            <v>CERRITOS</v>
          </cell>
          <cell r="T1088" t="e">
            <v>#REF!</v>
          </cell>
        </row>
        <row r="1089">
          <cell r="A1089" t="str">
            <v>SAN FRANCISCO PUERTA GRANDE</v>
          </cell>
          <cell r="B1089" t="str">
            <v>11DPR0564I</v>
          </cell>
          <cell r="C1089" t="str">
            <v>X</v>
          </cell>
          <cell r="E1089" t="str">
            <v>ANTONIO J. ZUNIGA</v>
          </cell>
          <cell r="F1089">
            <v>29</v>
          </cell>
          <cell r="G1089">
            <v>4</v>
          </cell>
          <cell r="H1089" t="str">
            <v>Silao</v>
          </cell>
          <cell r="I1089">
            <v>85000</v>
          </cell>
          <cell r="J1089" t="str">
            <v>Completa</v>
          </cell>
          <cell r="K1089" t="str">
            <v>PUERTA GRANDE</v>
          </cell>
          <cell r="L1089">
            <v>0</v>
          </cell>
          <cell r="M1089" t="str">
            <v>SAN FRANCISCO PUERTA GRANDE</v>
          </cell>
          <cell r="T1089" t="e">
            <v>#REF!</v>
          </cell>
        </row>
        <row r="1090">
          <cell r="A1090" t="str">
            <v>EL CERRITO</v>
          </cell>
          <cell r="B1090" t="str">
            <v>11DPR3649J</v>
          </cell>
          <cell r="C1090" t="str">
            <v>X</v>
          </cell>
          <cell r="E1090" t="str">
            <v>JOSE RIVAS NARVAEZ</v>
          </cell>
          <cell r="F1090">
            <v>29</v>
          </cell>
          <cell r="G1090">
            <v>4</v>
          </cell>
          <cell r="H1090" t="str">
            <v>Silao</v>
          </cell>
          <cell r="I1090">
            <v>30000</v>
          </cell>
          <cell r="J1090" t="str">
            <v>Multigrado</v>
          </cell>
          <cell r="K1090" t="str">
            <v>EL CERRITO</v>
          </cell>
          <cell r="L1090">
            <v>0</v>
          </cell>
          <cell r="M1090" t="str">
            <v>EL CERRITO</v>
          </cell>
          <cell r="T1090" t="e">
            <v>#REF!</v>
          </cell>
        </row>
        <row r="1091">
          <cell r="A1091" t="str">
            <v>EX-HACIENDA DE TREJO (TREJO)</v>
          </cell>
          <cell r="B1091" t="str">
            <v>11DPR0371U</v>
          </cell>
          <cell r="C1091" t="str">
            <v>X</v>
          </cell>
          <cell r="E1091" t="str">
            <v>BENITO JUAREZ</v>
          </cell>
          <cell r="F1091">
            <v>29</v>
          </cell>
          <cell r="G1091">
            <v>4</v>
          </cell>
          <cell r="H1091" t="str">
            <v>Silao</v>
          </cell>
          <cell r="I1091">
            <v>85000</v>
          </cell>
          <cell r="J1091" t="str">
            <v>Completa</v>
          </cell>
          <cell r="K1091" t="str">
            <v>TREJO</v>
          </cell>
          <cell r="L1091">
            <v>0</v>
          </cell>
          <cell r="M1091" t="str">
            <v>EX-HACIENDA DE TREJO (TREJO)</v>
          </cell>
          <cell r="T1091" t="e">
            <v>#REF!</v>
          </cell>
        </row>
        <row r="1092">
          <cell r="A1092" t="str">
            <v>LA ALDEA</v>
          </cell>
          <cell r="B1092" t="str">
            <v>11DJN4151T</v>
          </cell>
          <cell r="D1092" t="str">
            <v>X</v>
          </cell>
          <cell r="E1092" t="str">
            <v>21 DE ABRIL</v>
          </cell>
          <cell r="F1092">
            <v>31</v>
          </cell>
          <cell r="G1092">
            <v>15</v>
          </cell>
          <cell r="H1092" t="str">
            <v>Silao</v>
          </cell>
          <cell r="I1092">
            <v>20000</v>
          </cell>
          <cell r="J1092" t="str">
            <v>Multigrado</v>
          </cell>
          <cell r="K1092" t="str">
            <v>LA ALDEA</v>
          </cell>
          <cell r="L1092">
            <v>0</v>
          </cell>
          <cell r="M1092" t="str">
            <v>LA ALDEA</v>
          </cell>
          <cell r="T1092" t="e">
            <v>#REF!</v>
          </cell>
        </row>
        <row r="1093">
          <cell r="A1093" t="str">
            <v>AGUAS BUENAS</v>
          </cell>
          <cell r="B1093" t="str">
            <v>11DPR0339L</v>
          </cell>
          <cell r="C1093" t="str">
            <v>X</v>
          </cell>
          <cell r="E1093" t="str">
            <v>CONSTITUCION</v>
          </cell>
          <cell r="F1093">
            <v>122</v>
          </cell>
          <cell r="G1093">
            <v>4</v>
          </cell>
          <cell r="H1093" t="str">
            <v>Silao</v>
          </cell>
          <cell r="I1093">
            <v>85000</v>
          </cell>
          <cell r="J1093" t="str">
            <v>Completa</v>
          </cell>
          <cell r="K1093" t="str">
            <v>AGUAS BUENAS</v>
          </cell>
          <cell r="L1093">
            <v>0</v>
          </cell>
          <cell r="M1093" t="str">
            <v>AGUAS BUENAS</v>
          </cell>
          <cell r="T1093" t="e">
            <v>#REF!</v>
          </cell>
        </row>
        <row r="1094">
          <cell r="A1094" t="str">
            <v>CHICHIMEQUILLAS</v>
          </cell>
          <cell r="B1094" t="str">
            <v>11DPR2219M</v>
          </cell>
          <cell r="C1094" t="str">
            <v>X</v>
          </cell>
          <cell r="E1094" t="str">
            <v>VENUSTIANO CARRANZA</v>
          </cell>
          <cell r="F1094">
            <v>122</v>
          </cell>
          <cell r="G1094">
            <v>4</v>
          </cell>
          <cell r="H1094" t="str">
            <v>Silao</v>
          </cell>
          <cell r="I1094">
            <v>85000</v>
          </cell>
          <cell r="J1094" t="str">
            <v>Completa</v>
          </cell>
          <cell r="K1094" t="str">
            <v>CHICHIMEQUILLAS</v>
          </cell>
          <cell r="L1094">
            <v>0</v>
          </cell>
          <cell r="M1094" t="str">
            <v>CHICHIMEQUILLAS</v>
          </cell>
          <cell r="T1094" t="e">
            <v>#REF!</v>
          </cell>
        </row>
        <row r="1095">
          <cell r="A1095" t="str">
            <v>MEDRANOS</v>
          </cell>
          <cell r="B1095" t="str">
            <v>11DPR0353E</v>
          </cell>
          <cell r="C1095" t="str">
            <v>X</v>
          </cell>
          <cell r="E1095" t="str">
            <v>JOSE CAMACHO GUERRERO</v>
          </cell>
          <cell r="F1095">
            <v>29</v>
          </cell>
          <cell r="G1095">
            <v>4</v>
          </cell>
          <cell r="H1095" t="str">
            <v>Silao</v>
          </cell>
          <cell r="I1095">
            <v>85000</v>
          </cell>
          <cell r="J1095" t="str">
            <v>Completa</v>
          </cell>
          <cell r="K1095" t="str">
            <v>MEDRANOS</v>
          </cell>
          <cell r="L1095">
            <v>0</v>
          </cell>
          <cell r="M1095" t="str">
            <v>MEDRANOS</v>
          </cell>
          <cell r="T1095" t="e">
            <v>#REF!</v>
          </cell>
        </row>
        <row r="1096">
          <cell r="A1096" t="str">
            <v>SAN FRANCISCO (BAÑOS DE AGUA CALIENTE)</v>
          </cell>
          <cell r="B1096" t="str">
            <v>11DJN0318I</v>
          </cell>
          <cell r="C1096" t="str">
            <v>X</v>
          </cell>
          <cell r="E1096" t="str">
            <v>ENRIQUE C REBSAMEN</v>
          </cell>
          <cell r="F1096">
            <v>20</v>
          </cell>
          <cell r="G1096">
            <v>15</v>
          </cell>
          <cell r="H1096" t="str">
            <v>Silao</v>
          </cell>
          <cell r="I1096">
            <v>85000</v>
          </cell>
          <cell r="J1096" t="str">
            <v>Completa</v>
          </cell>
          <cell r="K1096" t="str">
            <v>BAÑOS DE AGUA CALIENTE</v>
          </cell>
          <cell r="L1096">
            <v>0</v>
          </cell>
          <cell r="M1096" t="str">
            <v>SAN FRANCISCO (BAÑOS DE AGUA CALIENTE)</v>
          </cell>
          <cell r="T1096" t="e">
            <v>#REF!</v>
          </cell>
        </row>
        <row r="1097">
          <cell r="A1097" t="str">
            <v>LOZA DE BARRERA</v>
          </cell>
          <cell r="B1097" t="str">
            <v>11DJN0623R</v>
          </cell>
          <cell r="D1097" t="str">
            <v>X</v>
          </cell>
          <cell r="E1097" t="str">
            <v>LAZARO CARDENAS</v>
          </cell>
          <cell r="F1097">
            <v>20</v>
          </cell>
          <cell r="G1097">
            <v>15</v>
          </cell>
          <cell r="H1097" t="str">
            <v>Silao</v>
          </cell>
          <cell r="I1097">
            <v>30000</v>
          </cell>
          <cell r="J1097" t="str">
            <v>Multigrado</v>
          </cell>
          <cell r="K1097" t="str">
            <v>LOZA DE BARRERA</v>
          </cell>
          <cell r="L1097">
            <v>0</v>
          </cell>
          <cell r="M1097" t="str">
            <v>LOZA DE BARRERA</v>
          </cell>
          <cell r="T1097" t="e">
            <v>#REF!</v>
          </cell>
        </row>
        <row r="1098">
          <cell r="A1098" t="str">
            <v>LAS TROJES (TROJAS)</v>
          </cell>
          <cell r="B1098" t="str">
            <v>11DPR0372T</v>
          </cell>
          <cell r="C1098" t="str">
            <v>X</v>
          </cell>
          <cell r="E1098" t="str">
            <v>HERMENEGILDO GALEANA</v>
          </cell>
          <cell r="F1098">
            <v>29</v>
          </cell>
          <cell r="G1098">
            <v>4</v>
          </cell>
          <cell r="H1098" t="str">
            <v>Silao</v>
          </cell>
          <cell r="I1098">
            <v>30000</v>
          </cell>
          <cell r="J1098" t="str">
            <v>Multigrado</v>
          </cell>
          <cell r="K1098" t="str">
            <v>TROJES</v>
          </cell>
          <cell r="L1098">
            <v>0</v>
          </cell>
          <cell r="M1098" t="str">
            <v>LAS TROJES (TROJAS)</v>
          </cell>
          <cell r="T1098" t="e">
            <v>#REF!</v>
          </cell>
        </row>
        <row r="1099">
          <cell r="A1099" t="str">
            <v>MONTE DEL COECILLO</v>
          </cell>
          <cell r="B1099" t="str">
            <v>11DJN0606A</v>
          </cell>
          <cell r="D1099" t="str">
            <v>X</v>
          </cell>
          <cell r="E1099" t="str">
            <v>JOSE ROSAS MORENO</v>
          </cell>
          <cell r="F1099">
            <v>20</v>
          </cell>
          <cell r="G1099">
            <v>15</v>
          </cell>
          <cell r="H1099" t="str">
            <v>Silao</v>
          </cell>
          <cell r="I1099">
            <v>30000</v>
          </cell>
          <cell r="J1099" t="str">
            <v>Multigrado</v>
          </cell>
          <cell r="K1099" t="str">
            <v>MONTE DEL COECILLO</v>
          </cell>
          <cell r="L1099">
            <v>0</v>
          </cell>
          <cell r="M1099" t="str">
            <v>MONTE DEL COECILLO</v>
          </cell>
          <cell r="T1099" t="e">
            <v>#REF!</v>
          </cell>
        </row>
        <row r="1100">
          <cell r="A1100" t="str">
            <v>MARAVILLAS DE LAS VICTORIAS (MARAVILLAS)</v>
          </cell>
          <cell r="B1100" t="str">
            <v>11DJN2510B</v>
          </cell>
          <cell r="D1100" t="str">
            <v>X</v>
          </cell>
          <cell r="E1100" t="str">
            <v>CARLOS PELLICER</v>
          </cell>
          <cell r="F1100">
            <v>31</v>
          </cell>
          <cell r="G1100">
            <v>15</v>
          </cell>
          <cell r="H1100" t="str">
            <v>Silao</v>
          </cell>
          <cell r="I1100">
            <v>30000</v>
          </cell>
          <cell r="J1100" t="str">
            <v>Multigrado</v>
          </cell>
          <cell r="K1100" t="str">
            <v>MARAVILLAS</v>
          </cell>
          <cell r="L1100">
            <v>0</v>
          </cell>
          <cell r="M1100" t="str">
            <v>MARAVILLAS DE LAS VICTORIAS (MARAVILLAS)</v>
          </cell>
          <cell r="T1100" t="e">
            <v>#REF!</v>
          </cell>
        </row>
        <row r="1101">
          <cell r="A1101" t="str">
            <v>SAN JOSE DE GRACIA</v>
          </cell>
          <cell r="B1101" t="str">
            <v>11DPR3370P</v>
          </cell>
          <cell r="C1101" t="str">
            <v>X</v>
          </cell>
          <cell r="E1101" t="str">
            <v>DIEGO RIVERA</v>
          </cell>
          <cell r="F1101">
            <v>29</v>
          </cell>
          <cell r="G1101">
            <v>4</v>
          </cell>
          <cell r="H1101" t="str">
            <v>Silao</v>
          </cell>
          <cell r="I1101">
            <v>30000</v>
          </cell>
          <cell r="J1101" t="str">
            <v>Multigrado</v>
          </cell>
          <cell r="K1101" t="str">
            <v>SAN JOSE DE GRACIA</v>
          </cell>
          <cell r="L1101">
            <v>0</v>
          </cell>
          <cell r="M1101" t="str">
            <v>SAN JOSE DE GRACIA</v>
          </cell>
          <cell r="T1101" t="e">
            <v>#REF!</v>
          </cell>
        </row>
        <row r="1102">
          <cell r="A1102" t="str">
            <v>EJIDO EL PARAISO (EL COYOTE)</v>
          </cell>
          <cell r="B1102" t="str">
            <v>11EJN0283I</v>
          </cell>
          <cell r="C1102" t="str">
            <v>X</v>
          </cell>
          <cell r="E1102" t="str">
            <v>MARGARITA MAZA DE JUAREZ</v>
          </cell>
          <cell r="F1102">
            <v>518</v>
          </cell>
          <cell r="G1102">
            <v>5</v>
          </cell>
          <cell r="H1102" t="str">
            <v>Silao</v>
          </cell>
          <cell r="I1102">
            <v>25000</v>
          </cell>
          <cell r="J1102" t="str">
            <v>Multigrado</v>
          </cell>
          <cell r="K1102" t="str">
            <v>EL COYOTE</v>
          </cell>
          <cell r="L1102">
            <v>0</v>
          </cell>
          <cell r="M1102" t="str">
            <v>EJIDO EL PARAISO (EL COYOTE)</v>
          </cell>
          <cell r="T1102" t="e">
            <v>#REF!</v>
          </cell>
        </row>
        <row r="1103">
          <cell r="A1103" t="str">
            <v>SAN ANDRES DE LA BARAÑA</v>
          </cell>
          <cell r="B1103" t="str">
            <v>11DJN2507O</v>
          </cell>
          <cell r="C1103" t="str">
            <v>X</v>
          </cell>
          <cell r="E1103" t="str">
            <v>ROSARIO CASTELLANOS</v>
          </cell>
          <cell r="F1103">
            <v>31</v>
          </cell>
          <cell r="G1103">
            <v>15</v>
          </cell>
          <cell r="H1103" t="str">
            <v>Silao</v>
          </cell>
          <cell r="I1103">
            <v>30000</v>
          </cell>
          <cell r="J1103" t="str">
            <v>Multigrado</v>
          </cell>
          <cell r="K1103" t="str">
            <v>SAN ANDRES DE LA BARAÑA</v>
          </cell>
          <cell r="L1103">
            <v>0</v>
          </cell>
          <cell r="M1103" t="str">
            <v>SAN ANDRES DE LA BARAÑA</v>
          </cell>
          <cell r="T1103" t="e">
            <v>#REF!</v>
          </cell>
        </row>
        <row r="1104">
          <cell r="A1104" t="str">
            <v>UNION DE SAN DIEGO (SAN DIEGUILLO)</v>
          </cell>
          <cell r="B1104" t="str">
            <v>11DPR0374R</v>
          </cell>
          <cell r="C1104" t="str">
            <v>X</v>
          </cell>
          <cell r="E1104" t="str">
            <v>RICARDO FLORES MAGON</v>
          </cell>
          <cell r="F1104">
            <v>29</v>
          </cell>
          <cell r="G1104">
            <v>4</v>
          </cell>
          <cell r="H1104" t="str">
            <v>Silao</v>
          </cell>
          <cell r="I1104">
            <v>30000</v>
          </cell>
          <cell r="J1104" t="str">
            <v>Multigrado</v>
          </cell>
          <cell r="K1104" t="str">
            <v>UNION DE SAN DIEGO</v>
          </cell>
          <cell r="L1104">
            <v>0</v>
          </cell>
          <cell r="M1104" t="str">
            <v>UNION DE SAN DIEGO (SAN DIEGUILLO)</v>
          </cell>
          <cell r="T1104" t="e">
            <v>#REF!</v>
          </cell>
        </row>
        <row r="1105">
          <cell r="A1105" t="str">
            <v>PABILEROS</v>
          </cell>
          <cell r="B1105" t="str">
            <v>11EJN0236Y</v>
          </cell>
          <cell r="C1105" t="str">
            <v>X</v>
          </cell>
          <cell r="E1105" t="str">
            <v>JEAN PIAGET</v>
          </cell>
          <cell r="F1105">
            <v>518</v>
          </cell>
          <cell r="G1105">
            <v>5</v>
          </cell>
          <cell r="H1105" t="str">
            <v>Silao</v>
          </cell>
          <cell r="I1105">
            <v>30000</v>
          </cell>
          <cell r="J1105" t="str">
            <v>Multigrado</v>
          </cell>
          <cell r="K1105" t="str">
            <v>PABILEROS</v>
          </cell>
          <cell r="L1105">
            <v>0</v>
          </cell>
          <cell r="M1105" t="str">
            <v>PABILEROS</v>
          </cell>
          <cell r="T1105" t="e">
            <v>#REF!</v>
          </cell>
        </row>
        <row r="1106">
          <cell r="A1106" t="str">
            <v>SAN JUAN DE LOS DURAN</v>
          </cell>
          <cell r="B1106" t="str">
            <v>11DPR0367H</v>
          </cell>
          <cell r="C1106" t="str">
            <v>X</v>
          </cell>
          <cell r="E1106" t="str">
            <v>VENUSTIANO CARRANZA</v>
          </cell>
          <cell r="F1106">
            <v>29</v>
          </cell>
          <cell r="G1106">
            <v>4</v>
          </cell>
          <cell r="H1106" t="str">
            <v>Silao</v>
          </cell>
          <cell r="I1106">
            <v>30000</v>
          </cell>
          <cell r="J1106" t="str">
            <v>Multigrado</v>
          </cell>
          <cell r="K1106" t="str">
            <v>SAN JUAN</v>
          </cell>
          <cell r="L1106">
            <v>0</v>
          </cell>
          <cell r="M1106" t="str">
            <v>SAN JUAN DE LOS DURAN</v>
          </cell>
          <cell r="T1106" t="e">
            <v>#REF!</v>
          </cell>
        </row>
        <row r="1107">
          <cell r="A1107" t="str">
            <v>LOS CHARCOS</v>
          </cell>
          <cell r="B1107" t="str">
            <v>11DPR0562K</v>
          </cell>
          <cell r="C1107" t="str">
            <v>X</v>
          </cell>
          <cell r="E1107" t="str">
            <v>JUSTO SIERRA</v>
          </cell>
          <cell r="F1107">
            <v>29</v>
          </cell>
          <cell r="G1107">
            <v>4</v>
          </cell>
          <cell r="H1107" t="str">
            <v>Silao</v>
          </cell>
          <cell r="I1107">
            <v>85000</v>
          </cell>
          <cell r="J1107" t="str">
            <v>Completa</v>
          </cell>
          <cell r="K1107" t="str">
            <v>SAN ANTONIO DE LOS CHARCOS</v>
          </cell>
          <cell r="L1107" t="str">
            <v>SAN ANTONIO DE LOS CHARCOS</v>
          </cell>
          <cell r="M1107" t="str">
            <v>LOS CHARCOS</v>
          </cell>
          <cell r="T1107" t="e">
            <v>#REF!</v>
          </cell>
        </row>
        <row r="1108">
          <cell r="A1108" t="str">
            <v>SANTA ANITA</v>
          </cell>
          <cell r="B1108" t="str">
            <v>11DPR0369F</v>
          </cell>
          <cell r="C1108" t="str">
            <v>X</v>
          </cell>
          <cell r="E1108" t="str">
            <v>FRANCISCO I. MADERO</v>
          </cell>
          <cell r="F1108">
            <v>29</v>
          </cell>
          <cell r="G1108">
            <v>4</v>
          </cell>
          <cell r="H1108" t="str">
            <v>Silao</v>
          </cell>
          <cell r="I1108">
            <v>30000</v>
          </cell>
          <cell r="J1108" t="str">
            <v>Multigrado</v>
          </cell>
          <cell r="K1108" t="str">
            <v>SANTA ANITA</v>
          </cell>
          <cell r="L1108">
            <v>0</v>
          </cell>
          <cell r="M1108" t="str">
            <v>SANTA ANITA</v>
          </cell>
          <cell r="T1108" t="e">
            <v>#REF!</v>
          </cell>
        </row>
        <row r="1109">
          <cell r="A1109" t="str">
            <v>UNION DE TRES MEZQUITES (EL GUAJOLOTE)</v>
          </cell>
          <cell r="B1109" t="str">
            <v>11DPR0375Q</v>
          </cell>
          <cell r="C1109" t="str">
            <v>X</v>
          </cell>
          <cell r="E1109" t="str">
            <v>DAMIAN CARMONA</v>
          </cell>
          <cell r="F1109">
            <v>29</v>
          </cell>
          <cell r="G1109">
            <v>4</v>
          </cell>
          <cell r="H1109" t="str">
            <v>Silao</v>
          </cell>
          <cell r="I1109">
            <v>30000</v>
          </cell>
          <cell r="J1109" t="str">
            <v>Multigrado</v>
          </cell>
          <cell r="K1109" t="str">
            <v>UNION DE TRES MEZQUITES</v>
          </cell>
          <cell r="L1109">
            <v>0</v>
          </cell>
          <cell r="M1109" t="str">
            <v>UNION DE TRES MEZQUITES (EL GUAJOLOTE)</v>
          </cell>
          <cell r="T1109" t="e">
            <v>#REF!</v>
          </cell>
        </row>
        <row r="1110">
          <cell r="A1110" t="str">
            <v>EL REFUGIO DE LOS SAUCES</v>
          </cell>
          <cell r="B1110" t="str">
            <v>11DJN2474N</v>
          </cell>
          <cell r="C1110" t="str">
            <v>X</v>
          </cell>
          <cell r="E1110" t="str">
            <v>ERASMO CASTELLANOS QUINTO</v>
          </cell>
          <cell r="F1110">
            <v>20</v>
          </cell>
          <cell r="G1110">
            <v>15</v>
          </cell>
          <cell r="H1110" t="str">
            <v>Silao</v>
          </cell>
          <cell r="I1110">
            <v>85000</v>
          </cell>
          <cell r="J1110" t="str">
            <v>Completa</v>
          </cell>
          <cell r="K1110" t="str">
            <v>EL REFUGIO DE LOS SAUCES</v>
          </cell>
          <cell r="L1110">
            <v>0</v>
          </cell>
          <cell r="M1110" t="str">
            <v>EL REFUGIO DE LOS SAUCES</v>
          </cell>
          <cell r="T1110" t="e">
            <v>#REF!</v>
          </cell>
        </row>
        <row r="1111">
          <cell r="A1111" t="str">
            <v>SAN RAMON DE GALLEGOS</v>
          </cell>
          <cell r="B1111" t="str">
            <v>11DJN1121E</v>
          </cell>
          <cell r="C1111" t="str">
            <v>X</v>
          </cell>
          <cell r="E1111" t="str">
            <v>24 DE FEBRERO</v>
          </cell>
          <cell r="F1111">
            <v>31</v>
          </cell>
          <cell r="G1111">
            <v>15</v>
          </cell>
          <cell r="H1111" t="str">
            <v>Silao</v>
          </cell>
          <cell r="I1111">
            <v>30000</v>
          </cell>
          <cell r="J1111" t="str">
            <v>Multigrado</v>
          </cell>
          <cell r="K1111" t="str">
            <v>SAN RAMON DE GALLEGOS</v>
          </cell>
          <cell r="L1111">
            <v>0</v>
          </cell>
          <cell r="M1111" t="str">
            <v>SAN RAMON DE GALLEGOS</v>
          </cell>
          <cell r="T1111" t="e">
            <v>#REF!</v>
          </cell>
        </row>
        <row r="1112">
          <cell r="A1112" t="e">
            <v>#N/A</v>
          </cell>
          <cell r="B1112" t="str">
            <v>11ETV1088B</v>
          </cell>
          <cell r="D1112" t="str">
            <v>X</v>
          </cell>
          <cell r="E1112" t="str">
            <v>TELESECUNDARIA NUM. 1088</v>
          </cell>
          <cell r="F1112">
            <v>521</v>
          </cell>
          <cell r="G1112">
            <v>5</v>
          </cell>
          <cell r="H1112" t="str">
            <v>Silao</v>
          </cell>
          <cell r="I1112">
            <v>85000</v>
          </cell>
          <cell r="J1112" t="str">
            <v>Completa</v>
          </cell>
          <cell r="K1112" t="e">
            <v>#N/A</v>
          </cell>
          <cell r="L1112" t="e">
            <v>#N/A</v>
          </cell>
          <cell r="M1112" t="e">
            <v>#N/A</v>
          </cell>
          <cell r="T1112" t="e">
            <v>#REF!</v>
          </cell>
        </row>
        <row r="1113">
          <cell r="A1113" t="str">
            <v>BUENAVISTA</v>
          </cell>
          <cell r="B1113" t="str">
            <v>11DPR0245X</v>
          </cell>
          <cell r="C1113" t="str">
            <v>X</v>
          </cell>
          <cell r="E1113" t="str">
            <v>ESPAÑA REPUBLICANA</v>
          </cell>
          <cell r="F1113">
            <v>35</v>
          </cell>
          <cell r="G1113">
            <v>13</v>
          </cell>
          <cell r="H1113" t="str">
            <v>Tarandacuao</v>
          </cell>
          <cell r="I1113">
            <v>20000</v>
          </cell>
          <cell r="J1113" t="str">
            <v>Multigrado</v>
          </cell>
          <cell r="K1113" t="str">
            <v>BUENAVISTA</v>
          </cell>
          <cell r="L1113">
            <v>0</v>
          </cell>
          <cell r="M1113" t="str">
            <v>BUENAVISTA</v>
          </cell>
          <cell r="T1113" t="e">
            <v>#REF!</v>
          </cell>
        </row>
        <row r="1114">
          <cell r="A1114" t="str">
            <v>CERRITO BLANCO (CERRO BLANCO)</v>
          </cell>
          <cell r="B1114" t="str">
            <v>11DPR0380B</v>
          </cell>
          <cell r="C1114" t="str">
            <v>X</v>
          </cell>
          <cell r="E1114" t="str">
            <v>MELCHOR OCAMPO</v>
          </cell>
          <cell r="F1114">
            <v>35</v>
          </cell>
          <cell r="G1114">
            <v>13</v>
          </cell>
          <cell r="H1114" t="str">
            <v>Tarandacuao</v>
          </cell>
          <cell r="I1114">
            <v>20000</v>
          </cell>
          <cell r="J1114" t="str">
            <v>Multigrado</v>
          </cell>
          <cell r="K1114" t="str">
            <v>CERRITO BLANCO</v>
          </cell>
          <cell r="L1114">
            <v>0</v>
          </cell>
          <cell r="M1114" t="str">
            <v>CERRITO BLANCO (CERRO BLANCO)</v>
          </cell>
          <cell r="T1114" t="e">
            <v>#REF!</v>
          </cell>
        </row>
        <row r="1115">
          <cell r="A1115" t="str">
            <v>LA VIRGEN</v>
          </cell>
          <cell r="B1115" t="str">
            <v>11ETV0449P</v>
          </cell>
          <cell r="D1115" t="str">
            <v>X</v>
          </cell>
          <cell r="E1115" t="str">
            <v>TELESECUNDARIA NUM. 440</v>
          </cell>
          <cell r="F1115">
            <v>524</v>
          </cell>
          <cell r="G1115">
            <v>7</v>
          </cell>
          <cell r="H1115" t="str">
            <v>Tarandacuao</v>
          </cell>
          <cell r="I1115">
            <v>30000</v>
          </cell>
          <cell r="J1115" t="str">
            <v>Multigrado</v>
          </cell>
          <cell r="K1115" t="str">
            <v>LA VIRGEN</v>
          </cell>
          <cell r="L1115">
            <v>0</v>
          </cell>
          <cell r="M1115" t="str">
            <v>LA VIRGEN</v>
          </cell>
          <cell r="T1115" t="e">
            <v>#REF!</v>
          </cell>
        </row>
        <row r="1116">
          <cell r="A1116" t="str">
            <v>EL TOCUZ (SAN RAFAEL)</v>
          </cell>
          <cell r="B1116" t="str">
            <v>11DPR2926P</v>
          </cell>
          <cell r="C1116" t="str">
            <v>X</v>
          </cell>
          <cell r="E1116" t="str">
            <v>EMILIANO ZAPATA</v>
          </cell>
          <cell r="F1116">
            <v>35</v>
          </cell>
          <cell r="G1116">
            <v>13</v>
          </cell>
          <cell r="H1116" t="str">
            <v>Tarandacuao</v>
          </cell>
          <cell r="I1116">
            <v>20000</v>
          </cell>
          <cell r="J1116" t="str">
            <v>Multigrado</v>
          </cell>
          <cell r="K1116" t="str">
            <v>EL TOCUZ</v>
          </cell>
          <cell r="L1116">
            <v>0</v>
          </cell>
          <cell r="M1116" t="str">
            <v>EL TOCUZ (SAN RAFAEL)</v>
          </cell>
          <cell r="T1116" t="e">
            <v>#REF!</v>
          </cell>
        </row>
        <row r="1117">
          <cell r="A1117" t="str">
            <v>SAN JOSE DE PORTO (SAN JOSE DE HIDALGO)</v>
          </cell>
          <cell r="B1117" t="str">
            <v>11DPR1431Z</v>
          </cell>
          <cell r="C1117" t="str">
            <v>X</v>
          </cell>
          <cell r="E1117" t="str">
            <v>PADRE HIDALGO</v>
          </cell>
          <cell r="F1117">
            <v>35</v>
          </cell>
          <cell r="G1117">
            <v>13</v>
          </cell>
          <cell r="H1117" t="str">
            <v>Tarandacuao</v>
          </cell>
          <cell r="I1117">
            <v>20000</v>
          </cell>
          <cell r="J1117" t="str">
            <v>Multigrado</v>
          </cell>
          <cell r="K1117" t="str">
            <v>SAN JOSE DE PORTO</v>
          </cell>
          <cell r="L1117">
            <v>0</v>
          </cell>
          <cell r="M1117" t="str">
            <v>SAN JOSE DE PORTO (SAN JOSE DE HIDALGO)</v>
          </cell>
          <cell r="T1117" t="e">
            <v>#REF!</v>
          </cell>
        </row>
        <row r="1118">
          <cell r="A1118" t="str">
            <v>SAN JUAN DE DIOS</v>
          </cell>
          <cell r="B1118" t="str">
            <v>11DJN2864C</v>
          </cell>
          <cell r="C1118" t="str">
            <v>X</v>
          </cell>
          <cell r="E1118" t="str">
            <v>SOR JUANA INES DE LA CRUZ</v>
          </cell>
          <cell r="F1118">
            <v>89</v>
          </cell>
          <cell r="G1118">
            <v>9</v>
          </cell>
          <cell r="H1118" t="str">
            <v>Tarandacuao</v>
          </cell>
          <cell r="I1118">
            <v>20000</v>
          </cell>
          <cell r="J1118" t="str">
            <v>Multigrado</v>
          </cell>
          <cell r="K1118" t="str">
            <v>SAN JUAN DE DIOS</v>
          </cell>
          <cell r="L1118">
            <v>0</v>
          </cell>
          <cell r="M1118" t="str">
            <v>SAN JUAN DE DIOS</v>
          </cell>
          <cell r="T1118" t="e">
            <v>#REF!</v>
          </cell>
        </row>
        <row r="1119">
          <cell r="A1119" t="str">
            <v>LA PURISIMA</v>
          </cell>
          <cell r="B1119" t="str">
            <v>11DJN0489B</v>
          </cell>
          <cell r="C1119" t="str">
            <v>X</v>
          </cell>
          <cell r="E1119" t="str">
            <v>MIGUEL HIDALGO Y COSTILLA</v>
          </cell>
          <cell r="F1119">
            <v>89</v>
          </cell>
          <cell r="G1119">
            <v>9</v>
          </cell>
          <cell r="H1119" t="str">
            <v>Tarandacuao</v>
          </cell>
          <cell r="I1119">
            <v>20000</v>
          </cell>
          <cell r="J1119" t="str">
            <v>Multigrado</v>
          </cell>
          <cell r="K1119" t="str">
            <v>FERROCARRIL S/N</v>
          </cell>
          <cell r="L1119">
            <v>0</v>
          </cell>
          <cell r="M1119" t="str">
            <v>LA PURISIMA</v>
          </cell>
          <cell r="T1119" t="e">
            <v>#REF!</v>
          </cell>
        </row>
        <row r="1120">
          <cell r="A1120" t="str">
            <v>LA MORA</v>
          </cell>
          <cell r="B1120" t="str">
            <v>11DJN2499W</v>
          </cell>
          <cell r="D1120" t="str">
            <v>X</v>
          </cell>
          <cell r="E1120" t="str">
            <v>JAIME NUNO</v>
          </cell>
          <cell r="F1120">
            <v>89</v>
          </cell>
          <cell r="G1120">
            <v>9</v>
          </cell>
          <cell r="H1120" t="str">
            <v>Tarandacuao</v>
          </cell>
          <cell r="I1120">
            <v>30000</v>
          </cell>
          <cell r="J1120" t="str">
            <v>Multigrado</v>
          </cell>
          <cell r="K1120" t="str">
            <v>LA MORA</v>
          </cell>
          <cell r="L1120">
            <v>0</v>
          </cell>
          <cell r="M1120" t="str">
            <v>LA MORA</v>
          </cell>
          <cell r="T1120" t="e">
            <v>#REF!</v>
          </cell>
        </row>
        <row r="1121">
          <cell r="A1121" t="str">
            <v>TARANDACUAO</v>
          </cell>
          <cell r="B1121" t="str">
            <v>11DJN2875I</v>
          </cell>
          <cell r="D1121" t="str">
            <v>X</v>
          </cell>
          <cell r="E1121" t="str">
            <v>27 DE ABRIL</v>
          </cell>
          <cell r="F1121">
            <v>89</v>
          </cell>
          <cell r="G1121">
            <v>9</v>
          </cell>
          <cell r="H1121" t="str">
            <v>Tarandacuao</v>
          </cell>
          <cell r="I1121">
            <v>20000</v>
          </cell>
          <cell r="J1121" t="str">
            <v>Multigrado</v>
          </cell>
          <cell r="K1121" t="str">
            <v>LAUREL S/N ESQUINA JAZMIN</v>
          </cell>
          <cell r="L1121" t="str">
            <v>LAS FLORES</v>
          </cell>
          <cell r="M1121" t="str">
            <v>TARANDACUAO</v>
          </cell>
          <cell r="T1121" t="e">
            <v>#REF!</v>
          </cell>
        </row>
        <row r="1122">
          <cell r="A1122" t="str">
            <v>BUENAVISTA</v>
          </cell>
          <cell r="B1122" t="str">
            <v>11DJN4319I</v>
          </cell>
          <cell r="C1122" t="str">
            <v>X</v>
          </cell>
          <cell r="E1122" t="str">
            <v>PROFR. ALFONSO RUIZ OJEDA</v>
          </cell>
          <cell r="F1122">
            <v>89</v>
          </cell>
          <cell r="G1122">
            <v>9</v>
          </cell>
          <cell r="H1122" t="str">
            <v>Tarandacuao</v>
          </cell>
          <cell r="I1122">
            <v>20000</v>
          </cell>
          <cell r="J1122" t="str">
            <v>Multigrado</v>
          </cell>
          <cell r="K1122" t="str">
            <v>BUENAVISTA</v>
          </cell>
          <cell r="L1122">
            <v>0</v>
          </cell>
          <cell r="M1122" t="str">
            <v>BUENAVISTA</v>
          </cell>
          <cell r="T1122" t="e">
            <v>#REF!</v>
          </cell>
        </row>
        <row r="1123">
          <cell r="A1123" t="str">
            <v>TARANDACUAO</v>
          </cell>
          <cell r="B1123" t="str">
            <v>11DJN0185I</v>
          </cell>
          <cell r="C1123" t="str">
            <v>X</v>
          </cell>
          <cell r="E1123" t="str">
            <v>OVIDIO DECROLY</v>
          </cell>
          <cell r="F1123">
            <v>89</v>
          </cell>
          <cell r="G1123">
            <v>9</v>
          </cell>
          <cell r="H1123" t="str">
            <v>Tarandacuao</v>
          </cell>
          <cell r="I1123">
            <v>85000</v>
          </cell>
          <cell r="J1123" t="str">
            <v>Completa</v>
          </cell>
          <cell r="K1123" t="str">
            <v>CARRETERA MARAVATIO</v>
          </cell>
          <cell r="L1123" t="str">
            <v>CENTRO</v>
          </cell>
          <cell r="M1123" t="str">
            <v>TARANDACUAO</v>
          </cell>
          <cell r="T1123" t="e">
            <v>#REF!</v>
          </cell>
        </row>
        <row r="1124">
          <cell r="A1124" t="str">
            <v>NORIA DE SAN ISIDRO (PROVIDENCIA DE LA NORIA)</v>
          </cell>
          <cell r="B1124" t="str">
            <v>11EJN0301H</v>
          </cell>
          <cell r="C1124" t="str">
            <v>X</v>
          </cell>
          <cell r="E1124" t="str">
            <v>EMILIANO ZAPATA</v>
          </cell>
          <cell r="F1124">
            <v>504</v>
          </cell>
          <cell r="G1124">
            <v>6</v>
          </cell>
          <cell r="H1124" t="str">
            <v>Tarimoro</v>
          </cell>
          <cell r="I1124">
            <v>30000</v>
          </cell>
          <cell r="J1124" t="str">
            <v>Multigrado</v>
          </cell>
          <cell r="K1124" t="str">
            <v>PROVIDENCIA DE LA NORIA</v>
          </cell>
          <cell r="L1124">
            <v>0</v>
          </cell>
          <cell r="M1124" t="str">
            <v>NORIA DE SAN ISIDRO (PROVIDENCIA DE LA NORIA)</v>
          </cell>
          <cell r="T1124" t="e">
            <v>#REF!</v>
          </cell>
        </row>
        <row r="1125">
          <cell r="A1125" t="str">
            <v>LOS FIERROS</v>
          </cell>
          <cell r="B1125" t="str">
            <v>11DPR0818U</v>
          </cell>
          <cell r="C1125" t="str">
            <v>X</v>
          </cell>
          <cell r="E1125" t="str">
            <v>LIC. LUIS ECHEVERRIA ALVAREZ</v>
          </cell>
          <cell r="F1125">
            <v>44</v>
          </cell>
          <cell r="G1125">
            <v>8</v>
          </cell>
          <cell r="H1125" t="str">
            <v>Tarimoro</v>
          </cell>
          <cell r="I1125">
            <v>85000</v>
          </cell>
          <cell r="J1125" t="str">
            <v>Completa</v>
          </cell>
          <cell r="K1125" t="str">
            <v>LOS FIERROS</v>
          </cell>
          <cell r="L1125">
            <v>0</v>
          </cell>
          <cell r="M1125" t="str">
            <v>LOS FIERROS</v>
          </cell>
          <cell r="T1125" t="e">
            <v>#REF!</v>
          </cell>
        </row>
        <row r="1126">
          <cell r="A1126" t="str">
            <v>CERRO COLORADO</v>
          </cell>
          <cell r="B1126" t="str">
            <v>11ETV0650C</v>
          </cell>
          <cell r="C1126" t="str">
            <v>X</v>
          </cell>
          <cell r="E1126" t="str">
            <v>TELESECUNDARIA NUM. 672</v>
          </cell>
          <cell r="F1126">
            <v>549</v>
          </cell>
          <cell r="G1126">
            <v>6</v>
          </cell>
          <cell r="H1126" t="str">
            <v>Tierra Blanca</v>
          </cell>
          <cell r="I1126">
            <v>45000</v>
          </cell>
          <cell r="J1126" t="str">
            <v>Completa</v>
          </cell>
          <cell r="K1126" t="str">
            <v>CERRO COLORADO</v>
          </cell>
          <cell r="L1126">
            <v>0</v>
          </cell>
          <cell r="M1126" t="str">
            <v>CERRO COLORADO</v>
          </cell>
          <cell r="T1126" t="e">
            <v>#REF!</v>
          </cell>
        </row>
        <row r="1127">
          <cell r="A1127" t="str">
            <v>LA CUESTA DE PEÑONES</v>
          </cell>
          <cell r="B1127" t="str">
            <v>11ETV0751A</v>
          </cell>
          <cell r="C1127" t="str">
            <v>X</v>
          </cell>
          <cell r="E1127" t="str">
            <v>TELESECUNDARIA NUM. 755</v>
          </cell>
          <cell r="F1127">
            <v>549</v>
          </cell>
          <cell r="G1127">
            <v>6</v>
          </cell>
          <cell r="H1127" t="str">
            <v>Tierra Blanca</v>
          </cell>
          <cell r="I1127">
            <v>45000</v>
          </cell>
          <cell r="J1127" t="str">
            <v>Completa</v>
          </cell>
          <cell r="K1127" t="str">
            <v>CUESTA DE PEÑONES</v>
          </cell>
          <cell r="L1127">
            <v>0</v>
          </cell>
          <cell r="M1127" t="str">
            <v>LA CUESTA DE PEÑONES</v>
          </cell>
          <cell r="T1127" t="e">
            <v>#REF!</v>
          </cell>
        </row>
        <row r="1128">
          <cell r="A1128" t="str">
            <v>CIENEGUILLA</v>
          </cell>
          <cell r="B1128" t="str">
            <v>11EPR0327F</v>
          </cell>
          <cell r="C1128" t="str">
            <v>X</v>
          </cell>
          <cell r="E1128" t="str">
            <v>MIGUEL HIDALGO</v>
          </cell>
          <cell r="F1128">
            <v>538</v>
          </cell>
          <cell r="G1128">
            <v>2</v>
          </cell>
          <cell r="H1128" t="str">
            <v>Tierra Blanca</v>
          </cell>
          <cell r="I1128">
            <v>55000</v>
          </cell>
          <cell r="J1128" t="str">
            <v>Completa</v>
          </cell>
          <cell r="K1128" t="str">
            <v>CIENEGUILLA</v>
          </cell>
          <cell r="L1128">
            <v>0</v>
          </cell>
          <cell r="M1128" t="str">
            <v>CIENEGUILLA</v>
          </cell>
          <cell r="T1128" t="e">
            <v>#REF!</v>
          </cell>
        </row>
        <row r="1129">
          <cell r="A1129" t="str">
            <v>TIERRA BLANCA</v>
          </cell>
          <cell r="B1129" t="str">
            <v>11DJN0793L</v>
          </cell>
          <cell r="C1129" t="str">
            <v>X</v>
          </cell>
          <cell r="E1129" t="str">
            <v>FERNANDO MONTES DE OCA</v>
          </cell>
          <cell r="F1129">
            <v>97</v>
          </cell>
          <cell r="G1129">
            <v>8</v>
          </cell>
          <cell r="H1129" t="str">
            <v>Tierra Blanca</v>
          </cell>
          <cell r="I1129">
            <v>45000</v>
          </cell>
          <cell r="J1129" t="str">
            <v>Completa</v>
          </cell>
          <cell r="K1129" t="str">
            <v>PROLONGACION ZARAGOZA S/N</v>
          </cell>
          <cell r="L1129">
            <v>0</v>
          </cell>
          <cell r="M1129" t="str">
            <v>TIERRA BLANCA</v>
          </cell>
          <cell r="T1129" t="e">
            <v>#REF!</v>
          </cell>
        </row>
        <row r="1130">
          <cell r="A1130" t="str">
            <v>CERRO COLORADO</v>
          </cell>
          <cell r="B1130" t="str">
            <v>11DJN4337Y</v>
          </cell>
          <cell r="C1130" t="str">
            <v>X</v>
          </cell>
          <cell r="E1130" t="str">
            <v>MATILDE MONTOYA LAFRAGUA</v>
          </cell>
          <cell r="F1130">
            <v>97</v>
          </cell>
          <cell r="G1130">
            <v>8</v>
          </cell>
          <cell r="H1130" t="str">
            <v>Tierra Blanca</v>
          </cell>
          <cell r="I1130">
            <v>20000</v>
          </cell>
          <cell r="J1130" t="str">
            <v>Multigrado</v>
          </cell>
          <cell r="K1130" t="str">
            <v>CERRO COLORADO</v>
          </cell>
          <cell r="L1130">
            <v>0</v>
          </cell>
          <cell r="M1130" t="str">
            <v>CERRO COLORADO</v>
          </cell>
          <cell r="T1130" t="e">
            <v>#REF!</v>
          </cell>
        </row>
        <row r="1131">
          <cell r="A1131" t="str">
            <v>LA CUESTA DE PEÑONES</v>
          </cell>
          <cell r="B1131" t="str">
            <v>11DPR3296Y</v>
          </cell>
          <cell r="C1131" t="str">
            <v>X</v>
          </cell>
          <cell r="E1131" t="str">
            <v>EMILIANO ZAPATA</v>
          </cell>
          <cell r="F1131">
            <v>56</v>
          </cell>
          <cell r="G1131">
            <v>21</v>
          </cell>
          <cell r="H1131" t="str">
            <v>Tierra Blanca</v>
          </cell>
          <cell r="I1131">
            <v>20000</v>
          </cell>
          <cell r="J1131" t="str">
            <v>Multigrado</v>
          </cell>
          <cell r="K1131" t="str">
            <v>LA CUESTA DE PEÑONES</v>
          </cell>
          <cell r="L1131">
            <v>0</v>
          </cell>
          <cell r="M1131" t="str">
            <v>LA CUESTA DE PEÑONES</v>
          </cell>
          <cell r="T1131" t="e">
            <v>#REF!</v>
          </cell>
        </row>
        <row r="1132">
          <cell r="A1132" t="str">
            <v>CIENEGUILLA</v>
          </cell>
          <cell r="B1132" t="str">
            <v>11EJN0219H</v>
          </cell>
          <cell r="C1132" t="str">
            <v>X</v>
          </cell>
          <cell r="E1132" t="str">
            <v>JOSE VASCONCELOS</v>
          </cell>
          <cell r="F1132">
            <v>510</v>
          </cell>
          <cell r="G1132">
            <v>2</v>
          </cell>
          <cell r="H1132" t="str">
            <v>Tierra Blanca</v>
          </cell>
          <cell r="I1132">
            <v>20000</v>
          </cell>
          <cell r="J1132" t="str">
            <v>Multigrado</v>
          </cell>
          <cell r="K1132" t="str">
            <v>JUANICA S/N</v>
          </cell>
          <cell r="L1132">
            <v>0</v>
          </cell>
          <cell r="M1132" t="str">
            <v>CIENEGUILLA</v>
          </cell>
          <cell r="T1132" t="e">
            <v>#REF!</v>
          </cell>
        </row>
        <row r="1133">
          <cell r="A1133" t="str">
            <v>EL PICACHO</v>
          </cell>
          <cell r="B1133" t="str">
            <v>11EJN0426P</v>
          </cell>
          <cell r="C1133" t="str">
            <v>X</v>
          </cell>
          <cell r="E1133" t="str">
            <v>SOR JUANA INES DE LA CRUZ</v>
          </cell>
          <cell r="F1133">
            <v>510</v>
          </cell>
          <cell r="G1133">
            <v>2</v>
          </cell>
          <cell r="H1133" t="str">
            <v>Tierra Blanca</v>
          </cell>
          <cell r="I1133">
            <v>20000</v>
          </cell>
          <cell r="J1133" t="str">
            <v>Multigrado</v>
          </cell>
          <cell r="K1133" t="str">
            <v>EL PICACHO</v>
          </cell>
          <cell r="L1133">
            <v>0</v>
          </cell>
          <cell r="M1133" t="str">
            <v>EL PICACHO</v>
          </cell>
          <cell r="T1133" t="e">
            <v>#REF!</v>
          </cell>
        </row>
        <row r="1134">
          <cell r="A1134" t="str">
            <v>EL APARTADERO</v>
          </cell>
          <cell r="B1134" t="str">
            <v>11DPR0791D</v>
          </cell>
          <cell r="C1134" t="str">
            <v>X</v>
          </cell>
          <cell r="E1134" t="str">
            <v>LIC. BENITO JUAREZ</v>
          </cell>
          <cell r="F1134">
            <v>56</v>
          </cell>
          <cell r="G1134">
            <v>21</v>
          </cell>
          <cell r="H1134" t="str">
            <v>Tierra Blanca</v>
          </cell>
          <cell r="I1134">
            <v>20000</v>
          </cell>
          <cell r="J1134" t="str">
            <v>Multigrado</v>
          </cell>
          <cell r="K1134" t="str">
            <v>EL APARTADERO</v>
          </cell>
          <cell r="L1134">
            <v>0</v>
          </cell>
          <cell r="M1134" t="str">
            <v>EL APARTADERO</v>
          </cell>
          <cell r="T1134" t="e">
            <v>#REF!</v>
          </cell>
        </row>
        <row r="1135">
          <cell r="A1135" t="str">
            <v>CANO DE SAN ISIDRO</v>
          </cell>
          <cell r="B1135" t="str">
            <v>11EJN0348B</v>
          </cell>
          <cell r="D1135" t="str">
            <v>X</v>
          </cell>
          <cell r="E1135" t="str">
            <v>LIC. IGNACIO RAMIREZ</v>
          </cell>
          <cell r="F1135">
            <v>510</v>
          </cell>
          <cell r="G1135">
            <v>2</v>
          </cell>
          <cell r="H1135" t="str">
            <v>Tierra Blanca</v>
          </cell>
          <cell r="I1135">
            <v>20000</v>
          </cell>
          <cell r="J1135" t="str">
            <v>Multigrado</v>
          </cell>
          <cell r="K1135" t="str">
            <v>CANO DE SAN ISIDRO</v>
          </cell>
          <cell r="L1135">
            <v>0</v>
          </cell>
          <cell r="M1135" t="str">
            <v>CANO DE SAN ISIDRO</v>
          </cell>
          <cell r="T1135" t="e">
            <v>#REF!</v>
          </cell>
        </row>
        <row r="1136">
          <cell r="A1136" t="str">
            <v>TIERRA BLANCA</v>
          </cell>
          <cell r="B1136" t="str">
            <v>11EJN0277Y</v>
          </cell>
          <cell r="C1136" t="str">
            <v>X</v>
          </cell>
          <cell r="E1136" t="str">
            <v>ROSARIO CASTELLANOS</v>
          </cell>
          <cell r="F1136">
            <v>510</v>
          </cell>
          <cell r="G1136">
            <v>2</v>
          </cell>
          <cell r="H1136" t="str">
            <v>Tierra Blanca</v>
          </cell>
          <cell r="I1136">
            <v>20000</v>
          </cell>
          <cell r="J1136" t="str">
            <v>Multigrado</v>
          </cell>
          <cell r="K1136" t="str">
            <v>NIÑOS HEROES S/N</v>
          </cell>
          <cell r="L1136" t="str">
            <v>LIBERTAD</v>
          </cell>
          <cell r="M1136" t="str">
            <v>TIERRA BLANCA</v>
          </cell>
          <cell r="T1136" t="e">
            <v>#REF!</v>
          </cell>
        </row>
        <row r="1137">
          <cell r="A1137" t="str">
            <v>LA CUESTA DE PEÑONES</v>
          </cell>
          <cell r="B1137" t="str">
            <v>11DPR0788Q</v>
          </cell>
          <cell r="C1137" t="str">
            <v>X</v>
          </cell>
          <cell r="E1137" t="str">
            <v>VICENTE GUERRERO</v>
          </cell>
          <cell r="F1137">
            <v>56</v>
          </cell>
          <cell r="G1137">
            <v>21</v>
          </cell>
          <cell r="H1137" t="str">
            <v>Tierra Blanca</v>
          </cell>
          <cell r="I1137">
            <v>45000</v>
          </cell>
          <cell r="J1137" t="str">
            <v>Completa</v>
          </cell>
          <cell r="K1137" t="str">
            <v>LA CUESTA DE PEÑONES</v>
          </cell>
          <cell r="L1137">
            <v>0</v>
          </cell>
          <cell r="M1137" t="str">
            <v>LA CUESTA DE PEÑONES</v>
          </cell>
          <cell r="T1137" t="e">
            <v>#REF!</v>
          </cell>
        </row>
        <row r="1138">
          <cell r="A1138" t="str">
            <v>URIANGATO</v>
          </cell>
          <cell r="B1138" t="str">
            <v>11DJN0918C</v>
          </cell>
          <cell r="C1138" t="str">
            <v>X</v>
          </cell>
          <cell r="E1138" t="str">
            <v>FRAY TORIBIO DE BENAVENTE</v>
          </cell>
          <cell r="F1138">
            <v>83</v>
          </cell>
          <cell r="G1138">
            <v>12</v>
          </cell>
          <cell r="H1138" t="str">
            <v>Uriangato</v>
          </cell>
          <cell r="I1138">
            <v>85000</v>
          </cell>
          <cell r="J1138" t="str">
            <v>Completa</v>
          </cell>
          <cell r="K1138" t="str">
            <v>8 DE MAYO NUM. 250</v>
          </cell>
          <cell r="L1138" t="str">
            <v>PLAN DE AYALA</v>
          </cell>
          <cell r="M1138" t="str">
            <v>URIANGATO</v>
          </cell>
          <cell r="T1138" t="e">
            <v>#REF!</v>
          </cell>
        </row>
        <row r="1139">
          <cell r="A1139" t="str">
            <v>URIANGATO</v>
          </cell>
          <cell r="B1139" t="str">
            <v>11DPR3319S</v>
          </cell>
          <cell r="C1139" t="str">
            <v>X</v>
          </cell>
          <cell r="E1139" t="str">
            <v>GUADALUPE VICTORIA</v>
          </cell>
          <cell r="F1139">
            <v>64</v>
          </cell>
          <cell r="G1139">
            <v>10</v>
          </cell>
          <cell r="H1139" t="str">
            <v>Uriangato</v>
          </cell>
          <cell r="I1139">
            <v>85000</v>
          </cell>
          <cell r="J1139" t="str">
            <v>Completa</v>
          </cell>
          <cell r="K1139" t="str">
            <v>IGNACIO MANUEL ALTAMIRANO NUM. 32</v>
          </cell>
          <cell r="L1139" t="str">
            <v>LA JOYITA</v>
          </cell>
          <cell r="M1139" t="str">
            <v>URIANGATO</v>
          </cell>
          <cell r="T1139" t="e">
            <v>#REF!</v>
          </cell>
        </row>
        <row r="1140">
          <cell r="A1140" t="str">
            <v>URIANGATO</v>
          </cell>
          <cell r="B1140" t="str">
            <v>11DPR2317N</v>
          </cell>
          <cell r="C1140" t="str">
            <v>X</v>
          </cell>
          <cell r="E1140" t="str">
            <v>GUADALUPE VICTORIA</v>
          </cell>
          <cell r="F1140">
            <v>130</v>
          </cell>
          <cell r="G1140">
            <v>10</v>
          </cell>
          <cell r="H1140" t="str">
            <v>Uriangato</v>
          </cell>
          <cell r="I1140">
            <v>85000</v>
          </cell>
          <cell r="J1140" t="str">
            <v>Completa</v>
          </cell>
          <cell r="K1140" t="str">
            <v>CUITZILLO</v>
          </cell>
          <cell r="L1140" t="str">
            <v>CUITZILLO</v>
          </cell>
          <cell r="M1140" t="str">
            <v>URIANGATO</v>
          </cell>
          <cell r="T1140" t="e">
            <v>#REF!</v>
          </cell>
        </row>
        <row r="1141">
          <cell r="A1141" t="str">
            <v>URIANGATO</v>
          </cell>
          <cell r="B1141" t="str">
            <v>11DPR3745M</v>
          </cell>
          <cell r="C1141" t="str">
            <v>X</v>
          </cell>
          <cell r="E1141" t="str">
            <v>LUIS DONALDO COLOSIO MURRIETA</v>
          </cell>
          <cell r="F1141">
            <v>64</v>
          </cell>
          <cell r="G1141">
            <v>10</v>
          </cell>
          <cell r="H1141" t="str">
            <v>Uriangato</v>
          </cell>
          <cell r="I1141">
            <v>85000</v>
          </cell>
          <cell r="J1141" t="str">
            <v>Completa</v>
          </cell>
          <cell r="K1141" t="str">
            <v>VASCO DE QUIROGA NUM. 93</v>
          </cell>
          <cell r="L1141" t="str">
            <v>LA JOYITA</v>
          </cell>
          <cell r="M1141" t="str">
            <v>URIANGATO</v>
          </cell>
          <cell r="T1141" t="e">
            <v>#REF!</v>
          </cell>
        </row>
        <row r="1142">
          <cell r="A1142" t="str">
            <v>URIANGATO</v>
          </cell>
          <cell r="B1142" t="str">
            <v>11DJN2677I</v>
          </cell>
          <cell r="C1142" t="str">
            <v>X</v>
          </cell>
          <cell r="E1142" t="str">
            <v>SANTOS DEGOLLADO</v>
          </cell>
          <cell r="F1142">
            <v>46</v>
          </cell>
          <cell r="G1142">
            <v>12</v>
          </cell>
          <cell r="H1142" t="str">
            <v>Uriangato</v>
          </cell>
          <cell r="I1142">
            <v>85000</v>
          </cell>
          <cell r="J1142" t="str">
            <v>Completa</v>
          </cell>
          <cell r="K1142" t="str">
            <v>CEDROS NUM. 47</v>
          </cell>
          <cell r="L1142" t="str">
            <v>LA LOMA</v>
          </cell>
          <cell r="M1142" t="str">
            <v>URIANGATO</v>
          </cell>
          <cell r="T1142" t="e">
            <v>#REF!</v>
          </cell>
        </row>
        <row r="1143">
          <cell r="A1143" t="str">
            <v>EL AGUACATE</v>
          </cell>
          <cell r="B1143" t="str">
            <v>11DPR0409Q</v>
          </cell>
          <cell r="C1143" t="str">
            <v>X</v>
          </cell>
          <cell r="E1143" t="str">
            <v>MIGUEL HIDALGO</v>
          </cell>
          <cell r="F1143">
            <v>64</v>
          </cell>
          <cell r="G1143">
            <v>10</v>
          </cell>
          <cell r="H1143" t="str">
            <v>Uriangato</v>
          </cell>
          <cell r="I1143">
            <v>30000</v>
          </cell>
          <cell r="J1143" t="str">
            <v>Multigrado</v>
          </cell>
          <cell r="K1143" t="str">
            <v>EL AGUACATE</v>
          </cell>
          <cell r="L1143" t="str">
            <v>EL AGUACATE</v>
          </cell>
          <cell r="M1143" t="str">
            <v>EL AGUACATE</v>
          </cell>
          <cell r="T1143" t="e">
            <v>#REF!</v>
          </cell>
        </row>
        <row r="1144">
          <cell r="A1144" t="str">
            <v>SAN JOSE CUARACURIO</v>
          </cell>
          <cell r="B1144" t="str">
            <v>11DPR0418Y</v>
          </cell>
          <cell r="C1144" t="str">
            <v>X</v>
          </cell>
          <cell r="E1144" t="str">
            <v>LAZARO CARDENAS</v>
          </cell>
          <cell r="F1144">
            <v>64</v>
          </cell>
          <cell r="G1144">
            <v>10</v>
          </cell>
          <cell r="H1144" t="str">
            <v>Uriangato</v>
          </cell>
          <cell r="I1144">
            <v>30000</v>
          </cell>
          <cell r="J1144" t="str">
            <v>Multigrado</v>
          </cell>
          <cell r="K1144" t="str">
            <v>JALISCO NUM. 6</v>
          </cell>
          <cell r="L1144" t="str">
            <v>SAN JOSE CUARACURIO</v>
          </cell>
          <cell r="M1144" t="str">
            <v>SAN JOSE CUARACURIO</v>
          </cell>
          <cell r="T1144" t="e">
            <v>#REF!</v>
          </cell>
        </row>
        <row r="1145">
          <cell r="A1145" t="str">
            <v>LOS PORTALITOS</v>
          </cell>
          <cell r="B1145" t="str">
            <v>11DPR0955X</v>
          </cell>
          <cell r="C1145" t="str">
            <v>X</v>
          </cell>
          <cell r="E1145" t="str">
            <v>VALENTIN GOMEZ FARIAS</v>
          </cell>
          <cell r="F1145">
            <v>64</v>
          </cell>
          <cell r="G1145">
            <v>10</v>
          </cell>
          <cell r="H1145" t="str">
            <v>Uriangato</v>
          </cell>
          <cell r="I1145">
            <v>30000</v>
          </cell>
          <cell r="J1145" t="str">
            <v>Multigrado</v>
          </cell>
          <cell r="K1145" t="str">
            <v>LOS PORTALITOS</v>
          </cell>
          <cell r="L1145">
            <v>0</v>
          </cell>
          <cell r="M1145" t="str">
            <v>LOS PORTALITOS</v>
          </cell>
          <cell r="T1145" t="e">
            <v>#REF!</v>
          </cell>
        </row>
        <row r="1146">
          <cell r="A1146" t="str">
            <v>URIANGATO</v>
          </cell>
          <cell r="B1146" t="str">
            <v>11DJN0457J</v>
          </cell>
          <cell r="C1146" t="str">
            <v>X</v>
          </cell>
          <cell r="E1146" t="str">
            <v>FRANCISCO GONZALEZ BOCANEGRA</v>
          </cell>
          <cell r="F1146">
            <v>46</v>
          </cell>
          <cell r="G1146">
            <v>12</v>
          </cell>
          <cell r="H1146" t="str">
            <v>Uriangato</v>
          </cell>
          <cell r="I1146">
            <v>85000</v>
          </cell>
          <cell r="J1146" t="str">
            <v>Completa</v>
          </cell>
          <cell r="K1146" t="str">
            <v>FRANCISCO GONZALEZ BOCANEGRA NUM. 4</v>
          </cell>
          <cell r="L1146" t="str">
            <v>CUITZILLO</v>
          </cell>
          <cell r="M1146" t="str">
            <v>URIANGATO</v>
          </cell>
          <cell r="T1146" t="e">
            <v>#REF!</v>
          </cell>
        </row>
        <row r="1147">
          <cell r="A1147" t="str">
            <v>URIANGATO</v>
          </cell>
          <cell r="B1147" t="str">
            <v>11DJN0053R</v>
          </cell>
          <cell r="C1147" t="str">
            <v>X</v>
          </cell>
          <cell r="E1147" t="str">
            <v>JAIME TORRES BODET</v>
          </cell>
          <cell r="F1147">
            <v>46</v>
          </cell>
          <cell r="G1147">
            <v>12</v>
          </cell>
          <cell r="H1147" t="str">
            <v>Uriangato</v>
          </cell>
          <cell r="I1147">
            <v>85000</v>
          </cell>
          <cell r="J1147" t="str">
            <v>Completa</v>
          </cell>
          <cell r="K1147" t="str">
            <v>MORELIA S/N</v>
          </cell>
          <cell r="L1147" t="str">
            <v>SAN MIGUEL</v>
          </cell>
          <cell r="M1147" t="str">
            <v>URIANGATO</v>
          </cell>
          <cell r="T1147" t="e">
            <v>#REF!</v>
          </cell>
        </row>
        <row r="1148">
          <cell r="A1148" t="str">
            <v>URIANGATO</v>
          </cell>
          <cell r="B1148" t="str">
            <v>11DJN0588B</v>
          </cell>
          <cell r="C1148" t="str">
            <v>X</v>
          </cell>
          <cell r="E1148" t="str">
            <v>NARCISO MENDOZA</v>
          </cell>
          <cell r="F1148">
            <v>46</v>
          </cell>
          <cell r="G1148">
            <v>12</v>
          </cell>
          <cell r="H1148" t="str">
            <v>Uriangato</v>
          </cell>
          <cell r="I1148">
            <v>85000</v>
          </cell>
          <cell r="J1148" t="str">
            <v>Completa</v>
          </cell>
          <cell r="K1148" t="str">
            <v>FRAY PEDRO DE GANTE NUM. 70</v>
          </cell>
          <cell r="L1148" t="str">
            <v>LA JOYITA</v>
          </cell>
          <cell r="M1148" t="str">
            <v>URIANGATO</v>
          </cell>
          <cell r="T1148" t="e">
            <v>#REF!</v>
          </cell>
        </row>
        <row r="1149">
          <cell r="A1149" t="str">
            <v>URIANGATO</v>
          </cell>
          <cell r="B1149" t="str">
            <v>11DJN2862E</v>
          </cell>
          <cell r="D1149" t="str">
            <v>X</v>
          </cell>
          <cell r="E1149" t="str">
            <v>IGNACIO ALLENDE</v>
          </cell>
          <cell r="F1149">
            <v>46</v>
          </cell>
          <cell r="G1149">
            <v>12</v>
          </cell>
          <cell r="H1149" t="str">
            <v>Uriangato</v>
          </cell>
          <cell r="I1149">
            <v>85000</v>
          </cell>
          <cell r="J1149" t="str">
            <v>Completa</v>
          </cell>
          <cell r="K1149" t="str">
            <v>JERTRUDIS BOCANEGRA NUM. 23</v>
          </cell>
          <cell r="L1149" t="str">
            <v>AGRICOLA</v>
          </cell>
          <cell r="M1149" t="str">
            <v>URIANGATO</v>
          </cell>
          <cell r="T1149" t="e">
            <v>#REF!</v>
          </cell>
        </row>
        <row r="1150">
          <cell r="A1150" t="str">
            <v>VALLE DE SANTIAGO</v>
          </cell>
          <cell r="B1150" t="str">
            <v>11EJN0347C</v>
          </cell>
          <cell r="C1150" t="str">
            <v>X</v>
          </cell>
          <cell r="E1150" t="str">
            <v>"CAMEMBARO"</v>
          </cell>
          <cell r="F1150">
            <v>515</v>
          </cell>
          <cell r="G1150">
            <v>8</v>
          </cell>
          <cell r="H1150" t="str">
            <v>Valle de Santiago</v>
          </cell>
          <cell r="I1150">
            <v>85000</v>
          </cell>
          <cell r="J1150" t="str">
            <v>Completa</v>
          </cell>
          <cell r="K1150" t="str">
            <v>CALZADA BENITO LOPEZ BAEZA NUM. 1</v>
          </cell>
          <cell r="L1150" t="str">
            <v>ZONA CENTRO</v>
          </cell>
          <cell r="M1150" t="str">
            <v>VALLE DE SANTIAGO</v>
          </cell>
          <cell r="T1150" t="e">
            <v>#REF!</v>
          </cell>
        </row>
        <row r="1151">
          <cell r="A1151" t="str">
            <v>EL PITAHAYO</v>
          </cell>
          <cell r="B1151" t="str">
            <v>11ETV0182Z</v>
          </cell>
          <cell r="D1151" t="str">
            <v>X</v>
          </cell>
          <cell r="E1151" t="str">
            <v>TELESECUNDARIA NUM. 186</v>
          </cell>
          <cell r="F1151">
            <v>555</v>
          </cell>
          <cell r="G1151">
            <v>8</v>
          </cell>
          <cell r="H1151" t="str">
            <v>Valle de Santiago</v>
          </cell>
          <cell r="I1151">
            <v>85000</v>
          </cell>
          <cell r="J1151" t="str">
            <v>Completa</v>
          </cell>
          <cell r="K1151" t="str">
            <v>RIO LERMA LOCALIDAD EL PITAHAYO NUM. 3</v>
          </cell>
          <cell r="L1151" t="str">
            <v>LOCALIDAD EL PITAHAYO</v>
          </cell>
          <cell r="M1151" t="str">
            <v>EL PITAHAYO</v>
          </cell>
          <cell r="T1151" t="e">
            <v>#REF!</v>
          </cell>
        </row>
        <row r="1152">
          <cell r="A1152" t="str">
            <v>GERVASIO MENDOZA</v>
          </cell>
          <cell r="B1152" t="str">
            <v>11ETV0190I</v>
          </cell>
          <cell r="D1152" t="str">
            <v>X</v>
          </cell>
          <cell r="E1152" t="str">
            <v>TELESECUNDARIA NUM. 184</v>
          </cell>
          <cell r="F1152">
            <v>555</v>
          </cell>
          <cell r="G1152">
            <v>8</v>
          </cell>
          <cell r="H1152" t="str">
            <v>Valle de Santiago</v>
          </cell>
          <cell r="I1152">
            <v>85000</v>
          </cell>
          <cell r="J1152" t="str">
            <v>Completa</v>
          </cell>
          <cell r="K1152" t="str">
            <v>LOCALIDAD GERVASIO MENDOZA</v>
          </cell>
          <cell r="L1152" t="str">
            <v>LOCALIDAD GERVACIO MENDOZA</v>
          </cell>
          <cell r="M1152" t="str">
            <v>GERVASIO MENDOZA</v>
          </cell>
          <cell r="T1152" t="e">
            <v>#REF!</v>
          </cell>
        </row>
        <row r="1153">
          <cell r="A1153" t="str">
            <v>SAN JERONIMO DE ARACEO</v>
          </cell>
          <cell r="B1153" t="str">
            <v>11ETV0291G</v>
          </cell>
          <cell r="C1153" t="str">
            <v>X</v>
          </cell>
          <cell r="E1153" t="str">
            <v>TELESECUNDARIA NUM. 296</v>
          </cell>
          <cell r="F1153">
            <v>555</v>
          </cell>
          <cell r="G1153">
            <v>8</v>
          </cell>
          <cell r="H1153" t="str">
            <v>Valle de Santiago</v>
          </cell>
          <cell r="I1153">
            <v>85000</v>
          </cell>
          <cell r="J1153" t="str">
            <v>Completa</v>
          </cell>
          <cell r="K1153" t="str">
            <v>JOSEFA ORTIZ DE DOMINGUEZ SAN JERONIMO ARACEO</v>
          </cell>
          <cell r="L1153" t="str">
            <v>LOCALIDAD SAN JERONIMO ARACEO</v>
          </cell>
          <cell r="M1153" t="str">
            <v>SAN JERONIMO DE ARACEO</v>
          </cell>
          <cell r="T1153" t="e">
            <v>#REF!</v>
          </cell>
        </row>
        <row r="1154">
          <cell r="A1154" t="str">
            <v>RINCON DE PARANGUEO</v>
          </cell>
          <cell r="B1154" t="str">
            <v>11ETV0466F</v>
          </cell>
          <cell r="C1154" t="str">
            <v>X</v>
          </cell>
          <cell r="E1154" t="str">
            <v>TELESECUNDARIA NUM. 460</v>
          </cell>
          <cell r="F1154">
            <v>555</v>
          </cell>
          <cell r="G1154">
            <v>8</v>
          </cell>
          <cell r="H1154" t="str">
            <v>Valle de Santiago</v>
          </cell>
          <cell r="I1154">
            <v>85000</v>
          </cell>
          <cell r="J1154" t="str">
            <v>Completa</v>
          </cell>
          <cell r="K1154" t="str">
            <v>INT. EX-HACIENDA RINCON DE PARANGUEO</v>
          </cell>
          <cell r="L1154" t="str">
            <v>LOCALIDAD RINCON DE PARANGUEO</v>
          </cell>
          <cell r="M1154" t="str">
            <v>RINCON DE PARANGUEO</v>
          </cell>
          <cell r="T1154" t="e">
            <v>#REF!</v>
          </cell>
        </row>
        <row r="1155">
          <cell r="A1155" t="str">
            <v>SABINO DE SANTA ROSA (EL SABINO)</v>
          </cell>
          <cell r="B1155" t="str">
            <v>11ETV0547Q</v>
          </cell>
          <cell r="D1155" t="str">
            <v>X</v>
          </cell>
          <cell r="E1155" t="str">
            <v>TELESECUNDARIA NUM. 532</v>
          </cell>
          <cell r="F1155">
            <v>555</v>
          </cell>
          <cell r="G1155">
            <v>8</v>
          </cell>
          <cell r="H1155" t="str">
            <v>Valle de Santiago</v>
          </cell>
          <cell r="I1155">
            <v>85000</v>
          </cell>
          <cell r="J1155" t="str">
            <v>Completa</v>
          </cell>
          <cell r="K1155" t="str">
            <v>LOCALIDAD SABINO DE SANTA ROSA</v>
          </cell>
          <cell r="L1155" t="str">
            <v>LOCALIDAD SABINO DE SANTA ROSA</v>
          </cell>
          <cell r="M1155" t="str">
            <v>SABINO DE SANTA ROSA (EL SABINO)</v>
          </cell>
          <cell r="T1155" t="e">
            <v>#REF!</v>
          </cell>
        </row>
        <row r="1156">
          <cell r="A1156" t="str">
            <v>LA ISLA</v>
          </cell>
          <cell r="B1156" t="str">
            <v>11ETV0676K</v>
          </cell>
          <cell r="D1156" t="str">
            <v>X</v>
          </cell>
          <cell r="E1156" t="str">
            <v>TELESECUNDARIA NUM. 693</v>
          </cell>
          <cell r="F1156">
            <v>555</v>
          </cell>
          <cell r="G1156">
            <v>8</v>
          </cell>
          <cell r="H1156" t="str">
            <v>Valle de Santiago</v>
          </cell>
          <cell r="I1156">
            <v>85000</v>
          </cell>
          <cell r="J1156" t="str">
            <v>Completa</v>
          </cell>
          <cell r="K1156" t="str">
            <v>PRINCIPAL LOCALIDAD LA ISLA</v>
          </cell>
          <cell r="L1156" t="str">
            <v>LOCALIDAD LA ISLA</v>
          </cell>
          <cell r="M1156" t="str">
            <v>LA ISLA</v>
          </cell>
          <cell r="T1156" t="e">
            <v>#REF!</v>
          </cell>
        </row>
        <row r="1157">
          <cell r="A1157" t="str">
            <v>LAGUNILLA DE MOGOTES</v>
          </cell>
          <cell r="B1157" t="str">
            <v>11ETV0677J</v>
          </cell>
          <cell r="D1157" t="str">
            <v>X</v>
          </cell>
          <cell r="E1157" t="str">
            <v>TELESECUNDARIA NUM. 664</v>
          </cell>
          <cell r="F1157">
            <v>555</v>
          </cell>
          <cell r="G1157">
            <v>8</v>
          </cell>
          <cell r="H1157" t="str">
            <v>Valle de Santiago</v>
          </cell>
          <cell r="I1157">
            <v>85000</v>
          </cell>
          <cell r="J1157" t="str">
            <v>Completa</v>
          </cell>
          <cell r="K1157" t="str">
            <v>LOCALIDAD LAGUNILLA DE MOGOTES</v>
          </cell>
          <cell r="L1157" t="str">
            <v>LOCALIDAD LAGUNILLA DE MOGOTES</v>
          </cell>
          <cell r="M1157" t="str">
            <v>LAGUNILLA DE MOGOTES</v>
          </cell>
          <cell r="T1157" t="e">
            <v>#REF!</v>
          </cell>
        </row>
        <row r="1158">
          <cell r="A1158" t="str">
            <v>VALLE DE SANTIAGO</v>
          </cell>
          <cell r="B1158" t="str">
            <v>11ETV0975I</v>
          </cell>
          <cell r="C1158" t="str">
            <v>X</v>
          </cell>
          <cell r="E1158" t="str">
            <v>TELESECUNDARIA NUM. 975</v>
          </cell>
          <cell r="F1158">
            <v>555</v>
          </cell>
          <cell r="G1158">
            <v>8</v>
          </cell>
          <cell r="H1158" t="str">
            <v>Valle de Santiago</v>
          </cell>
          <cell r="I1158">
            <v>85000</v>
          </cell>
          <cell r="J1158" t="str">
            <v>Completa</v>
          </cell>
          <cell r="K1158" t="str">
            <v>LOMA ALTA NUM. 19</v>
          </cell>
          <cell r="L1158" t="str">
            <v>FRANCISCO VILLA</v>
          </cell>
          <cell r="M1158" t="str">
            <v>VALLE DE SANTIAGO</v>
          </cell>
          <cell r="T1158" t="e">
            <v>#REF!</v>
          </cell>
        </row>
        <row r="1159">
          <cell r="A1159" t="str">
            <v>RANCHO SECO DE GUANTES</v>
          </cell>
          <cell r="B1159" t="str">
            <v>11ETV0680X</v>
          </cell>
          <cell r="C1159" t="str">
            <v>X</v>
          </cell>
          <cell r="E1159" t="str">
            <v>TELESECUNDARIA NUM. 666</v>
          </cell>
          <cell r="F1159">
            <v>555</v>
          </cell>
          <cell r="G1159">
            <v>8</v>
          </cell>
          <cell r="H1159" t="str">
            <v>Valle de Santiago</v>
          </cell>
          <cell r="I1159">
            <v>85000</v>
          </cell>
          <cell r="J1159" t="str">
            <v>Completa</v>
          </cell>
          <cell r="K1159" t="str">
            <v>RANCHO LOCALIDAD RANCHO SECO DE GUANTES S/N</v>
          </cell>
          <cell r="L1159" t="str">
            <v>LOCALIDAD RANCHO SECO DE GUANTES</v>
          </cell>
          <cell r="M1159" t="str">
            <v>RANCHO SECO DE GUANTES</v>
          </cell>
          <cell r="T1159" t="e">
            <v>#REF!</v>
          </cell>
        </row>
        <row r="1160">
          <cell r="A1160" t="str">
            <v>HOYA DE CINTORA (LA HOYA DE ARRIBA)</v>
          </cell>
          <cell r="B1160" t="str">
            <v>11DJN2639F</v>
          </cell>
          <cell r="C1160" t="str">
            <v>X</v>
          </cell>
          <cell r="E1160" t="str">
            <v>ESTEFANIA CASTAÑEDA</v>
          </cell>
          <cell r="F1160">
            <v>93</v>
          </cell>
          <cell r="G1160">
            <v>22</v>
          </cell>
          <cell r="H1160" t="str">
            <v>Valle de Santiago</v>
          </cell>
          <cell r="I1160">
            <v>30000</v>
          </cell>
          <cell r="J1160" t="str">
            <v>Multigrado</v>
          </cell>
          <cell r="K1160" t="str">
            <v>HOYA DE CINTORA</v>
          </cell>
          <cell r="L1160" t="str">
            <v>LOCALIDAD HOYA DE CINTORA</v>
          </cell>
          <cell r="M1160" t="str">
            <v>HOYA DE CINTORA (LA HOYA DE ARRIBA)</v>
          </cell>
          <cell r="T1160" t="e">
            <v>#REF!</v>
          </cell>
        </row>
        <row r="1161">
          <cell r="A1161" t="str">
            <v>RINCON DE ALONSO SANCHEZ</v>
          </cell>
          <cell r="B1161" t="str">
            <v>11DJN2816T</v>
          </cell>
          <cell r="C1161" t="str">
            <v>X</v>
          </cell>
          <cell r="E1161" t="str">
            <v>JUAN JOSE DE LOS REYES MARTINEZ</v>
          </cell>
          <cell r="F1161">
            <v>16</v>
          </cell>
          <cell r="G1161">
            <v>22</v>
          </cell>
          <cell r="H1161" t="str">
            <v>Valle de Santiago</v>
          </cell>
          <cell r="I1161">
            <v>30000</v>
          </cell>
          <cell r="J1161" t="str">
            <v>Multigrado</v>
          </cell>
          <cell r="K1161" t="str">
            <v>RINCON DE ALONSO</v>
          </cell>
          <cell r="L1161">
            <v>0</v>
          </cell>
          <cell r="M1161" t="str">
            <v>RINCON DE ALONSO SANCHEZ</v>
          </cell>
          <cell r="T1161" t="e">
            <v>#REF!</v>
          </cell>
        </row>
        <row r="1162">
          <cell r="A1162" t="str">
            <v>VALLE DE SANTIAGO</v>
          </cell>
          <cell r="B1162" t="str">
            <v>11EPR0572Q</v>
          </cell>
          <cell r="C1162" t="str">
            <v>X</v>
          </cell>
          <cell r="E1162" t="str">
            <v>EMILIANO ZAPATA</v>
          </cell>
          <cell r="F1162">
            <v>534</v>
          </cell>
          <cell r="G1162">
            <v>6</v>
          </cell>
          <cell r="H1162" t="str">
            <v>Valle de Santiago</v>
          </cell>
          <cell r="I1162">
            <v>85000</v>
          </cell>
          <cell r="J1162" t="str">
            <v>Completa</v>
          </cell>
          <cell r="K1162" t="str">
            <v>LAZARO RODRIGUEZ NUM. 5</v>
          </cell>
          <cell r="L1162" t="str">
            <v>EMILIANO ZAPATA</v>
          </cell>
          <cell r="M1162" t="str">
            <v>VALLE DE SANTIAGO</v>
          </cell>
          <cell r="T1162" t="e">
            <v>#REF!</v>
          </cell>
        </row>
        <row r="1163">
          <cell r="A1163" t="str">
            <v>SAN NICOLAS PARANGUEO</v>
          </cell>
          <cell r="B1163" t="str">
            <v>11DJN0137Z</v>
          </cell>
          <cell r="C1163" t="str">
            <v>X</v>
          </cell>
          <cell r="E1163" t="str">
            <v>LUCAS ALAMAN</v>
          </cell>
          <cell r="F1163">
            <v>93</v>
          </cell>
          <cell r="G1163">
            <v>22</v>
          </cell>
          <cell r="H1163" t="str">
            <v>Valle de Santiago</v>
          </cell>
          <cell r="I1163">
            <v>85000</v>
          </cell>
          <cell r="J1163" t="str">
            <v>Completa</v>
          </cell>
          <cell r="K1163" t="str">
            <v>JUAREZ SAN NICOLAS PARANGUEO</v>
          </cell>
          <cell r="L1163" t="str">
            <v>LOCALIDAD SAN NICOLAS PARANGUEO</v>
          </cell>
          <cell r="M1163" t="str">
            <v>SAN NICOLAS PARANGUEO</v>
          </cell>
          <cell r="T1163" t="e">
            <v>#REF!</v>
          </cell>
        </row>
        <row r="1164">
          <cell r="A1164" t="str">
            <v>CRUCITAS</v>
          </cell>
          <cell r="B1164" t="str">
            <v>11DJN3745W</v>
          </cell>
          <cell r="C1164" t="str">
            <v>X</v>
          </cell>
          <cell r="E1164" t="str">
            <v>LEONA VICARIO</v>
          </cell>
          <cell r="F1164">
            <v>93</v>
          </cell>
          <cell r="G1164">
            <v>22</v>
          </cell>
          <cell r="H1164" t="str">
            <v>Valle de Santiago</v>
          </cell>
          <cell r="I1164">
            <v>30000</v>
          </cell>
          <cell r="J1164" t="str">
            <v>Multigrado</v>
          </cell>
          <cell r="K1164" t="str">
            <v>LOCALIDAD CRUCITAS</v>
          </cell>
          <cell r="L1164" t="str">
            <v>LOCALIDAD CRUCITAS</v>
          </cell>
          <cell r="M1164" t="str">
            <v>CRUCITAS</v>
          </cell>
          <cell r="T1164" t="e">
            <v>#REF!</v>
          </cell>
        </row>
        <row r="1165">
          <cell r="A1165" t="str">
            <v>VALLE DE SANTIAGO</v>
          </cell>
          <cell r="B1165" t="str">
            <v>11EJN0048E</v>
          </cell>
          <cell r="C1165" t="str">
            <v>X</v>
          </cell>
          <cell r="E1165" t="str">
            <v>MIGUEL HIDALGO</v>
          </cell>
          <cell r="F1165">
            <v>515</v>
          </cell>
          <cell r="G1165">
            <v>8</v>
          </cell>
          <cell r="H1165" t="str">
            <v>Valle de Santiago</v>
          </cell>
          <cell r="I1165">
            <v>85000</v>
          </cell>
          <cell r="J1165" t="str">
            <v>Completa</v>
          </cell>
          <cell r="K1165" t="str">
            <v>MANUEL DOBLADO S/N</v>
          </cell>
          <cell r="L1165" t="str">
            <v>ZONA CENTRO</v>
          </cell>
          <cell r="M1165" t="str">
            <v>VALLE DE SANTIAGO</v>
          </cell>
          <cell r="T1165" t="e">
            <v>#REF!</v>
          </cell>
        </row>
        <row r="1166">
          <cell r="A1166" t="str">
            <v>SAN NICOLAS PARANGUEO</v>
          </cell>
          <cell r="B1166" t="str">
            <v>11ETV0292F</v>
          </cell>
          <cell r="C1166" t="str">
            <v>X</v>
          </cell>
          <cell r="E1166" t="str">
            <v>TELESECUNDARIA NUM. 295</v>
          </cell>
          <cell r="F1166">
            <v>534</v>
          </cell>
          <cell r="G1166">
            <v>8</v>
          </cell>
          <cell r="H1166" t="str">
            <v>Valle de Santiago</v>
          </cell>
          <cell r="I1166">
            <v>85000</v>
          </cell>
          <cell r="J1166" t="str">
            <v>Completa</v>
          </cell>
          <cell r="K1166" t="str">
            <v>JUAREZ SAN NICOLAS PARANGUEO</v>
          </cell>
          <cell r="L1166" t="str">
            <v>LOCALIDAD SAN NICOLAS PARANGUEO</v>
          </cell>
          <cell r="M1166" t="str">
            <v>SAN NICOLAS PARANGUEO</v>
          </cell>
          <cell r="T1166" t="e">
            <v>#REF!</v>
          </cell>
        </row>
        <row r="1167">
          <cell r="A1167" t="str">
            <v>RANCHO NUEVO DE SAN ANDRES</v>
          </cell>
          <cell r="B1167" t="str">
            <v>11DJN0241K</v>
          </cell>
          <cell r="C1167" t="str">
            <v>X</v>
          </cell>
          <cell r="E1167" t="str">
            <v>AMADO NERVO</v>
          </cell>
          <cell r="F1167">
            <v>93</v>
          </cell>
          <cell r="G1167">
            <v>22</v>
          </cell>
          <cell r="H1167" t="str">
            <v>Valle de Santiago</v>
          </cell>
          <cell r="I1167">
            <v>30000</v>
          </cell>
          <cell r="J1167" t="str">
            <v>Multigrado</v>
          </cell>
          <cell r="K1167" t="str">
            <v>RANCHO GALEANA RANCHO NUEVO DE SAN ANDRES S/N</v>
          </cell>
          <cell r="L1167" t="str">
            <v>RANCHO NUEVO DE SAN ANDRES</v>
          </cell>
          <cell r="M1167" t="str">
            <v>RANCHO NUEVO DE SAN ANDRES</v>
          </cell>
          <cell r="T1167" t="e">
            <v>#REF!</v>
          </cell>
        </row>
        <row r="1168">
          <cell r="A1168" t="str">
            <v>EL TAMBOR</v>
          </cell>
          <cell r="B1168" t="str">
            <v>11DJN1089M</v>
          </cell>
          <cell r="C1168" t="str">
            <v>X</v>
          </cell>
          <cell r="E1168" t="str">
            <v>JESUS TERAN PEREDO</v>
          </cell>
          <cell r="F1168">
            <v>16</v>
          </cell>
          <cell r="G1168">
            <v>22</v>
          </cell>
          <cell r="H1168" t="str">
            <v>Valle de Santiago</v>
          </cell>
          <cell r="I1168">
            <v>30000</v>
          </cell>
          <cell r="J1168" t="str">
            <v>Multigrado</v>
          </cell>
          <cell r="K1168" t="str">
            <v>EL TAMBOR</v>
          </cell>
          <cell r="L1168">
            <v>0</v>
          </cell>
          <cell r="M1168" t="str">
            <v>EL TAMBOR</v>
          </cell>
          <cell r="T1168" t="e">
            <v>#REF!</v>
          </cell>
        </row>
        <row r="1169">
          <cell r="A1169" t="str">
            <v>POZO DE PARANGUEO</v>
          </cell>
          <cell r="B1169" t="str">
            <v>11DJN3114I</v>
          </cell>
          <cell r="C1169" t="str">
            <v>X</v>
          </cell>
          <cell r="E1169" t="str">
            <v>JOSE DE LOS REYES MARTINEZ</v>
          </cell>
          <cell r="F1169">
            <v>93</v>
          </cell>
          <cell r="G1169">
            <v>22</v>
          </cell>
          <cell r="H1169" t="str">
            <v>Valle de Santiago</v>
          </cell>
          <cell r="I1169">
            <v>30000</v>
          </cell>
          <cell r="J1169" t="str">
            <v>Multigrado</v>
          </cell>
          <cell r="K1169" t="str">
            <v>POZO DE PARANGUEO</v>
          </cell>
          <cell r="L1169" t="str">
            <v>LOCALIDAD POZO DE PARNGUEO</v>
          </cell>
          <cell r="M1169" t="str">
            <v>POZO DE PARANGUEO</v>
          </cell>
          <cell r="T1169" t="e">
            <v>#REF!</v>
          </cell>
        </row>
        <row r="1170">
          <cell r="A1170" t="str">
            <v>COLONIA BENITO JUAREZ</v>
          </cell>
          <cell r="B1170" t="str">
            <v>11DJN4285I</v>
          </cell>
          <cell r="C1170" t="str">
            <v>X</v>
          </cell>
          <cell r="E1170" t="str">
            <v>JOSEFA ORTIZ DE DOMINGUEZ</v>
          </cell>
          <cell r="F1170">
            <v>93</v>
          </cell>
          <cell r="G1170">
            <v>22</v>
          </cell>
          <cell r="H1170" t="str">
            <v>Valle de Santiago</v>
          </cell>
          <cell r="I1170">
            <v>30000</v>
          </cell>
          <cell r="J1170" t="str">
            <v>Multigrado</v>
          </cell>
          <cell r="K1170" t="str">
            <v>HIDALGO LOCALIDAD COLONIA BENITO JUAREZ NUM. 76</v>
          </cell>
          <cell r="L1170" t="str">
            <v>LOCALIDAD COLONIA BENITO JUAREZ</v>
          </cell>
          <cell r="M1170" t="str">
            <v>COLONIA BENITO JUAREZ</v>
          </cell>
          <cell r="T1170" t="e">
            <v>#REF!</v>
          </cell>
        </row>
        <row r="1171">
          <cell r="A1171" t="str">
            <v>CERRO BLANCO</v>
          </cell>
          <cell r="B1171" t="str">
            <v>11DJN4482J</v>
          </cell>
          <cell r="C1171" t="str">
            <v>X</v>
          </cell>
          <cell r="E1171" t="str">
            <v>MANUEL CERVANTES IMAZ</v>
          </cell>
          <cell r="F1171">
            <v>93</v>
          </cell>
          <cell r="G1171">
            <v>22</v>
          </cell>
          <cell r="H1171" t="str">
            <v>Valle de Santiago</v>
          </cell>
          <cell r="I1171">
            <v>30000</v>
          </cell>
          <cell r="J1171" t="str">
            <v>Multigrado</v>
          </cell>
          <cell r="K1171" t="str">
            <v>CERRO BLANCO</v>
          </cell>
          <cell r="L1171">
            <v>0</v>
          </cell>
          <cell r="M1171" t="str">
            <v>CERRO BLANCO</v>
          </cell>
          <cell r="T1171" t="e">
            <v>#REF!</v>
          </cell>
        </row>
        <row r="1172">
          <cell r="A1172" t="str">
            <v>CHARCO DE PANTOJA</v>
          </cell>
          <cell r="B1172" t="str">
            <v>11DJN0175B</v>
          </cell>
          <cell r="C1172" t="str">
            <v>X</v>
          </cell>
          <cell r="E1172" t="str">
            <v>ESTEFANIA CASTAÑEDA</v>
          </cell>
          <cell r="F1172">
            <v>29</v>
          </cell>
          <cell r="G1172">
            <v>22</v>
          </cell>
          <cell r="H1172" t="str">
            <v>Valle de Santiago</v>
          </cell>
          <cell r="I1172">
            <v>30000</v>
          </cell>
          <cell r="J1172" t="str">
            <v>Multigrado</v>
          </cell>
          <cell r="K1172" t="str">
            <v>FRANCISCO I. MADERO S/N</v>
          </cell>
          <cell r="L1172">
            <v>0</v>
          </cell>
          <cell r="M1172" t="str">
            <v>CHARCO DE PANTOJA</v>
          </cell>
          <cell r="T1172" t="e">
            <v>#REF!</v>
          </cell>
        </row>
        <row r="1173">
          <cell r="A1173" t="str">
            <v>RINCON DE PARANGUEO</v>
          </cell>
          <cell r="B1173" t="str">
            <v>11DJN0531A</v>
          </cell>
          <cell r="C1173" t="str">
            <v>X</v>
          </cell>
          <cell r="E1173" t="str">
            <v>BENITO JUAREZ</v>
          </cell>
          <cell r="F1173">
            <v>93</v>
          </cell>
          <cell r="G1173">
            <v>22</v>
          </cell>
          <cell r="H1173" t="str">
            <v>Valle de Santiago</v>
          </cell>
          <cell r="I1173">
            <v>85000</v>
          </cell>
          <cell r="J1173" t="str">
            <v>Completa</v>
          </cell>
          <cell r="K1173" t="str">
            <v>ARBOLEDA RINCON DE PARANGUEO</v>
          </cell>
          <cell r="L1173" t="str">
            <v>LOCALIDAD RINCON DE PARANGUEO</v>
          </cell>
          <cell r="M1173" t="str">
            <v>RINCON DE PARANGUEO</v>
          </cell>
          <cell r="T1173" t="e">
            <v>#REF!</v>
          </cell>
        </row>
        <row r="1174">
          <cell r="A1174" t="str">
            <v>CAHUAGEO</v>
          </cell>
          <cell r="B1174" t="str">
            <v>11DJN4286H</v>
          </cell>
          <cell r="C1174" t="str">
            <v>X</v>
          </cell>
          <cell r="E1174" t="str">
            <v>JOSE VASCONCELOS</v>
          </cell>
          <cell r="F1174">
            <v>93</v>
          </cell>
          <cell r="G1174">
            <v>22</v>
          </cell>
          <cell r="H1174" t="str">
            <v>Valle de Santiago</v>
          </cell>
          <cell r="I1174">
            <v>30000</v>
          </cell>
          <cell r="J1174" t="str">
            <v>Multigrado</v>
          </cell>
          <cell r="K1174" t="str">
            <v>CAHUAGEO</v>
          </cell>
          <cell r="L1174" t="str">
            <v>LOCALIDAD CAHUAGEO</v>
          </cell>
          <cell r="M1174" t="str">
            <v>CAHUAGEO</v>
          </cell>
          <cell r="T1174" t="e">
            <v>#REF!</v>
          </cell>
        </row>
        <row r="1175">
          <cell r="A1175" t="str">
            <v>RANCHO CUATRO DE ALTAMIRA</v>
          </cell>
          <cell r="B1175" t="str">
            <v>11DPR2279A</v>
          </cell>
          <cell r="C1175" t="str">
            <v>X</v>
          </cell>
          <cell r="E1175" t="str">
            <v>GUADALUPE VICTORIA</v>
          </cell>
          <cell r="F1175">
            <v>142</v>
          </cell>
          <cell r="G1175">
            <v>12</v>
          </cell>
          <cell r="H1175" t="str">
            <v>Valle de Santiago</v>
          </cell>
          <cell r="I1175">
            <v>30000</v>
          </cell>
          <cell r="J1175" t="str">
            <v>Multigrado</v>
          </cell>
          <cell r="K1175" t="str">
            <v>CUATRO DE ALTAMIRA</v>
          </cell>
          <cell r="L1175" t="str">
            <v>CUATRO DE ALTAMIRA</v>
          </cell>
          <cell r="M1175" t="str">
            <v>RANCHO CUATRO DE ALTAMIRA</v>
          </cell>
          <cell r="T1175" t="e">
            <v>#REF!</v>
          </cell>
        </row>
        <row r="1176">
          <cell r="A1176" t="str">
            <v>SAN JERONIMO DE ARACEO</v>
          </cell>
          <cell r="B1176" t="str">
            <v>11DJN0424S</v>
          </cell>
          <cell r="C1176" t="str">
            <v>X</v>
          </cell>
          <cell r="E1176" t="str">
            <v>IGNACIO M. ALTAMIRANO</v>
          </cell>
          <cell r="F1176">
            <v>93</v>
          </cell>
          <cell r="G1176">
            <v>22</v>
          </cell>
          <cell r="H1176" t="str">
            <v>Valle de Santiago</v>
          </cell>
          <cell r="I1176">
            <v>85000</v>
          </cell>
          <cell r="J1176" t="str">
            <v>Completa</v>
          </cell>
          <cell r="K1176" t="str">
            <v>OBREGON SAN JERONIMO DE ARACEO NUM. 1</v>
          </cell>
          <cell r="L1176" t="str">
            <v>LOCALIDAD SAN JERONIMO DE ARACEO</v>
          </cell>
          <cell r="M1176" t="str">
            <v>SAN JERONIMO DE ARACEO</v>
          </cell>
          <cell r="T1176" t="e">
            <v>#REF!</v>
          </cell>
        </row>
        <row r="1177">
          <cell r="A1177" t="str">
            <v>BELLA VISTA DE SANTA MARIA (BELLA VISTA)</v>
          </cell>
          <cell r="B1177" t="str">
            <v>11DPR0422K</v>
          </cell>
          <cell r="D1177" t="str">
            <v>X</v>
          </cell>
          <cell r="E1177" t="str">
            <v>VICENTE GUERRERO</v>
          </cell>
          <cell r="F1177">
            <v>143</v>
          </cell>
          <cell r="G1177">
            <v>12</v>
          </cell>
          <cell r="H1177" t="str">
            <v>Valle de Santiago</v>
          </cell>
          <cell r="I1177">
            <v>85000</v>
          </cell>
          <cell r="J1177" t="str">
            <v>Completa</v>
          </cell>
          <cell r="K1177" t="str">
            <v>BELLA VISTA DE SANTA MARIA S/N</v>
          </cell>
          <cell r="L1177" t="str">
            <v>LOCALIDAD BELLAVISTA DE SANTA MARIA</v>
          </cell>
          <cell r="M1177" t="str">
            <v>BELLA VISTA DE SANTA MARIA (BELLA VISTA)</v>
          </cell>
          <cell r="T1177" t="e">
            <v>#REF!</v>
          </cell>
        </row>
        <row r="1178">
          <cell r="A1178" t="str">
            <v>MOGOTES DE SAN JOSE PARANGUEO</v>
          </cell>
          <cell r="B1178" t="str">
            <v>11DJN0097O</v>
          </cell>
          <cell r="C1178" t="str">
            <v>X</v>
          </cell>
          <cell r="E1178" t="str">
            <v>RAFAEL RAMIREZ CASTAÑEDA</v>
          </cell>
          <cell r="F1178">
            <v>16</v>
          </cell>
          <cell r="G1178">
            <v>22</v>
          </cell>
          <cell r="H1178" t="str">
            <v>Valle de Santiago</v>
          </cell>
          <cell r="I1178">
            <v>85000</v>
          </cell>
          <cell r="J1178" t="str">
            <v>Completa</v>
          </cell>
          <cell r="K1178" t="str">
            <v>SAN IGNACIO DE MOGOTES</v>
          </cell>
          <cell r="L1178" t="str">
            <v>SAN IGNACIO MOGOTE</v>
          </cell>
          <cell r="M1178" t="str">
            <v>MOGOTES DE SAN JOSE PARANGUEO</v>
          </cell>
          <cell r="T1178" t="e">
            <v>#REF!</v>
          </cell>
        </row>
        <row r="1179">
          <cell r="A1179" t="str">
            <v>LAGUNILLA DE MOGOTES</v>
          </cell>
          <cell r="B1179" t="str">
            <v>11DJN3376T</v>
          </cell>
          <cell r="C1179" t="str">
            <v>X</v>
          </cell>
          <cell r="E1179" t="str">
            <v>DIEGO RIVERA</v>
          </cell>
          <cell r="F1179">
            <v>93</v>
          </cell>
          <cell r="G1179">
            <v>22</v>
          </cell>
          <cell r="H1179" t="str">
            <v>Valle de Santiago</v>
          </cell>
          <cell r="I1179">
            <v>30000</v>
          </cell>
          <cell r="J1179" t="str">
            <v>Multigrado</v>
          </cell>
          <cell r="K1179" t="str">
            <v>LAGUNILLA DE MOGOTES</v>
          </cell>
          <cell r="L1179" t="str">
            <v>LOCALIDAD LAGUNILLA DE MOGOTES</v>
          </cell>
          <cell r="M1179" t="str">
            <v>LAGUNILLA DE MOGOTES</v>
          </cell>
          <cell r="T1179" t="e">
            <v>#REF!</v>
          </cell>
        </row>
        <row r="1180">
          <cell r="A1180" t="str">
            <v>SAN NICOLAS QUIRICEO</v>
          </cell>
          <cell r="B1180" t="str">
            <v>11DJN0807Y</v>
          </cell>
          <cell r="C1180" t="str">
            <v>X</v>
          </cell>
          <cell r="E1180" t="str">
            <v>MARGARITA PAZ PAREDES</v>
          </cell>
          <cell r="F1180">
            <v>16</v>
          </cell>
          <cell r="G1180">
            <v>22</v>
          </cell>
          <cell r="H1180" t="str">
            <v>Valle de Santiago</v>
          </cell>
          <cell r="I1180">
            <v>25000</v>
          </cell>
          <cell r="J1180" t="str">
            <v>Multigrado</v>
          </cell>
          <cell r="K1180" t="str">
            <v>SAN NICOLAS QUIRICEO</v>
          </cell>
          <cell r="L1180" t="str">
            <v>SAN NICOLAS QUIRICEO</v>
          </cell>
          <cell r="M1180" t="str">
            <v>SAN NICOLAS QUIRICEO</v>
          </cell>
          <cell r="T1180" t="e">
            <v>#REF!</v>
          </cell>
        </row>
        <row r="1181">
          <cell r="A1181" t="str">
            <v>BOTIJA</v>
          </cell>
          <cell r="B1181" t="str">
            <v>11DPR0599Y</v>
          </cell>
          <cell r="C1181" t="str">
            <v>X</v>
          </cell>
          <cell r="E1181" t="str">
            <v>AQUILES SERDAN</v>
          </cell>
          <cell r="F1181">
            <v>68</v>
          </cell>
          <cell r="G1181">
            <v>12</v>
          </cell>
          <cell r="H1181" t="str">
            <v>Valle de Santiago</v>
          </cell>
          <cell r="I1181">
            <v>30000</v>
          </cell>
          <cell r="J1181" t="str">
            <v>Multigrado</v>
          </cell>
          <cell r="K1181" t="str">
            <v>LOCALIDAD BOTIJA</v>
          </cell>
          <cell r="L1181" t="str">
            <v>LOCALIDAD BOTIJA</v>
          </cell>
          <cell r="M1181" t="str">
            <v>BOTIJA</v>
          </cell>
          <cell r="T1181" t="e">
            <v>#REF!</v>
          </cell>
        </row>
        <row r="1182">
          <cell r="A1182" t="str">
            <v>VALLE DE SANTIAGO</v>
          </cell>
          <cell r="B1182" t="str">
            <v>11DPR1225Q</v>
          </cell>
          <cell r="C1182" t="str">
            <v>X</v>
          </cell>
          <cell r="E1182" t="str">
            <v>LIBERTAD</v>
          </cell>
          <cell r="F1182">
            <v>68</v>
          </cell>
          <cell r="G1182">
            <v>12</v>
          </cell>
          <cell r="H1182" t="str">
            <v>Valle de Santiago</v>
          </cell>
          <cell r="I1182">
            <v>85000</v>
          </cell>
          <cell r="J1182" t="str">
            <v>Completa</v>
          </cell>
          <cell r="K1182" t="str">
            <v>OAXACA Y LEONA VICARIO S/N</v>
          </cell>
          <cell r="L1182" t="str">
            <v>LINDAVISTA</v>
          </cell>
          <cell r="M1182" t="str">
            <v>VALLE DE SANTIAGO</v>
          </cell>
          <cell r="T1182" t="e">
            <v>#REF!</v>
          </cell>
        </row>
        <row r="1183">
          <cell r="A1183" t="str">
            <v>PUERTA DE SAN ROQUE</v>
          </cell>
          <cell r="B1183" t="str">
            <v>11EPR0429C</v>
          </cell>
          <cell r="C1183" t="str">
            <v>X</v>
          </cell>
          <cell r="E1183" t="str">
            <v>JUAN ESCUTIA</v>
          </cell>
          <cell r="F1183">
            <v>534</v>
          </cell>
          <cell r="G1183">
            <v>6</v>
          </cell>
          <cell r="H1183" t="str">
            <v>Valle de Santiago</v>
          </cell>
          <cell r="I1183">
            <v>80000</v>
          </cell>
          <cell r="J1183" t="str">
            <v>Completa</v>
          </cell>
          <cell r="K1183" t="str">
            <v>PUERTA DE SAN ROQUE</v>
          </cell>
          <cell r="L1183" t="str">
            <v>LOCALIDAD PUERTA DE SAN ROQUE</v>
          </cell>
          <cell r="M1183" t="str">
            <v>PUERTA DE SAN ROQUE</v>
          </cell>
          <cell r="T1183" t="e">
            <v>#REF!</v>
          </cell>
        </row>
        <row r="1184">
          <cell r="A1184" t="str">
            <v>SAN ANTONIO DE MOGOTES</v>
          </cell>
          <cell r="B1184" t="str">
            <v>11DJN0425R</v>
          </cell>
          <cell r="C1184" t="str">
            <v>X</v>
          </cell>
          <cell r="E1184" t="str">
            <v>JESUS TERAN PEREDO</v>
          </cell>
          <cell r="F1184">
            <v>16</v>
          </cell>
          <cell r="G1184">
            <v>22</v>
          </cell>
          <cell r="H1184" t="str">
            <v>Valle de Santiago</v>
          </cell>
          <cell r="I1184">
            <v>85000</v>
          </cell>
          <cell r="J1184" t="str">
            <v>Completa</v>
          </cell>
          <cell r="K1184" t="str">
            <v>SAN ANTONIO DE MOGOTES</v>
          </cell>
          <cell r="L1184">
            <v>0</v>
          </cell>
          <cell r="M1184" t="str">
            <v>SAN ANTONIO DE MOGOTES</v>
          </cell>
          <cell r="T1184" t="e">
            <v>#REF!</v>
          </cell>
        </row>
        <row r="1185">
          <cell r="A1185" t="str">
            <v>EL PITAHAYO</v>
          </cell>
          <cell r="B1185" t="str">
            <v>11DJN0800E</v>
          </cell>
          <cell r="C1185" t="str">
            <v>X</v>
          </cell>
          <cell r="E1185" t="str">
            <v>ALVARO OBREGON</v>
          </cell>
          <cell r="F1185">
            <v>70</v>
          </cell>
          <cell r="G1185">
            <v>22</v>
          </cell>
          <cell r="H1185" t="str">
            <v>Valle de Santiago</v>
          </cell>
          <cell r="I1185">
            <v>25000</v>
          </cell>
          <cell r="J1185" t="str">
            <v>Multigrado</v>
          </cell>
          <cell r="K1185" t="str">
            <v>RIO LERMA EL PITAHAYO</v>
          </cell>
          <cell r="L1185" t="str">
            <v>LOCALIDAD EL PITAHAYO</v>
          </cell>
          <cell r="M1185" t="str">
            <v>EL PITAHAYO</v>
          </cell>
          <cell r="T1185" t="e">
            <v>#REF!</v>
          </cell>
        </row>
        <row r="1186">
          <cell r="A1186" t="str">
            <v>SAN VICENTE DE GARMA (GARMA)</v>
          </cell>
          <cell r="B1186" t="str">
            <v>11DPR0462L</v>
          </cell>
          <cell r="C1186" t="str">
            <v>X</v>
          </cell>
          <cell r="E1186" t="str">
            <v>JOSE MA. MORELOS</v>
          </cell>
          <cell r="F1186">
            <v>142</v>
          </cell>
          <cell r="G1186">
            <v>12</v>
          </cell>
          <cell r="H1186" t="str">
            <v>Valle de Santiago</v>
          </cell>
          <cell r="I1186">
            <v>85000</v>
          </cell>
          <cell r="J1186" t="str">
            <v>Completa</v>
          </cell>
          <cell r="K1186" t="str">
            <v>SAN VICENTE</v>
          </cell>
          <cell r="L1186">
            <v>0</v>
          </cell>
          <cell r="M1186" t="str">
            <v>SAN VICENTE DE GARMA (GARMA)</v>
          </cell>
          <cell r="T1186" t="e">
            <v>#REF!</v>
          </cell>
        </row>
        <row r="1187">
          <cell r="A1187" t="str">
            <v>VALLE DE SANTIAGO</v>
          </cell>
          <cell r="B1187" t="str">
            <v>11DPR3034N</v>
          </cell>
          <cell r="C1187" t="str">
            <v>X</v>
          </cell>
          <cell r="E1187" t="str">
            <v>21 DE MARZO</v>
          </cell>
          <cell r="F1187">
            <v>143</v>
          </cell>
          <cell r="G1187">
            <v>12</v>
          </cell>
          <cell r="H1187" t="str">
            <v>Valle de Santiago</v>
          </cell>
          <cell r="I1187">
            <v>85000</v>
          </cell>
          <cell r="J1187" t="str">
            <v>Completa</v>
          </cell>
          <cell r="K1187" t="str">
            <v>CENTRAL</v>
          </cell>
          <cell r="L1187" t="str">
            <v>LA LOMA</v>
          </cell>
          <cell r="M1187" t="str">
            <v>VALLE DE SANTIAGO</v>
          </cell>
          <cell r="T1187" t="e">
            <v>#REF!</v>
          </cell>
        </row>
        <row r="1188">
          <cell r="A1188" t="str">
            <v>LOMA TENDIDA</v>
          </cell>
          <cell r="B1188" t="str">
            <v>11EPR0342Y</v>
          </cell>
          <cell r="D1188" t="str">
            <v>X</v>
          </cell>
          <cell r="E1188" t="str">
            <v>CUAUHTEMOC</v>
          </cell>
          <cell r="F1188">
            <v>509</v>
          </cell>
          <cell r="G1188">
            <v>6</v>
          </cell>
          <cell r="H1188" t="str">
            <v>Valle de Santiago</v>
          </cell>
          <cell r="I1188">
            <v>85000</v>
          </cell>
          <cell r="J1188" t="str">
            <v>Completa</v>
          </cell>
          <cell r="K1188" t="str">
            <v>JUAREZ NUM. 34</v>
          </cell>
          <cell r="L1188" t="str">
            <v>LOCALIDAD LOMA TENDIDA</v>
          </cell>
          <cell r="M1188" t="str">
            <v>LOMA TENDIDA</v>
          </cell>
          <cell r="T1188" t="e">
            <v>#REF!</v>
          </cell>
        </row>
        <row r="1189">
          <cell r="A1189" t="str">
            <v>SAN VICENTE DE GARMA (GARMA)</v>
          </cell>
          <cell r="B1189" t="str">
            <v>11DJN0292R</v>
          </cell>
          <cell r="C1189" t="str">
            <v>X</v>
          </cell>
          <cell r="E1189" t="str">
            <v>GENERAL LAZARO CARDENAS DEL RIO</v>
          </cell>
          <cell r="F1189">
            <v>70</v>
          </cell>
          <cell r="G1189">
            <v>22</v>
          </cell>
          <cell r="H1189" t="str">
            <v>Valle de Santiago</v>
          </cell>
          <cell r="I1189">
            <v>30000</v>
          </cell>
          <cell r="J1189" t="str">
            <v>Multigrado</v>
          </cell>
          <cell r="K1189" t="str">
            <v>SAN VICENTE</v>
          </cell>
          <cell r="L1189" t="str">
            <v>LOCALIDAD SAN VICENTE DE GARMA</v>
          </cell>
          <cell r="M1189" t="str">
            <v>SAN VICENTE DE GARMA (GARMA)</v>
          </cell>
          <cell r="T1189" t="e">
            <v>#REF!</v>
          </cell>
        </row>
        <row r="1190">
          <cell r="A1190" t="str">
            <v>GUARAPO</v>
          </cell>
          <cell r="B1190" t="str">
            <v>11DJN0530B</v>
          </cell>
          <cell r="C1190" t="str">
            <v>X</v>
          </cell>
          <cell r="E1190" t="str">
            <v>JOSE JOAQUIN FERNANDEZ DE LIZARDI</v>
          </cell>
          <cell r="F1190">
            <v>29</v>
          </cell>
          <cell r="G1190">
            <v>22</v>
          </cell>
          <cell r="H1190" t="str">
            <v>Valle de Santiago</v>
          </cell>
          <cell r="I1190">
            <v>30000</v>
          </cell>
          <cell r="J1190" t="str">
            <v>Multigrado</v>
          </cell>
          <cell r="K1190" t="str">
            <v>GUARAPO</v>
          </cell>
          <cell r="L1190">
            <v>0</v>
          </cell>
          <cell r="M1190" t="str">
            <v>GUARAPO</v>
          </cell>
          <cell r="T1190" t="e">
            <v>#REF!</v>
          </cell>
        </row>
        <row r="1191">
          <cell r="A1191" t="str">
            <v>SAN ISIDRO DE MOGOTES</v>
          </cell>
          <cell r="B1191" t="str">
            <v>11DJN3008Z</v>
          </cell>
          <cell r="C1191" t="str">
            <v>X</v>
          </cell>
          <cell r="E1191" t="str">
            <v>5 DE MAYO</v>
          </cell>
          <cell r="F1191">
            <v>16</v>
          </cell>
          <cell r="G1191">
            <v>22</v>
          </cell>
          <cell r="H1191" t="str">
            <v>Valle de Santiago</v>
          </cell>
          <cell r="I1191">
            <v>30000</v>
          </cell>
          <cell r="J1191" t="str">
            <v>Multigrado</v>
          </cell>
          <cell r="K1191" t="str">
            <v>SAN ISIDRO DE MOGOTES NUM. 22</v>
          </cell>
          <cell r="L1191">
            <v>0</v>
          </cell>
          <cell r="M1191" t="str">
            <v>SAN ISIDRO DE MOGOTES</v>
          </cell>
          <cell r="T1191" t="e">
            <v>#REF!</v>
          </cell>
        </row>
        <row r="1192">
          <cell r="A1192" t="str">
            <v>NORIA DE MOSQUEDA</v>
          </cell>
          <cell r="B1192" t="str">
            <v>11DPR0438L</v>
          </cell>
          <cell r="C1192" t="str">
            <v>X</v>
          </cell>
          <cell r="E1192" t="str">
            <v>ADOLFO LOPEZ MATEOS</v>
          </cell>
          <cell r="F1192">
            <v>11</v>
          </cell>
          <cell r="G1192">
            <v>12</v>
          </cell>
          <cell r="H1192" t="str">
            <v>Valle de Santiago</v>
          </cell>
          <cell r="I1192">
            <v>85000</v>
          </cell>
          <cell r="J1192" t="str">
            <v>Completa</v>
          </cell>
          <cell r="K1192" t="str">
            <v>CALLE PRINCIPAL NORIA DE MOSQUEDA NUM. 49</v>
          </cell>
          <cell r="L1192" t="str">
            <v>LOCALIDAD NORIA DE MOSQUEDA</v>
          </cell>
          <cell r="M1192" t="str">
            <v>NORIA DE MOSQUEDA</v>
          </cell>
          <cell r="T1192" t="e">
            <v>#REF!</v>
          </cell>
        </row>
        <row r="1193">
          <cell r="A1193" t="str">
            <v>POZO DE AROSTEGUI (LAS CORREAS)</v>
          </cell>
          <cell r="B1193" t="str">
            <v>11DPR0443X</v>
          </cell>
          <cell r="C1193" t="str">
            <v>X</v>
          </cell>
          <cell r="E1193" t="str">
            <v>VEINTE DE NOVIEMBRE</v>
          </cell>
          <cell r="F1193">
            <v>143</v>
          </cell>
          <cell r="G1193">
            <v>12</v>
          </cell>
          <cell r="H1193" t="str">
            <v>Valle de Santiago</v>
          </cell>
          <cell r="I1193">
            <v>30000</v>
          </cell>
          <cell r="J1193" t="str">
            <v>Multigrado</v>
          </cell>
          <cell r="K1193" t="str">
            <v>PIPILA NUM. 1</v>
          </cell>
          <cell r="L1193" t="str">
            <v>POZO DE AROSTEGUI</v>
          </cell>
          <cell r="M1193" t="str">
            <v>POZO DE AROSTEGUI (LAS CORREAS)</v>
          </cell>
          <cell r="T1193" t="e">
            <v>#REF!</v>
          </cell>
        </row>
        <row r="1194">
          <cell r="A1194" t="str">
            <v>SANTA ANA</v>
          </cell>
          <cell r="B1194" t="str">
            <v>11DJN0534Y</v>
          </cell>
          <cell r="C1194" t="str">
            <v>X</v>
          </cell>
          <cell r="E1194" t="str">
            <v>MTRA. MA ENRIQUETA CAMARILLO</v>
          </cell>
          <cell r="F1194">
            <v>70</v>
          </cell>
          <cell r="G1194">
            <v>22</v>
          </cell>
          <cell r="H1194" t="str">
            <v>Valle de Santiago</v>
          </cell>
          <cell r="I1194">
            <v>30000</v>
          </cell>
          <cell r="J1194" t="str">
            <v>Multigrado</v>
          </cell>
          <cell r="K1194" t="str">
            <v>SANTA ANA</v>
          </cell>
          <cell r="L1194">
            <v>0</v>
          </cell>
          <cell r="M1194" t="str">
            <v>SANTA ANA</v>
          </cell>
          <cell r="T1194" t="e">
            <v>#REF!</v>
          </cell>
        </row>
        <row r="1195">
          <cell r="A1195" t="str">
            <v>VALLE DE SANTIAGO</v>
          </cell>
          <cell r="B1195" t="str">
            <v>11DJN2477K</v>
          </cell>
          <cell r="C1195" t="str">
            <v>X</v>
          </cell>
          <cell r="E1195" t="str">
            <v>LUIS CHAVEZ OROZCO</v>
          </cell>
          <cell r="F1195">
            <v>70</v>
          </cell>
          <cell r="G1195">
            <v>22</v>
          </cell>
          <cell r="H1195" t="str">
            <v>Valle de Santiago</v>
          </cell>
          <cell r="I1195">
            <v>85000</v>
          </cell>
          <cell r="J1195" t="str">
            <v>Completa</v>
          </cell>
          <cell r="K1195" t="str">
            <v>AYAMEL S/N</v>
          </cell>
          <cell r="L1195" t="str">
            <v>LOS PINOS</v>
          </cell>
          <cell r="M1195" t="str">
            <v>VALLE DE SANTIAGO</v>
          </cell>
          <cell r="T1195" t="e">
            <v>#REF!</v>
          </cell>
        </row>
        <row r="1196">
          <cell r="A1196" t="e">
            <v>#N/A</v>
          </cell>
          <cell r="B1196" t="str">
            <v>11DML0010S</v>
          </cell>
          <cell r="D1196" t="str">
            <v>X</v>
          </cell>
          <cell r="E1196" t="str">
            <v>CENTRO DE ATENCION MULTIPLE MARIA MONTESSORI</v>
          </cell>
          <cell r="F1196">
            <v>2</v>
          </cell>
          <cell r="G1196">
            <v>88</v>
          </cell>
          <cell r="H1196" t="str">
            <v>Valle de Santiago</v>
          </cell>
          <cell r="I1196">
            <v>85000</v>
          </cell>
          <cell r="J1196" t="str">
            <v>Completa</v>
          </cell>
          <cell r="K1196" t="e">
            <v>#N/A</v>
          </cell>
          <cell r="L1196" t="e">
            <v>#N/A</v>
          </cell>
          <cell r="M1196" t="e">
            <v>#N/A</v>
          </cell>
          <cell r="T1196" t="e">
            <v>#REF!</v>
          </cell>
        </row>
        <row r="1197">
          <cell r="A1197" t="str">
            <v>LA COMPAÑIA</v>
          </cell>
          <cell r="B1197" t="str">
            <v>11DPR0427F</v>
          </cell>
          <cell r="D1197" t="str">
            <v>X</v>
          </cell>
          <cell r="E1197" t="str">
            <v>FELIPE CARRILLO PUERTO</v>
          </cell>
          <cell r="F1197">
            <v>143</v>
          </cell>
          <cell r="G1197">
            <v>12</v>
          </cell>
          <cell r="H1197" t="str">
            <v>Valle de Santiago</v>
          </cell>
          <cell r="I1197">
            <v>85000</v>
          </cell>
          <cell r="J1197" t="str">
            <v>Completa</v>
          </cell>
          <cell r="K1197" t="str">
            <v>CARRANZA LA COMPAÑIA NUM. 10</v>
          </cell>
          <cell r="L1197" t="str">
            <v>LOCALIDAD LA COMPAÑIA</v>
          </cell>
          <cell r="M1197" t="str">
            <v>LA COMPAÑIA</v>
          </cell>
          <cell r="T1197" t="e">
            <v>#REF!</v>
          </cell>
        </row>
        <row r="1198">
          <cell r="A1198" t="str">
            <v>POZO DE AROSTEGUI (LAS CORREAS)</v>
          </cell>
          <cell r="B1198" t="str">
            <v>11DJN0818D</v>
          </cell>
          <cell r="C1198" t="str">
            <v>X</v>
          </cell>
          <cell r="E1198" t="str">
            <v>MARIANO AZUELA</v>
          </cell>
          <cell r="F1198">
            <v>70</v>
          </cell>
          <cell r="G1198">
            <v>22</v>
          </cell>
          <cell r="H1198" t="str">
            <v>Valle de Santiago</v>
          </cell>
          <cell r="I1198">
            <v>30000</v>
          </cell>
          <cell r="J1198" t="str">
            <v>Multigrado</v>
          </cell>
          <cell r="K1198" t="str">
            <v>POZO DE AROSTEGUI</v>
          </cell>
          <cell r="L1198" t="str">
            <v>LOCALIDAD POZO DE AROZTEGUI</v>
          </cell>
          <cell r="M1198" t="str">
            <v>POZO DE AROSTEGUI (LAS CORREAS)</v>
          </cell>
          <cell r="T1198" t="e">
            <v>#REF!</v>
          </cell>
        </row>
        <row r="1199">
          <cell r="A1199" t="str">
            <v>SAN JOAQUIN</v>
          </cell>
          <cell r="B1199" t="str">
            <v>11DJN0843C</v>
          </cell>
          <cell r="C1199" t="str">
            <v>X</v>
          </cell>
          <cell r="E1199" t="str">
            <v>RAMON LOPEZ VELARDE</v>
          </cell>
          <cell r="F1199">
            <v>70</v>
          </cell>
          <cell r="G1199">
            <v>22</v>
          </cell>
          <cell r="H1199" t="str">
            <v>Valle de Santiago</v>
          </cell>
          <cell r="I1199">
            <v>30000</v>
          </cell>
          <cell r="J1199" t="str">
            <v>Multigrado</v>
          </cell>
          <cell r="K1199" t="str">
            <v>SAN JOAQUIN</v>
          </cell>
          <cell r="L1199" t="str">
            <v>LOCALIDAD SAN JOAQUIN</v>
          </cell>
          <cell r="M1199" t="str">
            <v>SAN JOAQUIN</v>
          </cell>
          <cell r="T1199" t="e">
            <v>#REF!</v>
          </cell>
        </row>
        <row r="1200">
          <cell r="A1200" t="str">
            <v>CAHUAGEO</v>
          </cell>
          <cell r="B1200" t="str">
            <v>11DPR0424I</v>
          </cell>
          <cell r="C1200" t="str">
            <v>X</v>
          </cell>
          <cell r="E1200" t="str">
            <v>NARCISO MENDOZA</v>
          </cell>
          <cell r="F1200">
            <v>143</v>
          </cell>
          <cell r="G1200">
            <v>12</v>
          </cell>
          <cell r="H1200" t="str">
            <v>Valle de Santiago</v>
          </cell>
          <cell r="I1200">
            <v>30000</v>
          </cell>
          <cell r="J1200" t="str">
            <v>Multigrado</v>
          </cell>
          <cell r="K1200" t="str">
            <v>LOCALIDADCAHUAGEO</v>
          </cell>
          <cell r="L1200" t="str">
            <v>LOCALIDAD CAHUAGEO</v>
          </cell>
          <cell r="M1200" t="str">
            <v>CAHUAGEO</v>
          </cell>
          <cell r="T1200" t="e">
            <v>#REF!</v>
          </cell>
        </row>
        <row r="1201">
          <cell r="A1201" t="str">
            <v>SAN JOAQUIN</v>
          </cell>
          <cell r="B1201" t="str">
            <v>11DPR0805Q</v>
          </cell>
          <cell r="C1201" t="str">
            <v>X</v>
          </cell>
          <cell r="E1201" t="str">
            <v>GABRIEL RAMOS MILLAN</v>
          </cell>
          <cell r="F1201">
            <v>143</v>
          </cell>
          <cell r="G1201">
            <v>12</v>
          </cell>
          <cell r="H1201" t="str">
            <v>Valle de Santiago</v>
          </cell>
          <cell r="I1201">
            <v>30000</v>
          </cell>
          <cell r="J1201" t="str">
            <v>Multigrado</v>
          </cell>
          <cell r="K1201" t="str">
            <v>SAN JOAQUIN</v>
          </cell>
          <cell r="L1201">
            <v>0</v>
          </cell>
          <cell r="M1201" t="str">
            <v>SAN JOAQUIN</v>
          </cell>
          <cell r="T1201" t="e">
            <v>#REF!</v>
          </cell>
        </row>
        <row r="1202">
          <cell r="A1202" t="str">
            <v>DURANES DE ARRIBA</v>
          </cell>
          <cell r="B1202" t="str">
            <v>11DJN1087O</v>
          </cell>
          <cell r="C1202" t="str">
            <v>X</v>
          </cell>
          <cell r="E1202" t="str">
            <v>NARCIZO MENDOZA</v>
          </cell>
          <cell r="F1202">
            <v>16</v>
          </cell>
          <cell r="G1202">
            <v>22</v>
          </cell>
          <cell r="H1202" t="str">
            <v>Valle de Santiago</v>
          </cell>
          <cell r="I1202">
            <v>30000</v>
          </cell>
          <cell r="J1202" t="str">
            <v>Multigrado</v>
          </cell>
          <cell r="K1202" t="str">
            <v>DURANES DE ARRIBA</v>
          </cell>
          <cell r="L1202">
            <v>0</v>
          </cell>
          <cell r="M1202" t="str">
            <v>DURANES DE ARRIBA</v>
          </cell>
          <cell r="T1202" t="e">
            <v>#REF!</v>
          </cell>
        </row>
        <row r="1203">
          <cell r="A1203" t="str">
            <v>SAN JOSE DE ARACEO</v>
          </cell>
          <cell r="B1203" t="str">
            <v>11DPR2379Z</v>
          </cell>
          <cell r="C1203" t="str">
            <v>X</v>
          </cell>
          <cell r="E1203" t="str">
            <v>FELIPE ANGELES</v>
          </cell>
          <cell r="F1203">
            <v>143</v>
          </cell>
          <cell r="G1203">
            <v>12</v>
          </cell>
          <cell r="H1203" t="str">
            <v>Valle de Santiago</v>
          </cell>
          <cell r="I1203">
            <v>30000</v>
          </cell>
          <cell r="J1203" t="str">
            <v>Multigrado</v>
          </cell>
          <cell r="K1203" t="str">
            <v>SAN JOSE DE ARACEO</v>
          </cell>
          <cell r="L1203">
            <v>0</v>
          </cell>
          <cell r="M1203" t="str">
            <v>SAN JOSE DE ARACEO</v>
          </cell>
          <cell r="T1203" t="e">
            <v>#REF!</v>
          </cell>
        </row>
        <row r="1204">
          <cell r="A1204" t="str">
            <v>SANTA ROSA (SANTA ROSA DE PARANGUEO)</v>
          </cell>
          <cell r="B1204" t="str">
            <v>11DPR2703G</v>
          </cell>
          <cell r="C1204" t="str">
            <v>X</v>
          </cell>
          <cell r="E1204" t="str">
            <v>PABLO NERUDA</v>
          </cell>
          <cell r="F1204">
            <v>11</v>
          </cell>
          <cell r="G1204">
            <v>12</v>
          </cell>
          <cell r="H1204" t="str">
            <v>Valle de Santiago</v>
          </cell>
          <cell r="I1204">
            <v>30000</v>
          </cell>
          <cell r="J1204" t="str">
            <v>Multigrado</v>
          </cell>
          <cell r="K1204" t="str">
            <v>NIÑOS HEROES SANTA ROSA PARANGUEO NUM. 1</v>
          </cell>
          <cell r="L1204" t="str">
            <v>LOCALIDAD SANTA ROSA DE PARANGUEO</v>
          </cell>
          <cell r="M1204" t="str">
            <v>SANTA ROSA (SANTA ROSA DE PARANGUEO)</v>
          </cell>
          <cell r="T1204" t="e">
            <v>#REF!</v>
          </cell>
        </row>
        <row r="1205">
          <cell r="A1205" t="str">
            <v>TERAN</v>
          </cell>
          <cell r="B1205" t="str">
            <v>11DJN2798U</v>
          </cell>
          <cell r="D1205" t="str">
            <v>X</v>
          </cell>
          <cell r="E1205" t="str">
            <v>JOSE MARIA LUIS MORA</v>
          </cell>
          <cell r="F1205">
            <v>70</v>
          </cell>
          <cell r="G1205">
            <v>22</v>
          </cell>
          <cell r="H1205" t="str">
            <v>Valle de Santiago</v>
          </cell>
          <cell r="I1205">
            <v>30000</v>
          </cell>
          <cell r="J1205" t="str">
            <v>Multigrado</v>
          </cell>
          <cell r="K1205" t="str">
            <v>LOCALIDAD TERAN</v>
          </cell>
          <cell r="L1205" t="str">
            <v>LOCALIDAD TERAN</v>
          </cell>
          <cell r="M1205" t="str">
            <v>TERAN</v>
          </cell>
          <cell r="T1205" t="e">
            <v>#REF!</v>
          </cell>
        </row>
        <row r="1206">
          <cell r="A1206" t="str">
            <v>VALLE DE SANTIAGO</v>
          </cell>
          <cell r="B1206" t="str">
            <v>11DJN4153R</v>
          </cell>
          <cell r="C1206" t="str">
            <v>X</v>
          </cell>
          <cell r="E1206" t="str">
            <v>OVIDEO DECROLY</v>
          </cell>
          <cell r="F1206">
            <v>16</v>
          </cell>
          <cell r="G1206">
            <v>22</v>
          </cell>
          <cell r="H1206" t="str">
            <v>Valle de Santiago</v>
          </cell>
          <cell r="I1206">
            <v>30000</v>
          </cell>
          <cell r="J1206" t="str">
            <v>Multigrado</v>
          </cell>
          <cell r="K1206" t="str">
            <v>20 DE NOVIEMBRE S/N</v>
          </cell>
          <cell r="L1206" t="str">
            <v>20 DE NOVIEMBRE</v>
          </cell>
          <cell r="M1206" t="str">
            <v>VALLE DE SANTIAGO</v>
          </cell>
          <cell r="T1206" t="e">
            <v>#REF!</v>
          </cell>
        </row>
        <row r="1207">
          <cell r="A1207" t="str">
            <v>SAN ISIDRO DE MOGOTES</v>
          </cell>
          <cell r="B1207" t="str">
            <v>11DPR0456A</v>
          </cell>
          <cell r="C1207" t="str">
            <v>X</v>
          </cell>
          <cell r="E1207" t="str">
            <v>JOSE MARIA MORELOS</v>
          </cell>
          <cell r="F1207">
            <v>11</v>
          </cell>
          <cell r="G1207">
            <v>12</v>
          </cell>
          <cell r="H1207" t="str">
            <v>Valle de Santiago</v>
          </cell>
          <cell r="I1207">
            <v>30000</v>
          </cell>
          <cell r="J1207" t="str">
            <v>Multigrado</v>
          </cell>
          <cell r="K1207" t="str">
            <v>LOCALIDA SAN ISIDRO DE MOGOTES</v>
          </cell>
          <cell r="L1207" t="str">
            <v>LOCALIDAD SAN ISIDRO DE MOGOTES</v>
          </cell>
          <cell r="M1207" t="str">
            <v>SAN ISIDRO DE MOGOTES</v>
          </cell>
          <cell r="T1207" t="e">
            <v>#REF!</v>
          </cell>
        </row>
        <row r="1208">
          <cell r="A1208" t="str">
            <v>PRESA DE SAN ANDRES</v>
          </cell>
          <cell r="B1208" t="str">
            <v>11EPR0345V</v>
          </cell>
          <cell r="D1208" t="str">
            <v>X</v>
          </cell>
          <cell r="E1208" t="str">
            <v>LAZARO CARDENAS</v>
          </cell>
          <cell r="F1208">
            <v>509</v>
          </cell>
          <cell r="G1208">
            <v>6</v>
          </cell>
          <cell r="H1208" t="str">
            <v>Valle de Santiago</v>
          </cell>
          <cell r="I1208">
            <v>30000</v>
          </cell>
          <cell r="J1208" t="str">
            <v>Multigrado</v>
          </cell>
          <cell r="K1208" t="str">
            <v>LAZARO CARDENAS NUM. 5</v>
          </cell>
          <cell r="L1208" t="str">
            <v>LOCALIDAD PRESA DE SAN ANDRES</v>
          </cell>
          <cell r="M1208" t="str">
            <v>PRESA DE SAN ANDRES</v>
          </cell>
          <cell r="T1208" t="e">
            <v>#REF!</v>
          </cell>
        </row>
        <row r="1209">
          <cell r="A1209" t="str">
            <v>NORIA DE MOSQUEDA</v>
          </cell>
          <cell r="B1209" t="str">
            <v>11DJN0245G</v>
          </cell>
          <cell r="C1209" t="str">
            <v>X</v>
          </cell>
          <cell r="E1209" t="str">
            <v>JUVENTINO ROSAS</v>
          </cell>
          <cell r="F1209">
            <v>16</v>
          </cell>
          <cell r="G1209">
            <v>22</v>
          </cell>
          <cell r="H1209" t="str">
            <v>Valle de Santiago</v>
          </cell>
          <cell r="I1209">
            <v>85000</v>
          </cell>
          <cell r="J1209" t="str">
            <v>Completa</v>
          </cell>
          <cell r="K1209" t="str">
            <v>PINO SUAREZ NUM. 30</v>
          </cell>
          <cell r="L1209">
            <v>0</v>
          </cell>
          <cell r="M1209" t="str">
            <v>NORIA DE MOSQUEDA</v>
          </cell>
          <cell r="T1209" t="e">
            <v>#REF!</v>
          </cell>
        </row>
        <row r="1210">
          <cell r="A1210" t="str">
            <v>CERRO PRIETO DEL CARMEN</v>
          </cell>
          <cell r="B1210" t="str">
            <v>11DJN0794K</v>
          </cell>
          <cell r="C1210" t="str">
            <v>X</v>
          </cell>
          <cell r="E1210" t="str">
            <v>CUAUHTEMOC</v>
          </cell>
          <cell r="F1210">
            <v>16</v>
          </cell>
          <cell r="G1210">
            <v>22</v>
          </cell>
          <cell r="H1210" t="str">
            <v>Valle de Santiago</v>
          </cell>
          <cell r="I1210">
            <v>30000</v>
          </cell>
          <cell r="J1210" t="str">
            <v>Multigrado</v>
          </cell>
          <cell r="K1210" t="str">
            <v>CORONA NUM. 31</v>
          </cell>
          <cell r="L1210">
            <v>0</v>
          </cell>
          <cell r="M1210" t="str">
            <v>CERRO PRIETO DEL CARMEN</v>
          </cell>
          <cell r="T1210" t="e">
            <v>#REF!</v>
          </cell>
        </row>
        <row r="1211">
          <cell r="A1211" t="str">
            <v>LA ENMARAÑADA</v>
          </cell>
          <cell r="B1211" t="str">
            <v>11DPR0432R</v>
          </cell>
          <cell r="C1211" t="str">
            <v>X</v>
          </cell>
          <cell r="E1211" t="str">
            <v>IGNACIO ZARAGOZA</v>
          </cell>
          <cell r="F1211">
            <v>143</v>
          </cell>
          <cell r="G1211">
            <v>12</v>
          </cell>
          <cell r="H1211" t="str">
            <v>Valle de Santiago</v>
          </cell>
          <cell r="I1211">
            <v>30000</v>
          </cell>
          <cell r="J1211" t="str">
            <v>Multigrado</v>
          </cell>
          <cell r="K1211" t="str">
            <v>LA ENMARAÑADA</v>
          </cell>
          <cell r="L1211">
            <v>0</v>
          </cell>
          <cell r="M1211" t="str">
            <v>LA ENMARAÑADA</v>
          </cell>
          <cell r="T1211" t="e">
            <v>#REF!</v>
          </cell>
        </row>
        <row r="1212">
          <cell r="A1212" t="str">
            <v>VALLE DE SANTIAGO</v>
          </cell>
          <cell r="B1212" t="str">
            <v>11EPR0715X</v>
          </cell>
          <cell r="D1212" t="str">
            <v>X</v>
          </cell>
          <cell r="E1212" t="str">
            <v>PROFRA. ELPIDIA VERA MARTINEZ</v>
          </cell>
          <cell r="F1212">
            <v>509</v>
          </cell>
          <cell r="G1212">
            <v>6</v>
          </cell>
          <cell r="H1212" t="str">
            <v>Valle de Santiago</v>
          </cell>
          <cell r="I1212">
            <v>85000</v>
          </cell>
          <cell r="J1212" t="str">
            <v>Completa</v>
          </cell>
          <cell r="K1212" t="str">
            <v>ERNESTO GALLARDO S/N</v>
          </cell>
          <cell r="L1212" t="str">
            <v>ZONA CENTRO</v>
          </cell>
          <cell r="M1212" t="str">
            <v>VALLE DE SANTIAGO</v>
          </cell>
          <cell r="T1212" t="e">
            <v>#REF!</v>
          </cell>
        </row>
        <row r="1213">
          <cell r="A1213" t="str">
            <v>LA COMPAÑIA</v>
          </cell>
          <cell r="B1213" t="str">
            <v>11DJN0527O</v>
          </cell>
          <cell r="C1213" t="str">
            <v>X</v>
          </cell>
          <cell r="E1213" t="str">
            <v>CLOTILDE GUILLEN DE REZZANO</v>
          </cell>
          <cell r="F1213">
            <v>70</v>
          </cell>
          <cell r="G1213">
            <v>22</v>
          </cell>
          <cell r="H1213" t="str">
            <v>Valle de Santiago</v>
          </cell>
          <cell r="I1213">
            <v>85000</v>
          </cell>
          <cell r="J1213" t="str">
            <v>Completa</v>
          </cell>
          <cell r="K1213" t="str">
            <v>LA COMPAÑIA</v>
          </cell>
          <cell r="L1213" t="str">
            <v>LOCALIDAD LA COMPAÑIA</v>
          </cell>
          <cell r="M1213" t="str">
            <v>LA COMPAÑIA</v>
          </cell>
          <cell r="T1213" t="e">
            <v>#REF!</v>
          </cell>
        </row>
        <row r="1214">
          <cell r="A1214" t="str">
            <v>VALLE DE SANTIAGO</v>
          </cell>
          <cell r="B1214" t="str">
            <v>11DJN2374O</v>
          </cell>
          <cell r="C1214" t="str">
            <v>X</v>
          </cell>
          <cell r="E1214" t="str">
            <v>MARIA MONTESSORI</v>
          </cell>
          <cell r="F1214">
            <v>70</v>
          </cell>
          <cell r="G1214">
            <v>22</v>
          </cell>
          <cell r="H1214" t="str">
            <v>Valle de Santiago</v>
          </cell>
          <cell r="I1214">
            <v>85000</v>
          </cell>
          <cell r="J1214" t="str">
            <v>Completa</v>
          </cell>
          <cell r="K1214" t="str">
            <v>CORREGIDORA S/N</v>
          </cell>
          <cell r="L1214" t="str">
            <v>LINDAVISTA</v>
          </cell>
          <cell r="M1214" t="str">
            <v>VALLE DE SANTIAGO</v>
          </cell>
          <cell r="T1214" t="e">
            <v>#REF!</v>
          </cell>
        </row>
        <row r="1215">
          <cell r="A1215" t="str">
            <v>SAN FELIPE QUIRICEO</v>
          </cell>
          <cell r="B1215" t="str">
            <v>11DJN2820F</v>
          </cell>
          <cell r="C1215" t="str">
            <v>X</v>
          </cell>
          <cell r="E1215" t="str">
            <v>GUADALUPE VICTORIA</v>
          </cell>
          <cell r="F1215">
            <v>16</v>
          </cell>
          <cell r="G1215">
            <v>22</v>
          </cell>
          <cell r="H1215" t="str">
            <v>Valle de Santiago</v>
          </cell>
          <cell r="I1215">
            <v>30000</v>
          </cell>
          <cell r="J1215" t="str">
            <v>Multigrado</v>
          </cell>
          <cell r="K1215" t="str">
            <v>GUADALUPE VICTORIA</v>
          </cell>
          <cell r="L1215">
            <v>0</v>
          </cell>
          <cell r="M1215" t="str">
            <v>SAN FELIPE QUIRICEO</v>
          </cell>
          <cell r="T1215" t="e">
            <v>#REF!</v>
          </cell>
        </row>
        <row r="1216">
          <cell r="A1216" t="str">
            <v>PEGUEROS</v>
          </cell>
          <cell r="B1216" t="str">
            <v>11DPR0439K</v>
          </cell>
          <cell r="C1216" t="str">
            <v>X</v>
          </cell>
          <cell r="E1216" t="str">
            <v>VENUSTIANO CARRANZA</v>
          </cell>
          <cell r="F1216">
            <v>96</v>
          </cell>
          <cell r="G1216">
            <v>12</v>
          </cell>
          <cell r="H1216" t="str">
            <v>Valle de Santiago</v>
          </cell>
          <cell r="I1216">
            <v>30000</v>
          </cell>
          <cell r="J1216" t="str">
            <v>Multigrado</v>
          </cell>
          <cell r="K1216" t="str">
            <v>LAZARO CARDENAS</v>
          </cell>
          <cell r="L1216">
            <v>0</v>
          </cell>
          <cell r="M1216" t="str">
            <v>PEGUEROS</v>
          </cell>
          <cell r="T1216" t="e">
            <v>#REF!</v>
          </cell>
        </row>
        <row r="1217">
          <cell r="A1217" t="str">
            <v>LAS CAÑAS</v>
          </cell>
          <cell r="B1217" t="str">
            <v>11DJN0529M</v>
          </cell>
          <cell r="D1217" t="str">
            <v>X</v>
          </cell>
          <cell r="E1217" t="str">
            <v>ALVARO GALVEZ Y FUENTES</v>
          </cell>
          <cell r="F1217">
            <v>29</v>
          </cell>
          <cell r="G1217">
            <v>22</v>
          </cell>
          <cell r="H1217" t="str">
            <v>Valle de Santiago</v>
          </cell>
          <cell r="I1217">
            <v>30000</v>
          </cell>
          <cell r="J1217" t="str">
            <v>Multigrado</v>
          </cell>
          <cell r="K1217" t="str">
            <v>LAS CAÑAS</v>
          </cell>
          <cell r="L1217">
            <v>0</v>
          </cell>
          <cell r="M1217" t="str">
            <v>LAS CAÑAS</v>
          </cell>
          <cell r="T1217" t="e">
            <v>#REF!</v>
          </cell>
        </row>
        <row r="1218">
          <cell r="A1218" t="str">
            <v>POZO DE AROSTEGUI (LAS CORREAS)</v>
          </cell>
          <cell r="B1218" t="str">
            <v>11DPR3230P</v>
          </cell>
          <cell r="C1218" t="str">
            <v>X</v>
          </cell>
          <cell r="E1218" t="str">
            <v>EL PIPILA</v>
          </cell>
          <cell r="F1218">
            <v>143</v>
          </cell>
          <cell r="G1218">
            <v>12</v>
          </cell>
          <cell r="H1218" t="str">
            <v>Valle de Santiago</v>
          </cell>
          <cell r="I1218">
            <v>30000</v>
          </cell>
          <cell r="J1218" t="str">
            <v>Multigrado</v>
          </cell>
          <cell r="K1218" t="str">
            <v>PIPILA NUM. 1</v>
          </cell>
          <cell r="L1218" t="str">
            <v>POZO DE AROSTEGUI</v>
          </cell>
          <cell r="M1218" t="str">
            <v>POZO DE AROSTEGUI (LAS CORREAS)</v>
          </cell>
          <cell r="T1218" t="e">
            <v>#REF!</v>
          </cell>
        </row>
        <row r="1219">
          <cell r="A1219" t="str">
            <v>VALLE DE SANTIAGO</v>
          </cell>
          <cell r="B1219" t="str">
            <v>11EPR0331S</v>
          </cell>
          <cell r="C1219" t="str">
            <v>X</v>
          </cell>
          <cell r="E1219" t="str">
            <v>NIÑOS HEROES</v>
          </cell>
          <cell r="F1219">
            <v>509</v>
          </cell>
          <cell r="G1219">
            <v>6</v>
          </cell>
          <cell r="H1219" t="str">
            <v>Valle de Santiago</v>
          </cell>
          <cell r="I1219">
            <v>85000</v>
          </cell>
          <cell r="J1219" t="str">
            <v>Completa</v>
          </cell>
          <cell r="K1219" t="str">
            <v>ERNESTO GALLARDO S/N</v>
          </cell>
          <cell r="L1219" t="str">
            <v>ZONA CENTRO</v>
          </cell>
          <cell r="M1219" t="str">
            <v>VALLE DE SANTIAGO</v>
          </cell>
          <cell r="T1219" t="e">
            <v>#REF!</v>
          </cell>
        </row>
        <row r="1220">
          <cell r="A1220" t="str">
            <v>LA ENMARAÑADA</v>
          </cell>
          <cell r="B1220" t="str">
            <v>11DJN0796I</v>
          </cell>
          <cell r="D1220" t="str">
            <v>X</v>
          </cell>
          <cell r="E1220" t="str">
            <v>JOSE VASCONCELOS</v>
          </cell>
          <cell r="F1220">
            <v>70</v>
          </cell>
          <cell r="G1220">
            <v>22</v>
          </cell>
          <cell r="H1220" t="str">
            <v>Valle de Santiago</v>
          </cell>
          <cell r="I1220">
            <v>30000</v>
          </cell>
          <cell r="J1220" t="str">
            <v>Multigrado</v>
          </cell>
          <cell r="K1220" t="str">
            <v>AVENIDA AV. DEL TRABAJO LA EMMARAÑADA NUM. 22</v>
          </cell>
          <cell r="L1220" t="str">
            <v>LOCALIDAD LA EMMARAÑADA</v>
          </cell>
          <cell r="M1220" t="str">
            <v>LA ENMARAÑADA</v>
          </cell>
          <cell r="T1220" t="e">
            <v>#REF!</v>
          </cell>
        </row>
        <row r="1221">
          <cell r="A1221" t="str">
            <v>LAS JICAMAS</v>
          </cell>
          <cell r="B1221" t="str">
            <v>11DPR0435O</v>
          </cell>
          <cell r="D1221" t="str">
            <v>X</v>
          </cell>
          <cell r="E1221" t="str">
            <v>ALVARO OBREGON</v>
          </cell>
          <cell r="F1221">
            <v>96</v>
          </cell>
          <cell r="G1221">
            <v>12</v>
          </cell>
          <cell r="H1221" t="str">
            <v>Valle de Santiago</v>
          </cell>
          <cell r="I1221">
            <v>85000</v>
          </cell>
          <cell r="J1221" t="str">
            <v>Completa</v>
          </cell>
          <cell r="K1221" t="str">
            <v>OBREGON NUM. 28</v>
          </cell>
          <cell r="L1221" t="str">
            <v>LAS JICAMAS</v>
          </cell>
          <cell r="M1221" t="str">
            <v>LAS JICAMAS</v>
          </cell>
          <cell r="T1221" t="e">
            <v>#REF!</v>
          </cell>
        </row>
        <row r="1222">
          <cell r="A1222" t="str">
            <v>RANCHO SECO DE GUANTES</v>
          </cell>
          <cell r="B1222" t="str">
            <v>11DJN0427P</v>
          </cell>
          <cell r="C1222" t="str">
            <v>X</v>
          </cell>
          <cell r="E1222" t="str">
            <v>MANUEL M PONCE</v>
          </cell>
          <cell r="F1222">
            <v>70</v>
          </cell>
          <cell r="G1222">
            <v>22</v>
          </cell>
          <cell r="H1222" t="str">
            <v>Valle de Santiago</v>
          </cell>
          <cell r="I1222">
            <v>30000</v>
          </cell>
          <cell r="J1222" t="str">
            <v>Multigrado</v>
          </cell>
          <cell r="K1222" t="str">
            <v>RANCHO IGNACIO ZARAGOZA RANCHO SECO DE GUANTES S/N</v>
          </cell>
          <cell r="L1222" t="str">
            <v>LOCALIDAD RANCHO SECO DE GUANTES</v>
          </cell>
          <cell r="M1222" t="str">
            <v>RANCHO SECO DE GUANTES</v>
          </cell>
          <cell r="T1222" t="e">
            <v>#REF!</v>
          </cell>
        </row>
        <row r="1223">
          <cell r="A1223" t="str">
            <v>CERRO COLORADO</v>
          </cell>
          <cell r="B1223" t="str">
            <v>11DJN2371R</v>
          </cell>
          <cell r="C1223" t="str">
            <v>X</v>
          </cell>
          <cell r="E1223" t="str">
            <v>DOMINGO FAUSTINO SARMIENTO</v>
          </cell>
          <cell r="F1223">
            <v>29</v>
          </cell>
          <cell r="G1223">
            <v>22</v>
          </cell>
          <cell r="H1223" t="str">
            <v>Valle de Santiago</v>
          </cell>
          <cell r="I1223">
            <v>30000</v>
          </cell>
          <cell r="J1223" t="str">
            <v>Multigrado</v>
          </cell>
          <cell r="K1223" t="str">
            <v>CERRO COLORADO</v>
          </cell>
          <cell r="L1223">
            <v>0</v>
          </cell>
          <cell r="M1223" t="str">
            <v>CERRO COLORADO</v>
          </cell>
          <cell r="T1223" t="e">
            <v>#REF!</v>
          </cell>
        </row>
        <row r="1224">
          <cell r="A1224" t="str">
            <v>NORIA DE MOSQUEDA</v>
          </cell>
          <cell r="B1224" t="str">
            <v>11DPR2690T</v>
          </cell>
          <cell r="D1224" t="str">
            <v>X</v>
          </cell>
          <cell r="E1224" t="str">
            <v>JOSEFA ORTIZ DE DOMINGUEZ</v>
          </cell>
          <cell r="F1224">
            <v>11</v>
          </cell>
          <cell r="G1224">
            <v>12</v>
          </cell>
          <cell r="H1224" t="str">
            <v>Valle de Santiago</v>
          </cell>
          <cell r="I1224">
            <v>30000</v>
          </cell>
          <cell r="J1224" t="str">
            <v>Multigrado</v>
          </cell>
          <cell r="K1224" t="str">
            <v>CALLE PRINCIPAL NORIA DE MOSQUEDA NUM. 49</v>
          </cell>
          <cell r="L1224" t="str">
            <v>LOCALIDAD NORIA DE MOSQUEDA</v>
          </cell>
          <cell r="M1224" t="str">
            <v>NORIA DE MOSQUEDA</v>
          </cell>
          <cell r="T1224" t="e">
            <v>#REF!</v>
          </cell>
        </row>
        <row r="1225">
          <cell r="A1225" t="str">
            <v>QUIRICEO</v>
          </cell>
          <cell r="B1225" t="str">
            <v>11DPR0446U</v>
          </cell>
          <cell r="D1225" t="str">
            <v>X</v>
          </cell>
          <cell r="E1225" t="str">
            <v>MARIANO MATAMOROS</v>
          </cell>
          <cell r="F1225">
            <v>182</v>
          </cell>
          <cell r="G1225">
            <v>12</v>
          </cell>
          <cell r="H1225" t="str">
            <v>Valle de Santiago</v>
          </cell>
          <cell r="I1225">
            <v>85000</v>
          </cell>
          <cell r="J1225" t="str">
            <v>Completa</v>
          </cell>
          <cell r="K1225" t="str">
            <v>GLORIETA 18 DE MARZO QUIRICEO</v>
          </cell>
          <cell r="L1225" t="str">
            <v>LOCALIDAD QUIRICEO</v>
          </cell>
          <cell r="M1225" t="str">
            <v>QUIRICEO</v>
          </cell>
          <cell r="T1225" t="e">
            <v>#REF!</v>
          </cell>
        </row>
        <row r="1226">
          <cell r="A1226" t="str">
            <v>COLONIA DE GUADALUPE (GUADALUPE DE COPALES)</v>
          </cell>
          <cell r="B1226" t="str">
            <v>11DPR2002O</v>
          </cell>
          <cell r="C1226" t="str">
            <v>X</v>
          </cell>
          <cell r="E1226" t="str">
            <v>IGNACIO ALLENDE</v>
          </cell>
          <cell r="F1226">
            <v>96</v>
          </cell>
          <cell r="G1226">
            <v>12</v>
          </cell>
          <cell r="H1226" t="str">
            <v>Valle de Santiago</v>
          </cell>
          <cell r="I1226">
            <v>26600</v>
          </cell>
          <cell r="J1226" t="str">
            <v>Multigrado</v>
          </cell>
          <cell r="K1226" t="str">
            <v>FRANCISCO I MADERO</v>
          </cell>
          <cell r="L1226" t="str">
            <v>COL DE GUADALUPE</v>
          </cell>
          <cell r="M1226" t="str">
            <v>COLONIA DE GUADALUPE (GUADALUPE DE COPALES)</v>
          </cell>
          <cell r="T1226" t="e">
            <v>#REF!</v>
          </cell>
        </row>
        <row r="1227">
          <cell r="A1227" t="str">
            <v>VALLE DE SANTIAGO</v>
          </cell>
          <cell r="B1227" t="str">
            <v>11EPR0334P</v>
          </cell>
          <cell r="C1227" t="str">
            <v>X</v>
          </cell>
          <cell r="E1227" t="str">
            <v>LA CORREGIDORA</v>
          </cell>
          <cell r="F1227">
            <v>509</v>
          </cell>
          <cell r="G1227">
            <v>6</v>
          </cell>
          <cell r="H1227" t="str">
            <v>Valle de Santiago</v>
          </cell>
          <cell r="I1227">
            <v>85000</v>
          </cell>
          <cell r="J1227" t="str">
            <v>Completa</v>
          </cell>
          <cell r="K1227" t="str">
            <v>EMILIO CARRANZA NUM. 47</v>
          </cell>
          <cell r="L1227" t="str">
            <v>ZONA CENTRO</v>
          </cell>
          <cell r="M1227" t="str">
            <v>VALLE DE SANTIAGO</v>
          </cell>
          <cell r="T1227" t="e">
            <v>#REF!</v>
          </cell>
        </row>
        <row r="1228">
          <cell r="A1228" t="str">
            <v>CERRO COLORADO</v>
          </cell>
          <cell r="B1228" t="str">
            <v>11ETV0492D</v>
          </cell>
          <cell r="C1228" t="str">
            <v>X</v>
          </cell>
          <cell r="E1228" t="str">
            <v>TELESECUNDARIA NUM. 478</v>
          </cell>
          <cell r="F1228">
            <v>522</v>
          </cell>
          <cell r="G1228">
            <v>8</v>
          </cell>
          <cell r="H1228" t="str">
            <v>Valle de Santiago</v>
          </cell>
          <cell r="I1228">
            <v>85000</v>
          </cell>
          <cell r="J1228" t="str">
            <v>Completa</v>
          </cell>
          <cell r="K1228" t="str">
            <v>CERRO COLORADO</v>
          </cell>
          <cell r="L1228">
            <v>0</v>
          </cell>
          <cell r="M1228" t="str">
            <v>CERRO COLORADO</v>
          </cell>
          <cell r="T1228" t="e">
            <v>#REF!</v>
          </cell>
        </row>
        <row r="1229">
          <cell r="A1229" t="str">
            <v>RINCON DE ALONSO SANCHEZ</v>
          </cell>
          <cell r="B1229" t="str">
            <v>11ETV0545S</v>
          </cell>
          <cell r="C1229" t="str">
            <v>X</v>
          </cell>
          <cell r="E1229" t="str">
            <v>TELESECUNDARIA NUM. 536</v>
          </cell>
          <cell r="F1229">
            <v>522</v>
          </cell>
          <cell r="G1229">
            <v>8</v>
          </cell>
          <cell r="H1229" t="str">
            <v>Valle de Santiago</v>
          </cell>
          <cell r="I1229">
            <v>85000</v>
          </cell>
          <cell r="J1229" t="str">
            <v>Completa</v>
          </cell>
          <cell r="K1229" t="str">
            <v>RINCON DE ALONSO</v>
          </cell>
          <cell r="L1229">
            <v>0</v>
          </cell>
          <cell r="M1229" t="str">
            <v>RINCON DE ALONSO SANCHEZ</v>
          </cell>
          <cell r="T1229" t="e">
            <v>#REF!</v>
          </cell>
        </row>
        <row r="1230">
          <cell r="A1230" t="str">
            <v>GUARAPO</v>
          </cell>
          <cell r="B1230" t="str">
            <v>11ETV0675L</v>
          </cell>
          <cell r="D1230" t="str">
            <v>X</v>
          </cell>
          <cell r="E1230" t="str">
            <v>TELESECUNDARIA NUM. 668</v>
          </cell>
          <cell r="F1230">
            <v>522</v>
          </cell>
          <cell r="G1230">
            <v>8</v>
          </cell>
          <cell r="H1230" t="str">
            <v>Valle de Santiago</v>
          </cell>
          <cell r="I1230">
            <v>85000</v>
          </cell>
          <cell r="J1230" t="str">
            <v>Completa</v>
          </cell>
          <cell r="K1230" t="str">
            <v>GUARAPO</v>
          </cell>
          <cell r="L1230">
            <v>0</v>
          </cell>
          <cell r="M1230" t="str">
            <v>GUARAPO</v>
          </cell>
          <cell r="T1230" t="e">
            <v>#REF!</v>
          </cell>
        </row>
        <row r="1231">
          <cell r="A1231" t="str">
            <v>QUIRICEO</v>
          </cell>
          <cell r="B1231" t="str">
            <v>11ETV0546R</v>
          </cell>
          <cell r="C1231" t="str">
            <v>X</v>
          </cell>
          <cell r="E1231" t="str">
            <v>TELESECUNDARIA NUM. 531</v>
          </cell>
          <cell r="F1231">
            <v>522</v>
          </cell>
          <cell r="G1231">
            <v>8</v>
          </cell>
          <cell r="H1231" t="str">
            <v>Valle de Santiago</v>
          </cell>
          <cell r="I1231">
            <v>85000</v>
          </cell>
          <cell r="J1231" t="str">
            <v>Completa</v>
          </cell>
          <cell r="K1231" t="str">
            <v>QUIRICEO</v>
          </cell>
          <cell r="L1231">
            <v>0</v>
          </cell>
          <cell r="M1231" t="str">
            <v>QUIRICEO</v>
          </cell>
          <cell r="T1231" t="e">
            <v>#REF!</v>
          </cell>
        </row>
        <row r="1232">
          <cell r="A1232" t="str">
            <v>SAN GUILLERMO</v>
          </cell>
          <cell r="B1232" t="str">
            <v>11ETV0681W</v>
          </cell>
          <cell r="D1232" t="str">
            <v>X</v>
          </cell>
          <cell r="E1232" t="str">
            <v>TELESECUNDARIA NUM. 667</v>
          </cell>
          <cell r="F1232">
            <v>522</v>
          </cell>
          <cell r="G1232">
            <v>8</v>
          </cell>
          <cell r="H1232" t="str">
            <v>Valle de Santiago</v>
          </cell>
          <cell r="I1232">
            <v>85000</v>
          </cell>
          <cell r="J1232" t="str">
            <v>Completa</v>
          </cell>
          <cell r="K1232" t="str">
            <v>SAN GUILLERMO</v>
          </cell>
          <cell r="L1232">
            <v>0</v>
          </cell>
          <cell r="M1232" t="str">
            <v>SAN GUILLERMO</v>
          </cell>
          <cell r="T1232" t="e">
            <v>#REF!</v>
          </cell>
        </row>
        <row r="1233">
          <cell r="A1233" t="str">
            <v>MILPILLAS DEL TEPETATE (EL TEPETATE)</v>
          </cell>
          <cell r="B1233" t="str">
            <v>11DPR2958H</v>
          </cell>
          <cell r="D1233" t="str">
            <v>X</v>
          </cell>
          <cell r="E1233" t="str">
            <v>NIÑO ARTILLERO</v>
          </cell>
          <cell r="F1233">
            <v>33</v>
          </cell>
          <cell r="G1233">
            <v>27</v>
          </cell>
          <cell r="H1233" t="str">
            <v>Victoria</v>
          </cell>
          <cell r="I1233">
            <v>30000</v>
          </cell>
          <cell r="J1233" t="str">
            <v>Multigrado</v>
          </cell>
          <cell r="K1233" t="str">
            <v>EL TEPETATE</v>
          </cell>
          <cell r="L1233">
            <v>0</v>
          </cell>
          <cell r="M1233" t="str">
            <v>MILPILLAS DEL TEPETATE (EL TEPETATE)</v>
          </cell>
          <cell r="T1233" t="e">
            <v>#REF!</v>
          </cell>
        </row>
        <row r="1234">
          <cell r="A1234" t="str">
            <v>JACALASUCHITL</v>
          </cell>
          <cell r="B1234" t="str">
            <v>11DPR2708B</v>
          </cell>
          <cell r="D1234" t="str">
            <v>X</v>
          </cell>
          <cell r="E1234" t="str">
            <v>NICOLAS BRAVO</v>
          </cell>
          <cell r="F1234">
            <v>33</v>
          </cell>
          <cell r="G1234">
            <v>27</v>
          </cell>
          <cell r="H1234" t="str">
            <v>Victoria</v>
          </cell>
          <cell r="I1234">
            <v>30000</v>
          </cell>
          <cell r="J1234" t="str">
            <v>Multigrado</v>
          </cell>
          <cell r="K1234" t="str">
            <v>XACALAZUCHITL</v>
          </cell>
          <cell r="L1234">
            <v>0</v>
          </cell>
          <cell r="M1234" t="str">
            <v>JACALASUCHITL</v>
          </cell>
          <cell r="T1234" t="e">
            <v>#REF!</v>
          </cell>
        </row>
        <row r="1235">
          <cell r="A1235" t="str">
            <v>EL SAUZ DE ARRIBA</v>
          </cell>
          <cell r="B1235" t="str">
            <v>11EPR0577L</v>
          </cell>
          <cell r="C1235" t="str">
            <v>X</v>
          </cell>
          <cell r="E1235" t="str">
            <v>JUAN RUIZ DE ALARCON</v>
          </cell>
          <cell r="F1235">
            <v>520</v>
          </cell>
          <cell r="G1235">
            <v>2</v>
          </cell>
          <cell r="H1235" t="str">
            <v>Victoria</v>
          </cell>
          <cell r="I1235">
            <v>20000</v>
          </cell>
          <cell r="J1235" t="str">
            <v>Multigrado</v>
          </cell>
          <cell r="K1235" t="str">
            <v>EL SAUZ DE ARRIBA</v>
          </cell>
          <cell r="L1235">
            <v>0</v>
          </cell>
          <cell r="M1235" t="str">
            <v>EL SAUZ DE ARRIBA</v>
          </cell>
          <cell r="T1235" t="e">
            <v>#REF!</v>
          </cell>
        </row>
        <row r="1236">
          <cell r="A1236" t="str">
            <v>PALMILLAS</v>
          </cell>
          <cell r="B1236" t="str">
            <v>11DPR2849A</v>
          </cell>
          <cell r="C1236" t="str">
            <v>X</v>
          </cell>
          <cell r="E1236" t="str">
            <v>IGNACIO ZARAGOZA</v>
          </cell>
          <cell r="F1236">
            <v>33</v>
          </cell>
          <cell r="G1236">
            <v>27</v>
          </cell>
          <cell r="H1236" t="str">
            <v>Victoria</v>
          </cell>
          <cell r="I1236">
            <v>20000</v>
          </cell>
          <cell r="J1236" t="str">
            <v>Multigrado</v>
          </cell>
          <cell r="K1236" t="str">
            <v>PALMILLAS</v>
          </cell>
          <cell r="L1236">
            <v>0</v>
          </cell>
          <cell r="M1236" t="str">
            <v>PALMILLAS</v>
          </cell>
          <cell r="T1236" t="e">
            <v>#REF!</v>
          </cell>
        </row>
        <row r="1237">
          <cell r="A1237" t="str">
            <v>MISION DE ARNEDO</v>
          </cell>
          <cell r="B1237" t="str">
            <v>11EPR0357Z</v>
          </cell>
          <cell r="C1237" t="str">
            <v>X</v>
          </cell>
          <cell r="E1237" t="str">
            <v>MIGUEL HIDALGO</v>
          </cell>
          <cell r="F1237">
            <v>520</v>
          </cell>
          <cell r="G1237">
            <v>2</v>
          </cell>
          <cell r="H1237" t="str">
            <v>Victoria</v>
          </cell>
          <cell r="I1237">
            <v>45000</v>
          </cell>
          <cell r="J1237" t="str">
            <v>Completa</v>
          </cell>
          <cell r="K1237" t="str">
            <v>MISION DE ARNEDO</v>
          </cell>
          <cell r="L1237">
            <v>0</v>
          </cell>
          <cell r="M1237" t="str">
            <v>MISION DE ARNEDO</v>
          </cell>
          <cell r="T1237" t="e">
            <v>#REF!</v>
          </cell>
        </row>
        <row r="1238">
          <cell r="A1238" t="str">
            <v>LA CALERA</v>
          </cell>
          <cell r="B1238" t="str">
            <v>11EPR0440Z</v>
          </cell>
          <cell r="C1238" t="str">
            <v>X</v>
          </cell>
          <cell r="E1238" t="str">
            <v>GUADALUPE VICTORIA</v>
          </cell>
          <cell r="F1238">
            <v>520</v>
          </cell>
          <cell r="G1238">
            <v>2</v>
          </cell>
          <cell r="H1238" t="str">
            <v>Victoria</v>
          </cell>
          <cell r="I1238">
            <v>20000</v>
          </cell>
          <cell r="J1238" t="str">
            <v>Multigrado</v>
          </cell>
          <cell r="K1238" t="str">
            <v>LA CALERA</v>
          </cell>
          <cell r="L1238">
            <v>0</v>
          </cell>
          <cell r="M1238" t="str">
            <v>LA CALERA</v>
          </cell>
          <cell r="T1238" t="e">
            <v>#REF!</v>
          </cell>
        </row>
        <row r="1239">
          <cell r="A1239" t="str">
            <v>EL OJO DE AGUA</v>
          </cell>
          <cell r="B1239" t="str">
            <v>11EPR0034S</v>
          </cell>
          <cell r="C1239" t="str">
            <v>X</v>
          </cell>
          <cell r="E1239" t="str">
            <v>PLAN DE IGUALA</v>
          </cell>
          <cell r="F1239">
            <v>520</v>
          </cell>
          <cell r="G1239">
            <v>2</v>
          </cell>
          <cell r="H1239" t="str">
            <v>Victoria</v>
          </cell>
          <cell r="I1239">
            <v>20000</v>
          </cell>
          <cell r="J1239" t="str">
            <v>Multigrado</v>
          </cell>
          <cell r="K1239" t="str">
            <v>OJO DE AGUA</v>
          </cell>
          <cell r="L1239">
            <v>0</v>
          </cell>
          <cell r="M1239" t="str">
            <v>EL OJO DE AGUA</v>
          </cell>
          <cell r="T1239" t="e">
            <v>#REF!</v>
          </cell>
        </row>
        <row r="1240">
          <cell r="A1240" t="str">
            <v>CORRALILLOS</v>
          </cell>
          <cell r="B1240" t="str">
            <v>11DPR0468F</v>
          </cell>
          <cell r="C1240" t="str">
            <v>X</v>
          </cell>
          <cell r="E1240" t="str">
            <v>JOAQUIN BARANDA</v>
          </cell>
          <cell r="F1240">
            <v>33</v>
          </cell>
          <cell r="G1240">
            <v>27</v>
          </cell>
          <cell r="H1240" t="str">
            <v>Victoria</v>
          </cell>
          <cell r="I1240">
            <v>30000</v>
          </cell>
          <cell r="J1240" t="str">
            <v>Multigrado</v>
          </cell>
          <cell r="K1240" t="str">
            <v>CORRALILLOS</v>
          </cell>
          <cell r="L1240">
            <v>0</v>
          </cell>
          <cell r="M1240" t="str">
            <v>CORRALILLOS</v>
          </cell>
          <cell r="T1240" t="e">
            <v>#REF!</v>
          </cell>
        </row>
        <row r="1241">
          <cell r="A1241" t="str">
            <v>LA SIMONA</v>
          </cell>
          <cell r="B1241" t="str">
            <v>11EPR0614Z</v>
          </cell>
          <cell r="C1241" t="str">
            <v>X</v>
          </cell>
          <cell r="E1241" t="str">
            <v>5 DE MAYO</v>
          </cell>
          <cell r="F1241">
            <v>520</v>
          </cell>
          <cell r="G1241">
            <v>2</v>
          </cell>
          <cell r="H1241" t="str">
            <v>Victoria</v>
          </cell>
          <cell r="I1241">
            <v>20000</v>
          </cell>
          <cell r="J1241" t="str">
            <v>Multigrado</v>
          </cell>
          <cell r="K1241" t="str">
            <v>LA SIMONA</v>
          </cell>
          <cell r="L1241">
            <v>0</v>
          </cell>
          <cell r="M1241" t="str">
            <v>LA SIMONA</v>
          </cell>
          <cell r="T1241" t="e">
            <v>#REF!</v>
          </cell>
        </row>
        <row r="1242">
          <cell r="A1242" t="str">
            <v>AGUA FRIA</v>
          </cell>
          <cell r="B1242" t="str">
            <v>11EPR0518W</v>
          </cell>
          <cell r="C1242" t="str">
            <v>X</v>
          </cell>
          <cell r="E1242" t="str">
            <v>FRANCISCO SARABIA</v>
          </cell>
          <cell r="F1242">
            <v>559</v>
          </cell>
          <cell r="G1242">
            <v>2</v>
          </cell>
          <cell r="H1242" t="str">
            <v>Victoria</v>
          </cell>
          <cell r="I1242">
            <v>20000</v>
          </cell>
          <cell r="J1242" t="str">
            <v>Multigrado</v>
          </cell>
          <cell r="K1242" t="str">
            <v>AGUA FRIA</v>
          </cell>
          <cell r="L1242">
            <v>0</v>
          </cell>
          <cell r="M1242" t="str">
            <v>AGUA FRIA</v>
          </cell>
          <cell r="T1242" t="e">
            <v>#REF!</v>
          </cell>
        </row>
        <row r="1243">
          <cell r="A1243" t="str">
            <v>EL CARMEN</v>
          </cell>
          <cell r="B1243" t="str">
            <v>11DJN0642F</v>
          </cell>
          <cell r="C1243" t="str">
            <v>X</v>
          </cell>
          <cell r="E1243" t="str">
            <v>JOSE DE LOS REYES MARTINEZ</v>
          </cell>
          <cell r="F1243">
            <v>86</v>
          </cell>
          <cell r="G1243">
            <v>7</v>
          </cell>
          <cell r="H1243" t="str">
            <v>Victoria</v>
          </cell>
          <cell r="I1243">
            <v>20000</v>
          </cell>
          <cell r="J1243" t="str">
            <v>Multigrado</v>
          </cell>
          <cell r="K1243" t="str">
            <v>EL CARMEN</v>
          </cell>
          <cell r="L1243">
            <v>0</v>
          </cell>
          <cell r="M1243" t="str">
            <v>EL CARMEN</v>
          </cell>
          <cell r="T1243" t="e">
            <v>#REF!</v>
          </cell>
        </row>
        <row r="1244">
          <cell r="A1244" t="str">
            <v>MESA DE LA CANTERA</v>
          </cell>
          <cell r="B1244" t="str">
            <v>11EPR0356A</v>
          </cell>
          <cell r="C1244" t="str">
            <v>X</v>
          </cell>
          <cell r="E1244" t="str">
            <v>BENITO JUAREZ</v>
          </cell>
          <cell r="F1244">
            <v>520</v>
          </cell>
          <cell r="G1244">
            <v>2</v>
          </cell>
          <cell r="H1244" t="str">
            <v>Victoria</v>
          </cell>
          <cell r="I1244">
            <v>20000</v>
          </cell>
          <cell r="J1244" t="str">
            <v>Multigrado</v>
          </cell>
          <cell r="K1244" t="str">
            <v>MESA DE LA CANTERA</v>
          </cell>
          <cell r="L1244">
            <v>0</v>
          </cell>
          <cell r="M1244" t="str">
            <v>MESA DE LA CANTERA</v>
          </cell>
          <cell r="T1244" t="e">
            <v>#REF!</v>
          </cell>
        </row>
        <row r="1245">
          <cell r="A1245" t="str">
            <v>SAN AGUSTIN</v>
          </cell>
          <cell r="B1245" t="str">
            <v>11DPR2581M</v>
          </cell>
          <cell r="C1245" t="str">
            <v>X</v>
          </cell>
          <cell r="E1245" t="str">
            <v>20 DE NOVIEMBRE</v>
          </cell>
          <cell r="F1245">
            <v>183</v>
          </cell>
          <cell r="G1245">
            <v>27</v>
          </cell>
          <cell r="H1245" t="str">
            <v>Victoria</v>
          </cell>
          <cell r="I1245">
            <v>30000</v>
          </cell>
          <cell r="J1245" t="str">
            <v>Multigrado</v>
          </cell>
          <cell r="K1245" t="str">
            <v>SAN AGUSTIN</v>
          </cell>
          <cell r="L1245">
            <v>0</v>
          </cell>
          <cell r="M1245" t="str">
            <v>SAN AGUSTIN</v>
          </cell>
          <cell r="T1245" t="e">
            <v>#REF!</v>
          </cell>
        </row>
        <row r="1246">
          <cell r="A1246" t="str">
            <v>BUENAVISTA DE GUADALUPE (BUENAVISTA)</v>
          </cell>
          <cell r="B1246" t="str">
            <v>11EPR0579J</v>
          </cell>
          <cell r="C1246" t="str">
            <v>X</v>
          </cell>
          <cell r="E1246" t="str">
            <v>JUSTO SIERRA</v>
          </cell>
          <cell r="F1246">
            <v>559</v>
          </cell>
          <cell r="G1246">
            <v>2</v>
          </cell>
          <cell r="H1246" t="str">
            <v>Victoria</v>
          </cell>
          <cell r="I1246">
            <v>20000</v>
          </cell>
          <cell r="J1246" t="str">
            <v>Multigrado</v>
          </cell>
          <cell r="K1246" t="str">
            <v>BUENAVISTA DE GUADALUPE</v>
          </cell>
          <cell r="L1246">
            <v>0</v>
          </cell>
          <cell r="M1246" t="str">
            <v>BUENAVISTA DE GUADALUPE (BUENAVISTA)</v>
          </cell>
          <cell r="T1246" t="e">
            <v>#REF!</v>
          </cell>
        </row>
        <row r="1247">
          <cell r="A1247" t="str">
            <v>LOMA DE LOS CHILITOS</v>
          </cell>
          <cell r="B1247" t="str">
            <v>11EPR0621I</v>
          </cell>
          <cell r="C1247" t="str">
            <v>X</v>
          </cell>
          <cell r="E1247" t="str">
            <v>16 DE SEPTIEMBRE</v>
          </cell>
          <cell r="F1247">
            <v>520</v>
          </cell>
          <cell r="G1247">
            <v>2</v>
          </cell>
          <cell r="H1247" t="str">
            <v>Victoria</v>
          </cell>
          <cell r="I1247">
            <v>20000</v>
          </cell>
          <cell r="J1247" t="str">
            <v>Multigrado</v>
          </cell>
          <cell r="K1247" t="str">
            <v>LA LOMA DE LOS CHILITOS</v>
          </cell>
          <cell r="L1247">
            <v>0</v>
          </cell>
          <cell r="M1247" t="str">
            <v>LOMA DE LOS CHILITOS</v>
          </cell>
          <cell r="T1247" t="e">
            <v>#REF!</v>
          </cell>
        </row>
        <row r="1248">
          <cell r="A1248" t="str">
            <v>LOS REMEDIOS (CERRO GRANDE)</v>
          </cell>
          <cell r="B1248" t="str">
            <v>11DJN0814H</v>
          </cell>
          <cell r="C1248" t="str">
            <v>X</v>
          </cell>
          <cell r="E1248" t="str">
            <v>JUAN DE DIOS PEZA</v>
          </cell>
          <cell r="F1248">
            <v>86</v>
          </cell>
          <cell r="G1248">
            <v>7</v>
          </cell>
          <cell r="H1248" t="str">
            <v>Victoria</v>
          </cell>
          <cell r="I1248">
            <v>45000</v>
          </cell>
          <cell r="J1248" t="str">
            <v>Completa</v>
          </cell>
          <cell r="K1248" t="str">
            <v>LOS REMEDIOS</v>
          </cell>
          <cell r="L1248">
            <v>0</v>
          </cell>
          <cell r="M1248" t="str">
            <v>LOS REMEDIOS (CERRO GRANDE)</v>
          </cell>
          <cell r="T1248" t="e">
            <v>#REF!</v>
          </cell>
        </row>
        <row r="1249">
          <cell r="A1249" t="str">
            <v>LOS LINDEROS</v>
          </cell>
          <cell r="B1249" t="str">
            <v>11EPR0024L</v>
          </cell>
          <cell r="C1249" t="str">
            <v>X</v>
          </cell>
          <cell r="E1249" t="str">
            <v>EL NIÑO ARTILLERO</v>
          </cell>
          <cell r="F1249">
            <v>520</v>
          </cell>
          <cell r="G1249">
            <v>2</v>
          </cell>
          <cell r="H1249" t="str">
            <v>Victoria</v>
          </cell>
          <cell r="I1249">
            <v>20000</v>
          </cell>
          <cell r="J1249" t="str">
            <v>Multigrado</v>
          </cell>
          <cell r="K1249" t="str">
            <v>LOS LINDEROS</v>
          </cell>
          <cell r="L1249">
            <v>0</v>
          </cell>
          <cell r="M1249" t="str">
            <v>LOS LINDEROS</v>
          </cell>
          <cell r="T1249" t="e">
            <v>#REF!</v>
          </cell>
        </row>
        <row r="1250">
          <cell r="A1250" t="str">
            <v>CAÑADA DE HIGUERAS (HIGUERAS)</v>
          </cell>
          <cell r="B1250" t="str">
            <v>11EPR0451E</v>
          </cell>
          <cell r="C1250" t="str">
            <v>X</v>
          </cell>
          <cell r="E1250" t="str">
            <v>VICENTE GUERRERO</v>
          </cell>
          <cell r="F1250">
            <v>520</v>
          </cell>
          <cell r="G1250">
            <v>2</v>
          </cell>
          <cell r="H1250" t="str">
            <v>Victoria</v>
          </cell>
          <cell r="I1250">
            <v>20000</v>
          </cell>
          <cell r="J1250" t="str">
            <v>Multigrado</v>
          </cell>
          <cell r="K1250" t="str">
            <v>HIGUERAS</v>
          </cell>
          <cell r="L1250">
            <v>0</v>
          </cell>
          <cell r="M1250" t="str">
            <v>CAÑADA DE HIGUERAS (HIGUERAS)</v>
          </cell>
          <cell r="T1250" t="e">
            <v>#REF!</v>
          </cell>
        </row>
        <row r="1251">
          <cell r="A1251" t="str">
            <v>CERRITO COLORADO</v>
          </cell>
          <cell r="B1251" t="str">
            <v>11EPR0500X</v>
          </cell>
          <cell r="C1251" t="str">
            <v>X</v>
          </cell>
          <cell r="E1251" t="str">
            <v>IGNACIO ALLENDE</v>
          </cell>
          <cell r="F1251">
            <v>520</v>
          </cell>
          <cell r="G1251">
            <v>2</v>
          </cell>
          <cell r="H1251" t="str">
            <v>Victoria</v>
          </cell>
          <cell r="I1251">
            <v>30000</v>
          </cell>
          <cell r="J1251" t="str">
            <v>Multigrado</v>
          </cell>
          <cell r="K1251" t="str">
            <v>CERRITO COLORADO</v>
          </cell>
          <cell r="L1251">
            <v>0</v>
          </cell>
          <cell r="M1251" t="str">
            <v>CERRITO COLORADO</v>
          </cell>
          <cell r="T1251" t="e">
            <v>#REF!</v>
          </cell>
        </row>
        <row r="1252">
          <cell r="A1252" t="str">
            <v>LOMA DE LOS CHILITOS</v>
          </cell>
          <cell r="B1252" t="str">
            <v>11ETV0841T</v>
          </cell>
          <cell r="C1252" t="str">
            <v>X</v>
          </cell>
          <cell r="E1252" t="str">
            <v>TELESECUNDARIA NUM. 841</v>
          </cell>
          <cell r="F1252">
            <v>550</v>
          </cell>
          <cell r="G1252">
            <v>6</v>
          </cell>
          <cell r="H1252" t="str">
            <v>Victoria</v>
          </cell>
          <cell r="I1252">
            <v>45000</v>
          </cell>
          <cell r="J1252" t="str">
            <v>Completa</v>
          </cell>
          <cell r="K1252" t="str">
            <v>LOMA DE LOS CHILITOS</v>
          </cell>
          <cell r="L1252">
            <v>0</v>
          </cell>
          <cell r="M1252" t="str">
            <v>LOMA DE LOS CHILITOS</v>
          </cell>
          <cell r="T1252" t="e">
            <v>#REF!</v>
          </cell>
        </row>
        <row r="1253">
          <cell r="A1253" t="e">
            <v>#N/A</v>
          </cell>
          <cell r="B1253" t="str">
            <v>11DML0047F</v>
          </cell>
          <cell r="C1253" t="str">
            <v>X</v>
          </cell>
          <cell r="E1253" t="str">
            <v>CENTRO DE ATENCION MULTIPLE</v>
          </cell>
          <cell r="F1253">
            <v>8</v>
          </cell>
          <cell r="G1253">
            <v>88</v>
          </cell>
          <cell r="H1253" t="str">
            <v>Victoria</v>
          </cell>
          <cell r="I1253">
            <v>30000</v>
          </cell>
          <cell r="J1253" t="str">
            <v>Multigrado</v>
          </cell>
          <cell r="K1253" t="e">
            <v>#N/A</v>
          </cell>
          <cell r="L1253" t="e">
            <v>#N/A</v>
          </cell>
          <cell r="M1253" t="e">
            <v>#N/A</v>
          </cell>
          <cell r="T1253" t="e">
            <v>#REF!</v>
          </cell>
        </row>
        <row r="1254">
          <cell r="A1254" t="str">
            <v>RANCHO VIEJO (ESPIRITU SANTO)</v>
          </cell>
          <cell r="B1254" t="str">
            <v>11EPR0450F</v>
          </cell>
          <cell r="C1254" t="str">
            <v>X</v>
          </cell>
          <cell r="E1254" t="str">
            <v>LAZARO CARDENAS</v>
          </cell>
          <cell r="F1254">
            <v>559</v>
          </cell>
          <cell r="G1254">
            <v>2</v>
          </cell>
          <cell r="H1254" t="str">
            <v>Victoria</v>
          </cell>
          <cell r="I1254">
            <v>20000</v>
          </cell>
          <cell r="J1254" t="str">
            <v>Multigrado</v>
          </cell>
          <cell r="K1254" t="str">
            <v>RANCHO VIEJO S/N</v>
          </cell>
          <cell r="L1254">
            <v>0</v>
          </cell>
          <cell r="M1254" t="str">
            <v>RANCHO VIEJO (ESPIRITU SANTO)</v>
          </cell>
          <cell r="T1254" t="e">
            <v>#REF!</v>
          </cell>
        </row>
        <row r="1255">
          <cell r="A1255" t="str">
            <v>CAÑADA DE MORENO</v>
          </cell>
          <cell r="B1255" t="str">
            <v>11DJN0840F</v>
          </cell>
          <cell r="C1255" t="str">
            <v>X</v>
          </cell>
          <cell r="E1255" t="str">
            <v>FRANCISCO GONZALEZ BOCANEGRA</v>
          </cell>
          <cell r="F1255">
            <v>86</v>
          </cell>
          <cell r="G1255">
            <v>7</v>
          </cell>
          <cell r="H1255" t="str">
            <v>Victoria</v>
          </cell>
          <cell r="I1255">
            <v>20000</v>
          </cell>
          <cell r="J1255" t="str">
            <v>Multigrado</v>
          </cell>
          <cell r="K1255" t="str">
            <v>CAÑADA DE MORENO</v>
          </cell>
          <cell r="L1255">
            <v>0</v>
          </cell>
          <cell r="M1255" t="str">
            <v>CAÑADA DE MORENO</v>
          </cell>
          <cell r="T1255" t="e">
            <v>#REF!</v>
          </cell>
        </row>
        <row r="1256">
          <cell r="A1256" t="str">
            <v>LOS LINDEROS</v>
          </cell>
          <cell r="B1256" t="str">
            <v>11EJN0317I</v>
          </cell>
          <cell r="C1256" t="str">
            <v>X</v>
          </cell>
          <cell r="E1256" t="str">
            <v>"MARGARITA MAZA DE JUAREZ"</v>
          </cell>
          <cell r="F1256">
            <v>506</v>
          </cell>
          <cell r="G1256">
            <v>2</v>
          </cell>
          <cell r="H1256" t="str">
            <v>Victoria</v>
          </cell>
          <cell r="I1256">
            <v>30000</v>
          </cell>
          <cell r="J1256" t="str">
            <v>Multigrado</v>
          </cell>
          <cell r="K1256" t="str">
            <v>LOS LINDEROS</v>
          </cell>
          <cell r="L1256">
            <v>0</v>
          </cell>
          <cell r="M1256" t="str">
            <v>LOS LINDEROS</v>
          </cell>
          <cell r="T1256" t="e">
            <v>#REF!</v>
          </cell>
        </row>
        <row r="1257">
          <cell r="A1257" t="str">
            <v>MILPILLAS DEL PITO</v>
          </cell>
          <cell r="B1257" t="str">
            <v>11EPR0602U</v>
          </cell>
          <cell r="C1257" t="str">
            <v>X</v>
          </cell>
          <cell r="E1257" t="str">
            <v>BENITO JUAREZ</v>
          </cell>
          <cell r="F1257">
            <v>520</v>
          </cell>
          <cell r="G1257">
            <v>2</v>
          </cell>
          <cell r="H1257" t="str">
            <v>Victoria</v>
          </cell>
          <cell r="I1257">
            <v>20000</v>
          </cell>
          <cell r="J1257" t="str">
            <v>Multigrado</v>
          </cell>
          <cell r="K1257" t="str">
            <v>MILPILLAS DEL PITO</v>
          </cell>
          <cell r="L1257">
            <v>0</v>
          </cell>
          <cell r="M1257" t="str">
            <v>MILPILLAS DEL PITO</v>
          </cell>
          <cell r="T1257" t="e">
            <v>#REF!</v>
          </cell>
        </row>
        <row r="1258">
          <cell r="A1258" t="str">
            <v>PANALES</v>
          </cell>
          <cell r="B1258" t="str">
            <v>11EPR0452D</v>
          </cell>
          <cell r="C1258" t="str">
            <v>X</v>
          </cell>
          <cell r="E1258" t="str">
            <v>20 DE NOVIEMBRE</v>
          </cell>
          <cell r="F1258">
            <v>520</v>
          </cell>
          <cell r="G1258">
            <v>2</v>
          </cell>
          <cell r="H1258" t="str">
            <v>Victoria</v>
          </cell>
          <cell r="I1258">
            <v>20000</v>
          </cell>
          <cell r="J1258" t="str">
            <v>Multigrado</v>
          </cell>
          <cell r="K1258" t="str">
            <v>PANALES</v>
          </cell>
          <cell r="L1258">
            <v>0</v>
          </cell>
          <cell r="M1258" t="str">
            <v>PANALES</v>
          </cell>
          <cell r="T1258" t="e">
            <v>#REF!</v>
          </cell>
        </row>
        <row r="1259">
          <cell r="A1259" t="str">
            <v>LAS CHIVAS</v>
          </cell>
          <cell r="B1259" t="str">
            <v>11EPR0865D</v>
          </cell>
          <cell r="C1259" t="str">
            <v>X</v>
          </cell>
          <cell r="E1259" t="str">
            <v>ESCUELA PRIMARIA</v>
          </cell>
          <cell r="F1259">
            <v>520</v>
          </cell>
          <cell r="G1259">
            <v>2</v>
          </cell>
          <cell r="H1259" t="str">
            <v>Victoria</v>
          </cell>
          <cell r="I1259">
            <v>20000</v>
          </cell>
          <cell r="J1259" t="str">
            <v>Multigrado</v>
          </cell>
          <cell r="K1259" t="str">
            <v>LAS CHIVAS</v>
          </cell>
          <cell r="L1259">
            <v>0</v>
          </cell>
          <cell r="M1259" t="str">
            <v>LAS CHIVAS</v>
          </cell>
          <cell r="T1259" t="e">
            <v>#REF!</v>
          </cell>
        </row>
        <row r="1260">
          <cell r="A1260" t="str">
            <v>LA LUZ</v>
          </cell>
          <cell r="B1260" t="str">
            <v>11DPR2970C</v>
          </cell>
          <cell r="C1260" t="str">
            <v>X</v>
          </cell>
          <cell r="E1260" t="str">
            <v>RICARDO FLORES MAGON</v>
          </cell>
          <cell r="F1260">
            <v>183</v>
          </cell>
          <cell r="G1260">
            <v>27</v>
          </cell>
          <cell r="H1260" t="str">
            <v>Victoria</v>
          </cell>
          <cell r="I1260">
            <v>20000</v>
          </cell>
          <cell r="J1260" t="str">
            <v>Multigrado</v>
          </cell>
          <cell r="K1260" t="str">
            <v>LA LUZ</v>
          </cell>
          <cell r="L1260">
            <v>0</v>
          </cell>
          <cell r="M1260" t="str">
            <v>LA LUZ</v>
          </cell>
          <cell r="T1260" t="e">
            <v>#REF!</v>
          </cell>
        </row>
        <row r="1261">
          <cell r="A1261" t="str">
            <v>SALITRERA</v>
          </cell>
          <cell r="B1261" t="str">
            <v>11DPR2587G</v>
          </cell>
          <cell r="C1261" t="str">
            <v>X</v>
          </cell>
          <cell r="E1261" t="str">
            <v>FERNANDO MONTES DE OCA</v>
          </cell>
          <cell r="F1261">
            <v>33</v>
          </cell>
          <cell r="G1261">
            <v>27</v>
          </cell>
          <cell r="H1261" t="str">
            <v>Victoria</v>
          </cell>
          <cell r="I1261">
            <v>30000</v>
          </cell>
          <cell r="J1261" t="str">
            <v>Multigrado</v>
          </cell>
          <cell r="K1261" t="str">
            <v>SALITRERA</v>
          </cell>
          <cell r="L1261">
            <v>0</v>
          </cell>
          <cell r="M1261" t="str">
            <v>SALITRERA</v>
          </cell>
          <cell r="T1261" t="e">
            <v>#REF!</v>
          </cell>
        </row>
        <row r="1262">
          <cell r="A1262" t="str">
            <v>VICTORIA</v>
          </cell>
          <cell r="B1262" t="str">
            <v>11EJN0006F</v>
          </cell>
          <cell r="C1262" t="str">
            <v>X</v>
          </cell>
          <cell r="E1262" t="str">
            <v>GABRIELA MISTRAL</v>
          </cell>
          <cell r="F1262">
            <v>506</v>
          </cell>
          <cell r="G1262">
            <v>2</v>
          </cell>
          <cell r="H1262" t="str">
            <v>Victoria</v>
          </cell>
          <cell r="I1262">
            <v>45000</v>
          </cell>
          <cell r="J1262" t="str">
            <v>Completa</v>
          </cell>
          <cell r="K1262" t="str">
            <v>LIBERTAD Y SAN JUAN NUM. 23</v>
          </cell>
          <cell r="L1262">
            <v>0</v>
          </cell>
          <cell r="M1262" t="str">
            <v>VICTORIA</v>
          </cell>
          <cell r="T1262" t="e">
            <v>#REF!</v>
          </cell>
        </row>
        <row r="1263">
          <cell r="A1263" t="str">
            <v>LOMA DE LOS CHILITOS</v>
          </cell>
          <cell r="B1263" t="str">
            <v>11EJN0220X</v>
          </cell>
          <cell r="C1263" t="str">
            <v>X</v>
          </cell>
          <cell r="E1263" t="str">
            <v>SOR JUANA INES DE LA CRUZ</v>
          </cell>
          <cell r="F1263">
            <v>506</v>
          </cell>
          <cell r="G1263">
            <v>2</v>
          </cell>
          <cell r="H1263" t="str">
            <v>Victoria</v>
          </cell>
          <cell r="I1263">
            <v>20000</v>
          </cell>
          <cell r="J1263" t="str">
            <v>Multigrado</v>
          </cell>
          <cell r="K1263" t="str">
            <v>LOMA DE LOS CHILITOS</v>
          </cell>
          <cell r="L1263">
            <v>0</v>
          </cell>
          <cell r="M1263" t="str">
            <v>LOMA DE LOS CHILITOS</v>
          </cell>
          <cell r="T1263" t="e">
            <v>#REF!</v>
          </cell>
        </row>
        <row r="1264">
          <cell r="A1264" t="str">
            <v>MALINTO (SAN JUAN MALINTO)</v>
          </cell>
          <cell r="B1264" t="str">
            <v>11ETV0384W</v>
          </cell>
          <cell r="C1264" t="str">
            <v>X</v>
          </cell>
          <cell r="E1264" t="str">
            <v>TELESECUNDARIA NUM. 387</v>
          </cell>
          <cell r="F1264">
            <v>550</v>
          </cell>
          <cell r="G1264">
            <v>6</v>
          </cell>
          <cell r="H1264" t="str">
            <v>Victoria</v>
          </cell>
          <cell r="I1264">
            <v>45000</v>
          </cell>
          <cell r="J1264" t="str">
            <v>Completa</v>
          </cell>
          <cell r="K1264" t="str">
            <v>MALINTO</v>
          </cell>
          <cell r="L1264">
            <v>0</v>
          </cell>
          <cell r="M1264" t="str">
            <v>MALINTO (SAN JUAN MALINTO)</v>
          </cell>
          <cell r="T1264" t="e">
            <v>#REF!</v>
          </cell>
        </row>
        <row r="1265">
          <cell r="A1265" t="str">
            <v>VILLAGRAN</v>
          </cell>
          <cell r="B1265" t="str">
            <v>11DJN4197O</v>
          </cell>
          <cell r="D1265" t="str">
            <v>X</v>
          </cell>
          <cell r="E1265" t="str">
            <v>MOCTECUHZOMA XOCOYOTZIN</v>
          </cell>
          <cell r="F1265">
            <v>79</v>
          </cell>
          <cell r="G1265">
            <v>13</v>
          </cell>
          <cell r="H1265" t="str">
            <v>Villagrán</v>
          </cell>
          <cell r="I1265">
            <v>85000</v>
          </cell>
          <cell r="J1265" t="str">
            <v>Completa</v>
          </cell>
          <cell r="K1265" t="str">
            <v>CENTRO S/N</v>
          </cell>
          <cell r="L1265">
            <v>0</v>
          </cell>
          <cell r="M1265" t="str">
            <v>VILLAGRAN</v>
          </cell>
          <cell r="T1265" t="e">
            <v>#REF!</v>
          </cell>
        </row>
        <row r="1266">
          <cell r="A1266" t="str">
            <v>VILLAGRAN</v>
          </cell>
          <cell r="B1266" t="str">
            <v>11DJN0032E</v>
          </cell>
          <cell r="D1266" t="str">
            <v>X</v>
          </cell>
          <cell r="E1266" t="str">
            <v>SOR JUANA INES DE LA CRUZ</v>
          </cell>
          <cell r="F1266">
            <v>79</v>
          </cell>
          <cell r="G1266">
            <v>13</v>
          </cell>
          <cell r="H1266" t="str">
            <v>Villagrán</v>
          </cell>
          <cell r="I1266">
            <v>85000</v>
          </cell>
          <cell r="J1266" t="str">
            <v>Completa</v>
          </cell>
          <cell r="K1266" t="str">
            <v>SOR JUANA INES DE LA CRUZ S/N</v>
          </cell>
          <cell r="L1266">
            <v>0</v>
          </cell>
          <cell r="M1266" t="str">
            <v>VILLAGRAN</v>
          </cell>
          <cell r="T1266" t="e">
            <v>#REF!</v>
          </cell>
        </row>
        <row r="1267">
          <cell r="A1267" t="str">
            <v>VILLAGRAN</v>
          </cell>
          <cell r="B1267" t="str">
            <v>11DJN4241L</v>
          </cell>
          <cell r="C1267" t="str">
            <v>X</v>
          </cell>
          <cell r="E1267" t="str">
            <v>SANTOS DEGOLLADO</v>
          </cell>
          <cell r="F1267">
            <v>79</v>
          </cell>
          <cell r="G1267">
            <v>13</v>
          </cell>
          <cell r="H1267" t="str">
            <v>Villagrán</v>
          </cell>
          <cell r="I1267">
            <v>30000</v>
          </cell>
          <cell r="J1267" t="str">
            <v>Multigrado</v>
          </cell>
          <cell r="K1267" t="str">
            <v>PABLO FLORES BURGO</v>
          </cell>
          <cell r="L1267">
            <v>0</v>
          </cell>
          <cell r="M1267" t="str">
            <v>VILLAGRAN</v>
          </cell>
          <cell r="T1267" t="e">
            <v>#REF!</v>
          </cell>
        </row>
        <row r="1268">
          <cell r="A1268" t="str">
            <v>SANTA ROSA</v>
          </cell>
          <cell r="B1268" t="str">
            <v>11ETV0359X</v>
          </cell>
          <cell r="C1268" t="str">
            <v>X</v>
          </cell>
          <cell r="E1268" t="str">
            <v>TELESECUNDARIA NUM. 367</v>
          </cell>
          <cell r="F1268">
            <v>556</v>
          </cell>
          <cell r="G1268">
            <v>4</v>
          </cell>
          <cell r="H1268" t="str">
            <v>Villagrán</v>
          </cell>
          <cell r="I1268">
            <v>85000</v>
          </cell>
          <cell r="J1268" t="str">
            <v>Completa</v>
          </cell>
          <cell r="K1268" t="str">
            <v>SANTA ROSA</v>
          </cell>
          <cell r="L1268">
            <v>0</v>
          </cell>
          <cell r="M1268" t="str">
            <v>SANTA ROSA</v>
          </cell>
          <cell r="T1268" t="e">
            <v>#REF!</v>
          </cell>
        </row>
        <row r="1269">
          <cell r="A1269" t="str">
            <v>COLONIA 18 DE MARZO</v>
          </cell>
          <cell r="B1269" t="str">
            <v>11DJN0434Z</v>
          </cell>
          <cell r="C1269" t="str">
            <v>X</v>
          </cell>
          <cell r="E1269" t="str">
            <v>PROFR. RICARDO MEDINA VERA</v>
          </cell>
          <cell r="F1269">
            <v>79</v>
          </cell>
          <cell r="G1269">
            <v>13</v>
          </cell>
          <cell r="H1269" t="str">
            <v>Villagrán</v>
          </cell>
          <cell r="I1269">
            <v>85000</v>
          </cell>
          <cell r="J1269" t="str">
            <v>Completa</v>
          </cell>
          <cell r="K1269" t="str">
            <v>EMILIO GUTIERREZ ROLDAN NUM. 311</v>
          </cell>
          <cell r="L1269">
            <v>0</v>
          </cell>
          <cell r="M1269" t="str">
            <v>COLONIA 18 DE MARZO</v>
          </cell>
          <cell r="T1269" t="e">
            <v>#REF!</v>
          </cell>
        </row>
        <row r="1270">
          <cell r="A1270" t="str">
            <v>MEXICANOS</v>
          </cell>
          <cell r="B1270" t="str">
            <v>11DJN0435Y</v>
          </cell>
          <cell r="C1270" t="str">
            <v>X</v>
          </cell>
          <cell r="E1270" t="str">
            <v>MA. ELENA CORNEJO</v>
          </cell>
          <cell r="F1270">
            <v>79</v>
          </cell>
          <cell r="G1270">
            <v>13</v>
          </cell>
          <cell r="H1270" t="str">
            <v>Villagrán</v>
          </cell>
          <cell r="I1270">
            <v>85000</v>
          </cell>
          <cell r="J1270" t="str">
            <v>Completa</v>
          </cell>
          <cell r="K1270" t="str">
            <v>LAZARO CARDENAS S/N</v>
          </cell>
          <cell r="L1270">
            <v>0</v>
          </cell>
          <cell r="M1270" t="str">
            <v>MEXICANOS</v>
          </cell>
          <cell r="T1270" t="e">
            <v>#REF!</v>
          </cell>
        </row>
        <row r="1271">
          <cell r="A1271" t="str">
            <v>LOS ANGELES</v>
          </cell>
          <cell r="B1271" t="str">
            <v>11ETV0298Z</v>
          </cell>
          <cell r="C1271" t="str">
            <v>X</v>
          </cell>
          <cell r="E1271" t="str">
            <v>TELESECUNDARIA NUM. 298</v>
          </cell>
          <cell r="F1271">
            <v>556</v>
          </cell>
          <cell r="G1271">
            <v>4</v>
          </cell>
          <cell r="H1271" t="str">
            <v>Villagrán</v>
          </cell>
          <cell r="I1271">
            <v>85000</v>
          </cell>
          <cell r="J1271" t="str">
            <v>Completa</v>
          </cell>
          <cell r="K1271" t="str">
            <v>LOS ANGELES</v>
          </cell>
          <cell r="L1271">
            <v>0</v>
          </cell>
          <cell r="M1271" t="str">
            <v>LOS ANGELES</v>
          </cell>
          <cell r="T1271" t="e">
            <v>#REF!</v>
          </cell>
        </row>
        <row r="1272">
          <cell r="A1272" t="str">
            <v>VILLAGRAN</v>
          </cell>
          <cell r="B1272" t="str">
            <v>11ETV0454A</v>
          </cell>
          <cell r="C1272" t="str">
            <v>X</v>
          </cell>
          <cell r="E1272" t="str">
            <v>TELESECUNDARIA NUM. 436</v>
          </cell>
          <cell r="F1272">
            <v>556</v>
          </cell>
          <cell r="G1272">
            <v>4</v>
          </cell>
          <cell r="H1272" t="str">
            <v>Villagrán</v>
          </cell>
          <cell r="I1272">
            <v>85000</v>
          </cell>
          <cell r="J1272" t="str">
            <v>Completa</v>
          </cell>
          <cell r="K1272" t="str">
            <v>PROLONGACION MORELOS NUM. 800 PONIENTE</v>
          </cell>
          <cell r="L1272">
            <v>0</v>
          </cell>
          <cell r="M1272" t="str">
            <v>VILLAGRAN</v>
          </cell>
          <cell r="T1272" t="e">
            <v>#REF!</v>
          </cell>
        </row>
        <row r="1273">
          <cell r="A1273" t="str">
            <v>PUERTO DEL OCOTE (EL CONFITE)</v>
          </cell>
          <cell r="B1273" t="str">
            <v>11ETV0934I</v>
          </cell>
          <cell r="C1273" t="str">
            <v>X</v>
          </cell>
          <cell r="E1273" t="str">
            <v>TELESECUNDARIA NUM. 934</v>
          </cell>
          <cell r="F1273">
            <v>557</v>
          </cell>
          <cell r="G1273">
            <v>6</v>
          </cell>
          <cell r="H1273" t="str">
            <v>Xichú</v>
          </cell>
          <cell r="I1273">
            <v>20000</v>
          </cell>
          <cell r="J1273" t="str">
            <v>Multigrado</v>
          </cell>
          <cell r="K1273" t="str">
            <v>PUERTO DEL OCOTE</v>
          </cell>
          <cell r="L1273">
            <v>0</v>
          </cell>
          <cell r="M1273" t="str">
            <v>PUERTO DEL OCOTE (EL CONFITE)</v>
          </cell>
          <cell r="T1273" t="e">
            <v>#REF!</v>
          </cell>
        </row>
        <row r="1274">
          <cell r="A1274" t="str">
            <v>MESA DE CHALOC</v>
          </cell>
          <cell r="B1274" t="str">
            <v>11ETV0976H</v>
          </cell>
          <cell r="C1274" t="str">
            <v>X</v>
          </cell>
          <cell r="E1274" t="str">
            <v>TELESECUNDARIA</v>
          </cell>
          <cell r="F1274">
            <v>557</v>
          </cell>
          <cell r="G1274">
            <v>6</v>
          </cell>
          <cell r="H1274" t="str">
            <v>Xichú</v>
          </cell>
          <cell r="I1274">
            <v>20000</v>
          </cell>
          <cell r="J1274" t="str">
            <v>Multigrado</v>
          </cell>
          <cell r="K1274" t="str">
            <v>MESA DE CHALOC</v>
          </cell>
          <cell r="L1274">
            <v>0</v>
          </cell>
          <cell r="M1274" t="str">
            <v>MESA DE CHALOC</v>
          </cell>
          <cell r="T1274" t="e">
            <v>#REF!</v>
          </cell>
        </row>
        <row r="1275">
          <cell r="A1275" t="str">
            <v>LA SALITRERA</v>
          </cell>
          <cell r="B1275" t="str">
            <v>11EPR0363K</v>
          </cell>
          <cell r="C1275" t="str">
            <v>X</v>
          </cell>
          <cell r="E1275" t="str">
            <v>FRANCISCO I. MADERO</v>
          </cell>
          <cell r="F1275">
            <v>537</v>
          </cell>
          <cell r="G1275">
            <v>2</v>
          </cell>
          <cell r="H1275" t="str">
            <v>Xichú</v>
          </cell>
          <cell r="I1275">
            <v>20000</v>
          </cell>
          <cell r="J1275" t="str">
            <v>Multigrado</v>
          </cell>
          <cell r="K1275" t="str">
            <v>SALITRERA</v>
          </cell>
          <cell r="L1275">
            <v>0</v>
          </cell>
          <cell r="M1275" t="str">
            <v>LA SALITRERA</v>
          </cell>
          <cell r="T1275" t="e">
            <v>#REF!</v>
          </cell>
        </row>
        <row r="1276">
          <cell r="A1276" t="str">
            <v>LA SAVILA</v>
          </cell>
          <cell r="B1276" t="str">
            <v>11EPR0551D</v>
          </cell>
          <cell r="C1276" t="str">
            <v>X</v>
          </cell>
          <cell r="E1276" t="str">
            <v>EMILIANO ZAPATA</v>
          </cell>
          <cell r="F1276">
            <v>537</v>
          </cell>
          <cell r="G1276">
            <v>2</v>
          </cell>
          <cell r="H1276" t="str">
            <v>Xichú</v>
          </cell>
          <cell r="I1276">
            <v>20000</v>
          </cell>
          <cell r="J1276" t="str">
            <v>Multigrado</v>
          </cell>
          <cell r="K1276" t="str">
            <v>LA ZABILA</v>
          </cell>
          <cell r="L1276">
            <v>0</v>
          </cell>
          <cell r="M1276" t="str">
            <v>LA SAVILA</v>
          </cell>
          <cell r="T1276" t="e">
            <v>#REF!</v>
          </cell>
        </row>
        <row r="1277">
          <cell r="A1277" t="str">
            <v>SAN DIEGO DE LAS PITAHAYAS</v>
          </cell>
          <cell r="B1277" t="str">
            <v>11ETV0844Q</v>
          </cell>
          <cell r="C1277" t="str">
            <v>X</v>
          </cell>
          <cell r="E1277" t="str">
            <v>TELESECUNDARIA NUM. 844</v>
          </cell>
          <cell r="F1277">
            <v>557</v>
          </cell>
          <cell r="G1277">
            <v>6</v>
          </cell>
          <cell r="H1277" t="str">
            <v>Xichú</v>
          </cell>
          <cell r="I1277">
            <v>20000</v>
          </cell>
          <cell r="J1277" t="str">
            <v>Multigrado</v>
          </cell>
          <cell r="K1277" t="str">
            <v>SAN DIEGO DE LAS PITAHAYAS</v>
          </cell>
          <cell r="L1277">
            <v>0</v>
          </cell>
          <cell r="M1277" t="str">
            <v>SAN DIEGO DE LAS PITAHAYAS</v>
          </cell>
          <cell r="T1277" t="e">
            <v>#REF!</v>
          </cell>
        </row>
        <row r="1278">
          <cell r="A1278" t="str">
            <v>LA LAJA</v>
          </cell>
          <cell r="B1278" t="str">
            <v>11EPR0053G</v>
          </cell>
          <cell r="C1278" t="str">
            <v>X</v>
          </cell>
          <cell r="E1278" t="str">
            <v>15 DE MAYO</v>
          </cell>
          <cell r="F1278">
            <v>537</v>
          </cell>
          <cell r="G1278">
            <v>2</v>
          </cell>
          <cell r="H1278" t="str">
            <v>Xichú</v>
          </cell>
          <cell r="I1278">
            <v>20000</v>
          </cell>
          <cell r="J1278" t="str">
            <v>Multigrado</v>
          </cell>
          <cell r="K1278" t="str">
            <v>LA LAJA</v>
          </cell>
          <cell r="L1278">
            <v>0</v>
          </cell>
          <cell r="M1278" t="str">
            <v>LA LAJA</v>
          </cell>
          <cell r="T1278" t="e">
            <v>#REF!</v>
          </cell>
        </row>
        <row r="1279">
          <cell r="A1279" t="str">
            <v>XICHU</v>
          </cell>
          <cell r="B1279" t="str">
            <v>11EPR0876J</v>
          </cell>
          <cell r="C1279" t="str">
            <v>X</v>
          </cell>
          <cell r="E1279" t="str">
            <v>MARGARITA MAZA DE JUAREZ</v>
          </cell>
          <cell r="F1279">
            <v>537</v>
          </cell>
          <cell r="G1279">
            <v>2</v>
          </cell>
          <cell r="H1279" t="str">
            <v>Xichú</v>
          </cell>
          <cell r="I1279">
            <v>20000</v>
          </cell>
          <cell r="J1279" t="str">
            <v>Multigrado</v>
          </cell>
          <cell r="K1279" t="str">
            <v>ZAMORANO</v>
          </cell>
          <cell r="L1279" t="str">
            <v>NO APLICA</v>
          </cell>
          <cell r="M1279" t="str">
            <v>XICHU</v>
          </cell>
          <cell r="T1279" t="e">
            <v>#REF!</v>
          </cell>
        </row>
        <row r="1280">
          <cell r="A1280" t="str">
            <v>SAN MIGUEL DE LAS CASITAS (CASITAS)</v>
          </cell>
          <cell r="B1280" t="str">
            <v>11DPR3824Z</v>
          </cell>
          <cell r="C1280" t="str">
            <v>X</v>
          </cell>
          <cell r="E1280" t="str">
            <v>IGNACIO RAMIREZ</v>
          </cell>
          <cell r="F1280">
            <v>80</v>
          </cell>
          <cell r="G1280">
            <v>27</v>
          </cell>
          <cell r="H1280" t="str">
            <v>Xichú</v>
          </cell>
          <cell r="I1280">
            <v>20000</v>
          </cell>
          <cell r="J1280" t="str">
            <v>Multigrado</v>
          </cell>
          <cell r="K1280" t="str">
            <v>LA LAGUNITA</v>
          </cell>
          <cell r="L1280" t="str">
            <v>LA LAGUNITA</v>
          </cell>
          <cell r="M1280" t="str">
            <v>SAN MIGUEL DE LAS CASITAS (CASITAS)</v>
          </cell>
          <cell r="T1280" t="e">
            <v>#REF!</v>
          </cell>
        </row>
        <row r="1281">
          <cell r="A1281" t="str">
            <v>PASO DE GUILLERMO (SAGRADO CORAZON)</v>
          </cell>
          <cell r="B1281" t="str">
            <v>11ETV0843R</v>
          </cell>
          <cell r="C1281" t="str">
            <v>X</v>
          </cell>
          <cell r="E1281" t="str">
            <v>TELESECUNDARIA NUM. 843</v>
          </cell>
          <cell r="F1281">
            <v>557</v>
          </cell>
          <cell r="G1281">
            <v>6</v>
          </cell>
          <cell r="H1281" t="str">
            <v>Xichú</v>
          </cell>
          <cell r="I1281">
            <v>62000</v>
          </cell>
          <cell r="J1281" t="str">
            <v>Completa</v>
          </cell>
          <cell r="K1281" t="str">
            <v>PASO DE GUILLERMO</v>
          </cell>
          <cell r="L1281">
            <v>0</v>
          </cell>
          <cell r="M1281" t="str">
            <v>PASO DE GUILLERMO (SAGRADO CORAZON)</v>
          </cell>
          <cell r="T1281" t="e">
            <v>#REF!</v>
          </cell>
        </row>
        <row r="1282">
          <cell r="A1282" t="str">
            <v>SAN MIGUEL DE LAS CASITAS (CASITAS)</v>
          </cell>
          <cell r="B1282" t="str">
            <v>11DJN0838R</v>
          </cell>
          <cell r="C1282" t="str">
            <v>X</v>
          </cell>
          <cell r="E1282" t="str">
            <v>LEONA VICARIO</v>
          </cell>
          <cell r="F1282">
            <v>86</v>
          </cell>
          <cell r="G1282">
            <v>7</v>
          </cell>
          <cell r="H1282" t="str">
            <v>Xichú</v>
          </cell>
          <cell r="I1282">
            <v>20000</v>
          </cell>
          <cell r="J1282" t="str">
            <v>Multigrado</v>
          </cell>
          <cell r="K1282" t="str">
            <v>LA LAGUNITA</v>
          </cell>
          <cell r="L1282" t="str">
            <v>LA LAGUNITA</v>
          </cell>
          <cell r="M1282" t="str">
            <v>SAN MIGUEL DE LAS CASITAS (CASITAS)</v>
          </cell>
          <cell r="T1282" t="e">
            <v>#REF!</v>
          </cell>
        </row>
        <row r="1283">
          <cell r="A1283" t="str">
            <v>BUENAVISTA (PUERTO DE BUENAVISTA)</v>
          </cell>
          <cell r="B1283" t="str">
            <v>11EPR0847O</v>
          </cell>
          <cell r="C1283" t="str">
            <v>X</v>
          </cell>
          <cell r="E1283" t="str">
            <v>NIÑOS HEROES</v>
          </cell>
          <cell r="F1283">
            <v>555</v>
          </cell>
          <cell r="G1283">
            <v>2</v>
          </cell>
          <cell r="H1283" t="str">
            <v>Xichú</v>
          </cell>
          <cell r="I1283">
            <v>20000</v>
          </cell>
          <cell r="J1283" t="str">
            <v>Multigrado</v>
          </cell>
          <cell r="K1283" t="str">
            <v>PUERTO DE BUENAVISTA</v>
          </cell>
          <cell r="L1283">
            <v>0</v>
          </cell>
          <cell r="M1283" t="str">
            <v>BUENAVISTA (PUERTO DE BUENAVISTA)</v>
          </cell>
          <cell r="T1283" t="e">
            <v>#REF!</v>
          </cell>
        </row>
        <row r="1284">
          <cell r="A1284" t="str">
            <v>CALABAZAS</v>
          </cell>
          <cell r="B1284" t="str">
            <v>11ETV0940T</v>
          </cell>
          <cell r="C1284" t="str">
            <v>X</v>
          </cell>
          <cell r="E1284" t="str">
            <v>TELESECUNDARIA NUM. 940</v>
          </cell>
          <cell r="F1284">
            <v>557</v>
          </cell>
          <cell r="G1284">
            <v>6</v>
          </cell>
          <cell r="H1284" t="str">
            <v>Xichú</v>
          </cell>
          <cell r="I1284">
            <v>20000</v>
          </cell>
          <cell r="J1284" t="str">
            <v>Multigrado</v>
          </cell>
          <cell r="K1284" t="str">
            <v>CALABAZAS</v>
          </cell>
          <cell r="L1284">
            <v>0</v>
          </cell>
          <cell r="M1284" t="str">
            <v>CALABAZAS</v>
          </cell>
          <cell r="T1284" t="e">
            <v>#REF!</v>
          </cell>
        </row>
        <row r="1285">
          <cell r="A1285" t="str">
            <v>OCOTERO (EL COCOTERO)</v>
          </cell>
          <cell r="B1285" t="str">
            <v>11DJN0115N</v>
          </cell>
          <cell r="C1285" t="str">
            <v>X</v>
          </cell>
          <cell r="E1285" t="str">
            <v>VICENTE SUAREZ</v>
          </cell>
          <cell r="F1285">
            <v>86</v>
          </cell>
          <cell r="G1285">
            <v>7</v>
          </cell>
          <cell r="H1285" t="str">
            <v>Xichú</v>
          </cell>
          <cell r="I1285">
            <v>20000</v>
          </cell>
          <cell r="J1285" t="str">
            <v>Multigrado</v>
          </cell>
          <cell r="K1285" t="str">
            <v>OCOTERO</v>
          </cell>
          <cell r="L1285">
            <v>0</v>
          </cell>
          <cell r="M1285" t="str">
            <v>OCOTERO (EL COCOTERO)</v>
          </cell>
          <cell r="T1285" t="e">
            <v>#REF!</v>
          </cell>
        </row>
        <row r="1286">
          <cell r="A1286" t="str">
            <v>PASO DE GUILLERMO (SAGRADO CORAZON)</v>
          </cell>
          <cell r="B1286" t="str">
            <v>11DJN4282L</v>
          </cell>
          <cell r="C1286" t="str">
            <v>X</v>
          </cell>
          <cell r="E1286" t="str">
            <v>JOSE CLEMENTE OROZCO</v>
          </cell>
          <cell r="F1286">
            <v>86</v>
          </cell>
          <cell r="G1286">
            <v>7</v>
          </cell>
          <cell r="H1286" t="str">
            <v>Xichú</v>
          </cell>
          <cell r="I1286">
            <v>20000</v>
          </cell>
          <cell r="J1286" t="str">
            <v>Multigrado</v>
          </cell>
          <cell r="K1286" t="str">
            <v>PASO DE GUILLERMO</v>
          </cell>
          <cell r="L1286">
            <v>0</v>
          </cell>
          <cell r="M1286" t="str">
            <v>PASO DE GUILLERMO (SAGRADO CORAZON)</v>
          </cell>
          <cell r="T1286" t="e">
            <v>#REF!</v>
          </cell>
        </row>
        <row r="1287">
          <cell r="A1287" t="str">
            <v>AGUA ZARCA DEL PINAL (AGUA ZARCA)</v>
          </cell>
          <cell r="B1287" t="str">
            <v>11EPR0362L</v>
          </cell>
          <cell r="C1287" t="str">
            <v>X</v>
          </cell>
          <cell r="E1287" t="str">
            <v>IGNACIO ALLENDE</v>
          </cell>
          <cell r="F1287">
            <v>555</v>
          </cell>
          <cell r="G1287">
            <v>2</v>
          </cell>
          <cell r="H1287" t="str">
            <v>Xichú</v>
          </cell>
          <cell r="I1287">
            <v>20000</v>
          </cell>
          <cell r="J1287" t="str">
            <v>Multigrado</v>
          </cell>
          <cell r="K1287" t="str">
            <v>AGUA ZARCA DEL PINAL</v>
          </cell>
          <cell r="L1287">
            <v>0</v>
          </cell>
          <cell r="M1287" t="str">
            <v>AGUA ZARCA DEL PINAL (AGUA ZARCA)</v>
          </cell>
          <cell r="T1287" t="e">
            <v>#REF!</v>
          </cell>
        </row>
        <row r="1288">
          <cell r="A1288" t="str">
            <v>BELTRAN</v>
          </cell>
          <cell r="B1288" t="str">
            <v>11EPR0630Q</v>
          </cell>
          <cell r="C1288" t="str">
            <v>X</v>
          </cell>
          <cell r="E1288" t="str">
            <v>FERNANDO ROSAS</v>
          </cell>
          <cell r="F1288">
            <v>537</v>
          </cell>
          <cell r="G1288">
            <v>2</v>
          </cell>
          <cell r="H1288" t="str">
            <v>Xichú</v>
          </cell>
          <cell r="I1288">
            <v>20000</v>
          </cell>
          <cell r="J1288" t="str">
            <v>Multigrado</v>
          </cell>
          <cell r="K1288" t="str">
            <v>BELTRAN</v>
          </cell>
          <cell r="L1288">
            <v>0</v>
          </cell>
          <cell r="M1288" t="str">
            <v>BELTRAN</v>
          </cell>
          <cell r="T1288" t="e">
            <v>#REF!</v>
          </cell>
        </row>
        <row r="1289">
          <cell r="A1289" t="str">
            <v>EL RUCIO</v>
          </cell>
          <cell r="B1289" t="str">
            <v>11ETV0617V</v>
          </cell>
          <cell r="C1289" t="str">
            <v>X</v>
          </cell>
          <cell r="E1289" t="str">
            <v>TELESECUNDARIA NUM. 617</v>
          </cell>
          <cell r="F1289">
            <v>557</v>
          </cell>
          <cell r="G1289">
            <v>6</v>
          </cell>
          <cell r="H1289" t="str">
            <v>Xichú</v>
          </cell>
          <cell r="I1289">
            <v>20000</v>
          </cell>
          <cell r="J1289" t="str">
            <v>Multigrado</v>
          </cell>
          <cell r="K1289" t="str">
            <v>EL RUCIO</v>
          </cell>
          <cell r="L1289">
            <v>0</v>
          </cell>
          <cell r="M1289" t="str">
            <v>EL RUCIO</v>
          </cell>
          <cell r="T1289" t="e">
            <v>#REF!</v>
          </cell>
        </row>
        <row r="1290">
          <cell r="A1290" t="str">
            <v>EL GUAMUCHIL</v>
          </cell>
          <cell r="B1290" t="str">
            <v>11DPR0741W</v>
          </cell>
          <cell r="C1290" t="str">
            <v>X</v>
          </cell>
          <cell r="E1290" t="str">
            <v>BENITO JUAREZ</v>
          </cell>
          <cell r="F1290">
            <v>171</v>
          </cell>
          <cell r="G1290">
            <v>27</v>
          </cell>
          <cell r="H1290" t="str">
            <v>Xichú</v>
          </cell>
          <cell r="I1290">
            <v>45000</v>
          </cell>
          <cell r="J1290" t="str">
            <v>Completa</v>
          </cell>
          <cell r="K1290" t="str">
            <v>EL HUAMUCHIL</v>
          </cell>
          <cell r="L1290">
            <v>0</v>
          </cell>
          <cell r="M1290" t="str">
            <v>EL GUAMUCHIL</v>
          </cell>
          <cell r="T1290" t="e">
            <v>#REF!</v>
          </cell>
        </row>
        <row r="1291">
          <cell r="A1291" t="str">
            <v>EL CONTADERO</v>
          </cell>
          <cell r="B1291" t="str">
            <v>11EPR0499Y</v>
          </cell>
          <cell r="C1291" t="str">
            <v>X</v>
          </cell>
          <cell r="E1291" t="str">
            <v>MORELOS</v>
          </cell>
          <cell r="F1291">
            <v>555</v>
          </cell>
          <cell r="G1291">
            <v>2</v>
          </cell>
          <cell r="H1291" t="str">
            <v>Xichú</v>
          </cell>
          <cell r="I1291">
            <v>20000</v>
          </cell>
          <cell r="J1291" t="str">
            <v>Multigrado</v>
          </cell>
          <cell r="K1291" t="str">
            <v>EL CONTADERO</v>
          </cell>
          <cell r="L1291">
            <v>0</v>
          </cell>
          <cell r="M1291" t="str">
            <v>EL CONTADERO</v>
          </cell>
          <cell r="T1291" t="e">
            <v>#REF!</v>
          </cell>
        </row>
        <row r="1292">
          <cell r="A1292" t="str">
            <v>PUERTO DE TABLAS</v>
          </cell>
          <cell r="B1292" t="str">
            <v>11DPR3753V</v>
          </cell>
          <cell r="C1292" t="str">
            <v>X</v>
          </cell>
          <cell r="E1292" t="str">
            <v>CITLALQUETZAL</v>
          </cell>
          <cell r="F1292">
            <v>80</v>
          </cell>
          <cell r="G1292">
            <v>27</v>
          </cell>
          <cell r="H1292" t="str">
            <v>Xichú</v>
          </cell>
          <cell r="I1292">
            <v>20000</v>
          </cell>
          <cell r="J1292" t="str">
            <v>Multigrado</v>
          </cell>
          <cell r="K1292" t="str">
            <v>PUERTO DE TABLAS</v>
          </cell>
          <cell r="L1292">
            <v>0</v>
          </cell>
          <cell r="M1292" t="str">
            <v>PUERTO DE TABLAS</v>
          </cell>
          <cell r="T1292" t="e">
            <v>#REF!</v>
          </cell>
        </row>
        <row r="1293">
          <cell r="A1293" t="str">
            <v>CRISTO REY</v>
          </cell>
          <cell r="B1293" t="str">
            <v>11EPR0516Y</v>
          </cell>
          <cell r="C1293" t="str">
            <v>X</v>
          </cell>
          <cell r="E1293" t="str">
            <v>VENUSTIANO CARRANZA</v>
          </cell>
          <cell r="F1293">
            <v>555</v>
          </cell>
          <cell r="G1293">
            <v>2</v>
          </cell>
          <cell r="H1293" t="str">
            <v>Xichú</v>
          </cell>
          <cell r="I1293">
            <v>25000</v>
          </cell>
          <cell r="J1293" t="str">
            <v>Multigrado</v>
          </cell>
          <cell r="K1293" t="str">
            <v>CERRO DEL ORO</v>
          </cell>
          <cell r="L1293" t="str">
            <v>CERRO DEL ORO</v>
          </cell>
          <cell r="M1293" t="str">
            <v>CRISTO REY</v>
          </cell>
          <cell r="T1293" t="e">
            <v>#REF!</v>
          </cell>
        </row>
        <row r="1294">
          <cell r="A1294" t="str">
            <v>LOMA DE ZEMPOALA</v>
          </cell>
          <cell r="B1294" t="str">
            <v>11DJN0446D</v>
          </cell>
          <cell r="D1294" t="str">
            <v>X</v>
          </cell>
          <cell r="E1294" t="str">
            <v>GABINO BARREDA</v>
          </cell>
          <cell r="F1294">
            <v>95</v>
          </cell>
          <cell r="G1294">
            <v>12</v>
          </cell>
          <cell r="H1294" t="str">
            <v>Yuriria</v>
          </cell>
          <cell r="I1294">
            <v>85000</v>
          </cell>
          <cell r="J1294" t="str">
            <v>Completa</v>
          </cell>
          <cell r="K1294" t="str">
            <v>LOMA DE ZEMPOALA</v>
          </cell>
          <cell r="L1294" t="str">
            <v>LOMA DE ZEMPOALA</v>
          </cell>
          <cell r="M1294" t="str">
            <v>LOMA DE ZEMPOALA</v>
          </cell>
          <cell r="T1294" t="e">
            <v>#REF!</v>
          </cell>
        </row>
        <row r="1295">
          <cell r="A1295" t="str">
            <v>CERANO (SAN JUAN CERANO)</v>
          </cell>
          <cell r="B1295" t="str">
            <v>11EJN0291R</v>
          </cell>
          <cell r="C1295" t="str">
            <v>X</v>
          </cell>
          <cell r="E1295" t="str">
            <v>LEONA VICARIO FERNANDEZ</v>
          </cell>
          <cell r="F1295">
            <v>526</v>
          </cell>
          <cell r="G1295">
            <v>8</v>
          </cell>
          <cell r="H1295" t="str">
            <v>Yuriria</v>
          </cell>
          <cell r="I1295">
            <v>85000</v>
          </cell>
          <cell r="J1295" t="str">
            <v>Completa</v>
          </cell>
          <cell r="K1295" t="str">
            <v>NIÑOS HEROES NUM. 10-BIS ENTRADA POR LA PRIMARIA MA GUADALUPE</v>
          </cell>
          <cell r="L1295" t="str">
            <v>CENTRO</v>
          </cell>
          <cell r="M1295" t="str">
            <v>CERANO (SAN JUAN CERANO)</v>
          </cell>
          <cell r="T1295" t="e">
            <v>#REF!</v>
          </cell>
        </row>
        <row r="1296">
          <cell r="A1296" t="str">
            <v>YURIRIA</v>
          </cell>
          <cell r="B1296" t="str">
            <v>11ETV0619T</v>
          </cell>
          <cell r="C1296" t="str">
            <v>X</v>
          </cell>
          <cell r="E1296" t="str">
            <v>TELESECUNDARIA NUM. 619</v>
          </cell>
          <cell r="F1296">
            <v>523</v>
          </cell>
          <cell r="G1296">
            <v>8</v>
          </cell>
          <cell r="H1296" t="str">
            <v>Yuriria</v>
          </cell>
          <cell r="I1296">
            <v>85000</v>
          </cell>
          <cell r="J1296" t="str">
            <v>Completa</v>
          </cell>
          <cell r="K1296" t="str">
            <v>ARROYO DEL CAPULIN NUM. 150 CAMINO PANTEON NUEVO</v>
          </cell>
          <cell r="L1296" t="str">
            <v>LA ALDEA</v>
          </cell>
          <cell r="M1296" t="str">
            <v>YURIRIA</v>
          </cell>
          <cell r="T1296" t="e">
            <v>#REF!</v>
          </cell>
        </row>
        <row r="1297">
          <cell r="A1297" t="str">
            <v>PARANGARICO</v>
          </cell>
          <cell r="B1297" t="str">
            <v>11ETV0918R</v>
          </cell>
          <cell r="C1297" t="str">
            <v>X</v>
          </cell>
          <cell r="E1297" t="str">
            <v>TELESECUNDARIA NUM. 918</v>
          </cell>
          <cell r="F1297">
            <v>523</v>
          </cell>
          <cell r="G1297">
            <v>8</v>
          </cell>
          <cell r="H1297" t="str">
            <v>Yuriria</v>
          </cell>
          <cell r="I1297">
            <v>85000</v>
          </cell>
          <cell r="J1297" t="str">
            <v>Completa</v>
          </cell>
          <cell r="K1297" t="str">
            <v>PARANGARICO</v>
          </cell>
          <cell r="L1297" t="str">
            <v>PARANGARICO</v>
          </cell>
          <cell r="M1297" t="str">
            <v>PARANGARICO</v>
          </cell>
          <cell r="T1297" t="e">
            <v>#REF!</v>
          </cell>
        </row>
        <row r="1298">
          <cell r="A1298" t="str">
            <v>SAN MIGUEL EL ALTO (SAN MIGUELITO)</v>
          </cell>
          <cell r="B1298" t="str">
            <v>11DJN0450Q</v>
          </cell>
          <cell r="D1298" t="str">
            <v>X</v>
          </cell>
          <cell r="E1298" t="str">
            <v>NARCISO BASSOLS</v>
          </cell>
          <cell r="F1298">
            <v>40</v>
          </cell>
          <cell r="G1298">
            <v>12</v>
          </cell>
          <cell r="H1298" t="str">
            <v>Yuriria</v>
          </cell>
          <cell r="I1298">
            <v>30000</v>
          </cell>
          <cell r="J1298" t="str">
            <v>Multigrado</v>
          </cell>
          <cell r="K1298" t="str">
            <v>PRIVADA DE ALDAMA</v>
          </cell>
          <cell r="L1298" t="str">
            <v>SAN MIGUEL</v>
          </cell>
          <cell r="M1298" t="str">
            <v>SAN MIGUEL EL ALTO (SAN MIGUELITO)</v>
          </cell>
          <cell r="T1298" t="e">
            <v>#REF!</v>
          </cell>
        </row>
        <row r="1299">
          <cell r="A1299" t="str">
            <v>LA CALERA</v>
          </cell>
          <cell r="B1299" t="str">
            <v>11DJN0454M</v>
          </cell>
          <cell r="D1299" t="str">
            <v>X</v>
          </cell>
          <cell r="E1299" t="str">
            <v>MARGARITA MAZA DE JUAREZ</v>
          </cell>
          <cell r="F1299">
            <v>40</v>
          </cell>
          <cell r="G1299">
            <v>12</v>
          </cell>
          <cell r="H1299" t="str">
            <v>Yuriria</v>
          </cell>
          <cell r="I1299">
            <v>85000</v>
          </cell>
          <cell r="J1299" t="str">
            <v>Completa</v>
          </cell>
          <cell r="K1299" t="str">
            <v>16 DE SEPTIEMBRE NUM. 24</v>
          </cell>
          <cell r="L1299" t="str">
            <v>LA CALERA</v>
          </cell>
          <cell r="M1299" t="str">
            <v>LA CALERA</v>
          </cell>
          <cell r="T1299" t="e">
            <v>#REF!</v>
          </cell>
        </row>
        <row r="1300">
          <cell r="A1300" t="str">
            <v>SAN ISIDRO CALERA (SAN ISIDRO)</v>
          </cell>
          <cell r="B1300" t="str">
            <v>11DJN0593N</v>
          </cell>
          <cell r="C1300" t="str">
            <v>X</v>
          </cell>
          <cell r="E1300" t="str">
            <v>BRIGIDA ALFARO</v>
          </cell>
          <cell r="F1300">
            <v>40</v>
          </cell>
          <cell r="G1300">
            <v>12</v>
          </cell>
          <cell r="H1300" t="str">
            <v>Yuriria</v>
          </cell>
          <cell r="I1300">
            <v>30000</v>
          </cell>
          <cell r="J1300" t="str">
            <v>Multigrado</v>
          </cell>
          <cell r="K1300" t="str">
            <v>VICENTE GUERRERO</v>
          </cell>
          <cell r="L1300" t="str">
            <v>SAN ISIDRO CALERA</v>
          </cell>
          <cell r="M1300" t="str">
            <v>SAN ISIDRO CALERA (SAN ISIDRO)</v>
          </cell>
          <cell r="T1300" t="e">
            <v>#REF!</v>
          </cell>
        </row>
        <row r="1301">
          <cell r="A1301" t="str">
            <v>SAN ANDRES ENGUARO</v>
          </cell>
          <cell r="B1301" t="str">
            <v>11DJN0595L</v>
          </cell>
          <cell r="C1301" t="str">
            <v>X</v>
          </cell>
          <cell r="E1301" t="str">
            <v>JUAN JACOBO ROUSSEAU</v>
          </cell>
          <cell r="F1301">
            <v>40</v>
          </cell>
          <cell r="G1301">
            <v>12</v>
          </cell>
          <cell r="H1301" t="str">
            <v>Yuriria</v>
          </cell>
          <cell r="I1301">
            <v>85000</v>
          </cell>
          <cell r="J1301" t="str">
            <v>Completa</v>
          </cell>
          <cell r="K1301" t="str">
            <v>FELIPE ANGELES NUM. 4</v>
          </cell>
          <cell r="L1301" t="str">
            <v>SAN ANDRES ENGUARO</v>
          </cell>
          <cell r="M1301" t="str">
            <v>SAN ANDRES ENGUARO</v>
          </cell>
          <cell r="T1301" t="e">
            <v>#REF!</v>
          </cell>
        </row>
        <row r="1302">
          <cell r="A1302" t="str">
            <v>OCHOMITAS</v>
          </cell>
          <cell r="B1302" t="str">
            <v>11DJN0455L</v>
          </cell>
          <cell r="D1302" t="str">
            <v>X</v>
          </cell>
          <cell r="E1302" t="str">
            <v>ENRIQUE C. REBSAMEN</v>
          </cell>
          <cell r="F1302">
            <v>40</v>
          </cell>
          <cell r="G1302">
            <v>12</v>
          </cell>
          <cell r="H1302" t="str">
            <v>Yuriria</v>
          </cell>
          <cell r="I1302">
            <v>30000</v>
          </cell>
          <cell r="J1302" t="str">
            <v>Multigrado</v>
          </cell>
          <cell r="K1302" t="str">
            <v>HIDALGO</v>
          </cell>
          <cell r="L1302" t="str">
            <v>OCHOMITAS</v>
          </cell>
          <cell r="M1302" t="str">
            <v>OCHOMITAS</v>
          </cell>
          <cell r="T1302" t="e">
            <v>#REF!</v>
          </cell>
        </row>
        <row r="1303">
          <cell r="A1303" t="str">
            <v>EL MORAL</v>
          </cell>
          <cell r="B1303" t="str">
            <v>11DJN0592O</v>
          </cell>
          <cell r="C1303" t="str">
            <v>X</v>
          </cell>
          <cell r="E1303" t="str">
            <v>RAFAEL RAMIREZ</v>
          </cell>
          <cell r="F1303">
            <v>40</v>
          </cell>
          <cell r="G1303">
            <v>12</v>
          </cell>
          <cell r="H1303" t="str">
            <v>Yuriria</v>
          </cell>
          <cell r="I1303">
            <v>85000</v>
          </cell>
          <cell r="J1303" t="str">
            <v>Completa</v>
          </cell>
          <cell r="K1303" t="str">
            <v>HIDALGO</v>
          </cell>
          <cell r="L1303" t="str">
            <v>EL MORAL</v>
          </cell>
          <cell r="M1303" t="str">
            <v>EL MORAL</v>
          </cell>
          <cell r="T1303" t="e">
            <v>#REF!</v>
          </cell>
        </row>
        <row r="1304">
          <cell r="A1304" t="str">
            <v>YURIRIA</v>
          </cell>
          <cell r="B1304" t="str">
            <v>11DJN4111S</v>
          </cell>
          <cell r="C1304" t="str">
            <v>X</v>
          </cell>
          <cell r="E1304" t="str">
            <v>TORIBIO DE BENAVENTE MOTOLINIA</v>
          </cell>
          <cell r="F1304">
            <v>40</v>
          </cell>
          <cell r="G1304">
            <v>12</v>
          </cell>
          <cell r="H1304" t="str">
            <v>Yuriria</v>
          </cell>
          <cell r="I1304">
            <v>85000</v>
          </cell>
          <cell r="J1304" t="str">
            <v>Completa</v>
          </cell>
          <cell r="K1304" t="str">
            <v>FRACCIONAMIENTO PLUTON NUM. 39</v>
          </cell>
          <cell r="L1304" t="str">
            <v>FRACCIONAMIENTO EL RESPLANDOR</v>
          </cell>
          <cell r="M1304" t="str">
            <v>YURIRIA</v>
          </cell>
          <cell r="T1304" t="e">
            <v>#REF!</v>
          </cell>
        </row>
        <row r="1305">
          <cell r="A1305" t="str">
            <v>SAN FRANCISCO DE LA CRUZ</v>
          </cell>
          <cell r="B1305" t="str">
            <v>11DPR0528D</v>
          </cell>
          <cell r="C1305" t="str">
            <v>X</v>
          </cell>
          <cell r="E1305" t="str">
            <v>AMADO NERVO</v>
          </cell>
          <cell r="F1305">
            <v>50</v>
          </cell>
          <cell r="G1305">
            <v>10</v>
          </cell>
          <cell r="H1305" t="str">
            <v>Yuriria</v>
          </cell>
          <cell r="I1305">
            <v>85000</v>
          </cell>
          <cell r="J1305" t="str">
            <v>Completa</v>
          </cell>
          <cell r="K1305" t="str">
            <v>MIGUEL HIDALGO</v>
          </cell>
          <cell r="L1305" t="str">
            <v>SAN FRANCISCO DE LA CRUZ</v>
          </cell>
          <cell r="M1305" t="str">
            <v>SAN FRANCISCO DE LA CRUZ</v>
          </cell>
          <cell r="T1305" t="e">
            <v>#REF!</v>
          </cell>
        </row>
        <row r="1306">
          <cell r="A1306" t="str">
            <v>YURIRIA</v>
          </cell>
          <cell r="B1306" t="str">
            <v>11EPR0364J</v>
          </cell>
          <cell r="C1306" t="str">
            <v>X</v>
          </cell>
          <cell r="E1306" t="str">
            <v>AÑO DE HIDALGO</v>
          </cell>
          <cell r="F1306">
            <v>521</v>
          </cell>
          <cell r="G1306">
            <v>6</v>
          </cell>
          <cell r="H1306" t="str">
            <v>Yuriria</v>
          </cell>
          <cell r="I1306">
            <v>85000</v>
          </cell>
          <cell r="J1306" t="str">
            <v>Completa</v>
          </cell>
          <cell r="K1306" t="str">
            <v>LA PAZ NUM. 10-B</v>
          </cell>
          <cell r="L1306">
            <v>0</v>
          </cell>
          <cell r="M1306" t="str">
            <v>YURIRIA</v>
          </cell>
          <cell r="T1306" t="e">
            <v>#REF!</v>
          </cell>
        </row>
        <row r="1307">
          <cell r="A1307" t="str">
            <v>CERANO (SAN JUAN CERANO)</v>
          </cell>
          <cell r="B1307" t="str">
            <v>11DJN0082M</v>
          </cell>
          <cell r="C1307" t="str">
            <v>X</v>
          </cell>
          <cell r="E1307" t="str">
            <v>JOSEFA ORTIZ DE DOMINGUEZ</v>
          </cell>
          <cell r="F1307">
            <v>81</v>
          </cell>
          <cell r="G1307">
            <v>12</v>
          </cell>
          <cell r="H1307" t="str">
            <v>Yuriria</v>
          </cell>
          <cell r="I1307">
            <v>85000</v>
          </cell>
          <cell r="J1307" t="str">
            <v>Completa</v>
          </cell>
          <cell r="K1307" t="str">
            <v>MONTAÑO NUM. 1</v>
          </cell>
          <cell r="L1307">
            <v>0</v>
          </cell>
          <cell r="M1307" t="str">
            <v>CERANO (SAN JUAN CERANO)</v>
          </cell>
          <cell r="T1307" t="e">
            <v>#REF!</v>
          </cell>
        </row>
        <row r="1308">
          <cell r="A1308" t="str">
            <v>YURIRIA</v>
          </cell>
          <cell r="B1308" t="str">
            <v>11DJN4198N</v>
          </cell>
          <cell r="C1308" t="str">
            <v>X</v>
          </cell>
          <cell r="E1308" t="str">
            <v>LAUREANA W. GONZALEZ</v>
          </cell>
          <cell r="F1308">
            <v>81</v>
          </cell>
          <cell r="G1308">
            <v>12</v>
          </cell>
          <cell r="H1308" t="str">
            <v>Yuriria</v>
          </cell>
          <cell r="I1308">
            <v>85000</v>
          </cell>
          <cell r="J1308" t="str">
            <v>Completa</v>
          </cell>
          <cell r="K1308" t="str">
            <v>SANTO TOMAS NUM. 1</v>
          </cell>
          <cell r="L1308" t="str">
            <v>CRUZ GRANDE</v>
          </cell>
          <cell r="M1308" t="str">
            <v>YURIRIA</v>
          </cell>
          <cell r="T1308" t="e">
            <v>#REF!</v>
          </cell>
        </row>
        <row r="1309">
          <cell r="A1309" t="str">
            <v>XOCONOXTLE</v>
          </cell>
          <cell r="B1309" t="str">
            <v>11DJN0049E</v>
          </cell>
          <cell r="C1309" t="str">
            <v>X</v>
          </cell>
          <cell r="E1309" t="str">
            <v>GERTRUDIS VARGAS</v>
          </cell>
          <cell r="F1309">
            <v>81</v>
          </cell>
          <cell r="G1309">
            <v>12</v>
          </cell>
          <cell r="H1309" t="str">
            <v>Yuriria</v>
          </cell>
          <cell r="I1309">
            <v>30000</v>
          </cell>
          <cell r="J1309" t="str">
            <v>Multigrado</v>
          </cell>
          <cell r="K1309" t="str">
            <v>CALLE MORELOS</v>
          </cell>
          <cell r="L1309">
            <v>0</v>
          </cell>
          <cell r="M1309" t="str">
            <v>XOCONOXTLE</v>
          </cell>
          <cell r="T1309" t="e">
            <v>#REF!</v>
          </cell>
        </row>
        <row r="1310">
          <cell r="A1310" t="str">
            <v>YURIRIA</v>
          </cell>
          <cell r="B1310" t="str">
            <v>11DJN3769F</v>
          </cell>
          <cell r="C1310" t="str">
            <v>X</v>
          </cell>
          <cell r="E1310" t="str">
            <v>CRI-CRI</v>
          </cell>
          <cell r="F1310">
            <v>81</v>
          </cell>
          <cell r="G1310">
            <v>12</v>
          </cell>
          <cell r="H1310" t="str">
            <v>Yuriria</v>
          </cell>
          <cell r="I1310">
            <v>85000</v>
          </cell>
          <cell r="J1310" t="str">
            <v>Completa</v>
          </cell>
          <cell r="K1310" t="str">
            <v>REVOLUCION NUM. 94</v>
          </cell>
          <cell r="L1310" t="str">
            <v>SAN JUAN</v>
          </cell>
          <cell r="M1310" t="str">
            <v>YURIRIA</v>
          </cell>
          <cell r="T1310" t="e">
            <v>#REF!</v>
          </cell>
        </row>
        <row r="1311">
          <cell r="A1311" t="str">
            <v>SAN MIGUEL EL ALTO (SAN MIGUELITO)</v>
          </cell>
          <cell r="B1311" t="str">
            <v>11ETV0196C</v>
          </cell>
          <cell r="C1311" t="str">
            <v>X</v>
          </cell>
          <cell r="E1311" t="str">
            <v>TELESECUNDARIA NUM. 197</v>
          </cell>
          <cell r="F1311">
            <v>523</v>
          </cell>
          <cell r="G1311">
            <v>8</v>
          </cell>
          <cell r="H1311" t="str">
            <v>Yuriria</v>
          </cell>
          <cell r="I1311">
            <v>85000</v>
          </cell>
          <cell r="J1311" t="str">
            <v>Completa</v>
          </cell>
          <cell r="K1311" t="str">
            <v>HIDALGO NUM. 13</v>
          </cell>
          <cell r="L1311" t="str">
            <v>SAN MIGUELITO</v>
          </cell>
          <cell r="M1311" t="str">
            <v>SAN MIGUEL EL ALTO (SAN MIGUELITO)</v>
          </cell>
          <cell r="T1311" t="e">
            <v>#REF!</v>
          </cell>
        </row>
        <row r="1312">
          <cell r="A1312" t="str">
            <v>JUAN LUCAS</v>
          </cell>
          <cell r="B1312" t="str">
            <v>11DPR0508Q</v>
          </cell>
          <cell r="C1312" t="str">
            <v>X</v>
          </cell>
          <cell r="E1312" t="str">
            <v>AGUSTIN MELGAR</v>
          </cell>
          <cell r="F1312">
            <v>50</v>
          </cell>
          <cell r="G1312">
            <v>10</v>
          </cell>
          <cell r="H1312" t="str">
            <v>Yuriria</v>
          </cell>
          <cell r="I1312">
            <v>85000</v>
          </cell>
          <cell r="J1312" t="str">
            <v>Completa</v>
          </cell>
          <cell r="K1312" t="str">
            <v>VICENTE GUERRERO NUM. 2</v>
          </cell>
          <cell r="L1312" t="str">
            <v>CENTRO</v>
          </cell>
          <cell r="M1312" t="str">
            <v>JUAN LUCAS</v>
          </cell>
          <cell r="T1312" t="e">
            <v>#REF!</v>
          </cell>
        </row>
        <row r="1313">
          <cell r="A1313" t="str">
            <v>LAGUNA PRIETA</v>
          </cell>
          <cell r="B1313" t="str">
            <v>11DPR0509P</v>
          </cell>
          <cell r="C1313" t="str">
            <v>X</v>
          </cell>
          <cell r="E1313" t="str">
            <v>MIGUEL HIDALGO</v>
          </cell>
          <cell r="F1313">
            <v>50</v>
          </cell>
          <cell r="G1313">
            <v>10</v>
          </cell>
          <cell r="H1313" t="str">
            <v>Yuriria</v>
          </cell>
          <cell r="I1313">
            <v>85000</v>
          </cell>
          <cell r="J1313" t="str">
            <v>Completa</v>
          </cell>
          <cell r="K1313" t="str">
            <v>MORELOS NUM. 4</v>
          </cell>
          <cell r="L1313" t="str">
            <v>LAGUNA PRIETA</v>
          </cell>
          <cell r="M1313" t="str">
            <v>LAGUNA PRIETA</v>
          </cell>
          <cell r="T1313" t="e">
            <v>#REF!</v>
          </cell>
        </row>
        <row r="1314">
          <cell r="A1314" t="str">
            <v>SAN ANDRES ENGUARO</v>
          </cell>
          <cell r="B1314" t="str">
            <v>11DPR0527E</v>
          </cell>
          <cell r="C1314" t="str">
            <v>X</v>
          </cell>
          <cell r="E1314" t="str">
            <v>VICENTE GUERRERO</v>
          </cell>
          <cell r="F1314">
            <v>140</v>
          </cell>
          <cell r="G1314">
            <v>10</v>
          </cell>
          <cell r="H1314" t="str">
            <v>Yuriria</v>
          </cell>
          <cell r="I1314">
            <v>85000</v>
          </cell>
          <cell r="J1314" t="str">
            <v>Completa</v>
          </cell>
          <cell r="K1314" t="str">
            <v>BENITO JUAREZ NUM. 242</v>
          </cell>
          <cell r="L1314" t="str">
            <v>SAN ANDRES ENGUARO</v>
          </cell>
          <cell r="M1314" t="str">
            <v>SAN ANDRES ENGUARO</v>
          </cell>
          <cell r="T1314" t="e">
            <v>#REF!</v>
          </cell>
        </row>
        <row r="1315">
          <cell r="A1315" t="str">
            <v>LOS TEPETATES</v>
          </cell>
          <cell r="B1315" t="str">
            <v>11DPR0586U</v>
          </cell>
          <cell r="C1315" t="str">
            <v>X</v>
          </cell>
          <cell r="E1315" t="str">
            <v>URSULO GALVAN</v>
          </cell>
          <cell r="F1315">
            <v>95</v>
          </cell>
          <cell r="G1315">
            <v>10</v>
          </cell>
          <cell r="H1315" t="str">
            <v>Yuriria</v>
          </cell>
          <cell r="I1315">
            <v>30000</v>
          </cell>
          <cell r="J1315" t="str">
            <v>Multigrado</v>
          </cell>
          <cell r="K1315" t="str">
            <v>MELCHOR OCAMPO</v>
          </cell>
          <cell r="L1315" t="str">
            <v>TEPETATES</v>
          </cell>
          <cell r="M1315" t="str">
            <v>LOS TEPETATES</v>
          </cell>
          <cell r="T1315" t="e">
            <v>#REF!</v>
          </cell>
        </row>
        <row r="1316">
          <cell r="A1316" t="str">
            <v>LA CALERA</v>
          </cell>
          <cell r="B1316" t="str">
            <v>11DPR2722V</v>
          </cell>
          <cell r="C1316" t="str">
            <v>X</v>
          </cell>
          <cell r="E1316" t="str">
            <v>GENERAL FRANCISCO VILLA</v>
          </cell>
          <cell r="F1316">
            <v>155</v>
          </cell>
          <cell r="G1316">
            <v>10</v>
          </cell>
          <cell r="H1316" t="str">
            <v>Yuriria</v>
          </cell>
          <cell r="I1316">
            <v>85000</v>
          </cell>
          <cell r="J1316" t="str">
            <v>Completa</v>
          </cell>
          <cell r="K1316" t="str">
            <v>JILGUEROS NUM. 27</v>
          </cell>
          <cell r="L1316" t="str">
            <v>CALERA</v>
          </cell>
          <cell r="M1316" t="str">
            <v>LA CALERA</v>
          </cell>
          <cell r="T1316" t="e">
            <v>#REF!</v>
          </cell>
        </row>
        <row r="1317">
          <cell r="A1317" t="str">
            <v>EL MORAL</v>
          </cell>
          <cell r="B1317" t="str">
            <v>11DPR0512C</v>
          </cell>
          <cell r="C1317" t="str">
            <v>X</v>
          </cell>
          <cell r="E1317" t="str">
            <v>LAZARO CARDENAS</v>
          </cell>
          <cell r="F1317">
            <v>140</v>
          </cell>
          <cell r="G1317">
            <v>10</v>
          </cell>
          <cell r="H1317" t="str">
            <v>Yuriria</v>
          </cell>
          <cell r="I1317">
            <v>85000</v>
          </cell>
          <cell r="J1317" t="str">
            <v>Completa</v>
          </cell>
          <cell r="K1317" t="str">
            <v>BENITO JUAREZ</v>
          </cell>
          <cell r="L1317" t="str">
            <v>CENTRO</v>
          </cell>
          <cell r="M1317" t="str">
            <v>EL MORAL</v>
          </cell>
          <cell r="T1317" t="e">
            <v>#REF!</v>
          </cell>
        </row>
        <row r="1318">
          <cell r="A1318" t="str">
            <v>TEJOCOTE DE CALERA</v>
          </cell>
          <cell r="B1318" t="str">
            <v>11DPR0531R</v>
          </cell>
          <cell r="C1318" t="str">
            <v>X</v>
          </cell>
          <cell r="E1318" t="str">
            <v>MIGUEL HIDALGO</v>
          </cell>
          <cell r="F1318">
            <v>155</v>
          </cell>
          <cell r="G1318">
            <v>10</v>
          </cell>
          <cell r="H1318" t="str">
            <v>Yuriria</v>
          </cell>
          <cell r="I1318">
            <v>85000</v>
          </cell>
          <cell r="J1318" t="str">
            <v>Completa</v>
          </cell>
          <cell r="K1318" t="str">
            <v>BENITO JUAREZ NUM. 45</v>
          </cell>
          <cell r="L1318" t="str">
            <v>TEJOCOTE DE CALERA</v>
          </cell>
          <cell r="M1318" t="str">
            <v>TEJOCOTE DE CALERA</v>
          </cell>
          <cell r="T1318" t="e">
            <v>#REF!</v>
          </cell>
        </row>
        <row r="1319">
          <cell r="A1319" t="str">
            <v>CERANO (SAN JUAN CERANO)</v>
          </cell>
          <cell r="B1319" t="str">
            <v>11EPR0367G</v>
          </cell>
          <cell r="C1319" t="str">
            <v>X</v>
          </cell>
          <cell r="E1319" t="str">
            <v>MA.GUADALUPE</v>
          </cell>
          <cell r="F1319">
            <v>561</v>
          </cell>
          <cell r="G1319">
            <v>6</v>
          </cell>
          <cell r="H1319" t="str">
            <v>Yuriria</v>
          </cell>
          <cell r="I1319">
            <v>85000</v>
          </cell>
          <cell r="J1319" t="str">
            <v>Completa</v>
          </cell>
          <cell r="K1319" t="str">
            <v>NIÑOS HEROES NUM. 10</v>
          </cell>
          <cell r="L1319">
            <v>0</v>
          </cell>
          <cell r="M1319" t="str">
            <v>CERANO (SAN JUAN CERANO)</v>
          </cell>
          <cell r="T1319" t="e">
            <v>#REF!</v>
          </cell>
        </row>
        <row r="1320">
          <cell r="A1320" t="str">
            <v>EL TIMBINAL</v>
          </cell>
          <cell r="B1320" t="str">
            <v>11ETV0293E</v>
          </cell>
          <cell r="C1320" t="str">
            <v>X</v>
          </cell>
          <cell r="E1320" t="str">
            <v>TELESECUNDARIA NUM. 299</v>
          </cell>
          <cell r="F1320">
            <v>523</v>
          </cell>
          <cell r="G1320">
            <v>8</v>
          </cell>
          <cell r="H1320" t="str">
            <v>Yuriria</v>
          </cell>
          <cell r="I1320">
            <v>85000</v>
          </cell>
          <cell r="J1320" t="str">
            <v>Completa</v>
          </cell>
          <cell r="K1320" t="str">
            <v>BUENOS AIRES NUM. 8</v>
          </cell>
          <cell r="L1320" t="str">
            <v>EL TIMBINAL</v>
          </cell>
          <cell r="M1320" t="str">
            <v>EL TIMBINAL</v>
          </cell>
          <cell r="T1320" t="e">
            <v>#REF!</v>
          </cell>
        </row>
        <row r="1321">
          <cell r="A1321" t="str">
            <v>AGUA FRIA</v>
          </cell>
          <cell r="B1321" t="str">
            <v>11DPR2187K</v>
          </cell>
          <cell r="D1321" t="str">
            <v>X</v>
          </cell>
          <cell r="E1321" t="str">
            <v>VICENTE GUERRERO</v>
          </cell>
          <cell r="F1321">
            <v>9</v>
          </cell>
          <cell r="G1321">
            <v>10</v>
          </cell>
          <cell r="H1321" t="str">
            <v>Yuriria</v>
          </cell>
          <cell r="I1321">
            <v>30000</v>
          </cell>
          <cell r="J1321" t="str">
            <v>Multigrado</v>
          </cell>
          <cell r="K1321" t="str">
            <v>LAGOS NUM. 5</v>
          </cell>
          <cell r="L1321" t="str">
            <v>AGUA FRIA</v>
          </cell>
          <cell r="M1321" t="str">
            <v>AGUA FRIA</v>
          </cell>
          <cell r="T1321" t="e">
            <v>#REF!</v>
          </cell>
        </row>
        <row r="1322">
          <cell r="A1322" t="str">
            <v>LA CALERA</v>
          </cell>
          <cell r="B1322" t="str">
            <v>11ETV0193F</v>
          </cell>
          <cell r="C1322" t="str">
            <v>X</v>
          </cell>
          <cell r="E1322" t="str">
            <v>TELESECUNDARIA NUM. 198</v>
          </cell>
          <cell r="F1322">
            <v>558</v>
          </cell>
          <cell r="G1322">
            <v>8</v>
          </cell>
          <cell r="H1322" t="str">
            <v>Yuriria</v>
          </cell>
          <cell r="I1322">
            <v>85000</v>
          </cell>
          <cell r="J1322" t="str">
            <v>Completa</v>
          </cell>
          <cell r="K1322" t="str">
            <v>16 DE SEPTIEMBRE</v>
          </cell>
          <cell r="L1322" t="str">
            <v>LA CALERA</v>
          </cell>
          <cell r="M1322" t="str">
            <v>LA CALERA</v>
          </cell>
          <cell r="T1322" t="e">
            <v>#REF!</v>
          </cell>
        </row>
        <row r="1323">
          <cell r="A1323" t="str">
            <v>EL MORAL</v>
          </cell>
          <cell r="B1323" t="str">
            <v>11ETV0195D</v>
          </cell>
          <cell r="C1323" t="str">
            <v>X</v>
          </cell>
          <cell r="E1323" t="str">
            <v>TELESECUNDARIA NUM. 195</v>
          </cell>
          <cell r="F1323">
            <v>558</v>
          </cell>
          <cell r="G1323">
            <v>8</v>
          </cell>
          <cell r="H1323" t="str">
            <v>Yuriria</v>
          </cell>
          <cell r="I1323">
            <v>85000</v>
          </cell>
          <cell r="J1323" t="str">
            <v>Completa</v>
          </cell>
          <cell r="K1323" t="str">
            <v>HIDALGO NUM. 5</v>
          </cell>
          <cell r="L1323" t="str">
            <v>EL MORAL</v>
          </cell>
          <cell r="M1323" t="str">
            <v>EL MORAL</v>
          </cell>
          <cell r="T1323" t="e">
            <v>#REF!</v>
          </cell>
        </row>
        <row r="1324">
          <cell r="A1324" t="str">
            <v>LA TINAJA DEL COYOTE</v>
          </cell>
          <cell r="B1324" t="str">
            <v>11DPR0886R</v>
          </cell>
          <cell r="C1324" t="str">
            <v>X</v>
          </cell>
          <cell r="E1324" t="str">
            <v>BENITO JUAREZ</v>
          </cell>
          <cell r="F1324">
            <v>9</v>
          </cell>
          <cell r="G1324">
            <v>10</v>
          </cell>
          <cell r="H1324" t="str">
            <v>Yuriria</v>
          </cell>
          <cell r="I1324">
            <v>30000</v>
          </cell>
          <cell r="J1324" t="str">
            <v>Multigrado</v>
          </cell>
          <cell r="K1324" t="str">
            <v>BENITO JUAREZ</v>
          </cell>
          <cell r="L1324" t="str">
            <v>TINAJA DE COYOTE</v>
          </cell>
          <cell r="M1324" t="str">
            <v>LA TINAJA DEL COYOTE</v>
          </cell>
          <cell r="T1324" t="e">
            <v>#REF!</v>
          </cell>
        </row>
        <row r="1325">
          <cell r="A1325" t="str">
            <v>CERECUARO</v>
          </cell>
          <cell r="B1325" t="str">
            <v>11DPR0503V</v>
          </cell>
          <cell r="C1325" t="str">
            <v>X</v>
          </cell>
          <cell r="E1325" t="str">
            <v>GUADALUPE VICTORIA</v>
          </cell>
          <cell r="F1325">
            <v>140</v>
          </cell>
          <cell r="G1325">
            <v>10</v>
          </cell>
          <cell r="H1325" t="str">
            <v>Yuriria</v>
          </cell>
          <cell r="I1325">
            <v>30000</v>
          </cell>
          <cell r="J1325" t="str">
            <v>Multigrado</v>
          </cell>
          <cell r="K1325" t="str">
            <v>ROSALES</v>
          </cell>
          <cell r="L1325" t="str">
            <v>CERECUARO</v>
          </cell>
          <cell r="M1325" t="str">
            <v>CERECUARO</v>
          </cell>
          <cell r="T1325" t="e">
            <v>#REF!</v>
          </cell>
        </row>
        <row r="1326">
          <cell r="A1326" t="str">
            <v>EL SALTEADOR</v>
          </cell>
          <cell r="B1326" t="str">
            <v>11DPR0525G</v>
          </cell>
          <cell r="C1326" t="str">
            <v>X</v>
          </cell>
          <cell r="E1326" t="str">
            <v>VENUSTIANO CARRANZA</v>
          </cell>
          <cell r="F1326">
            <v>9</v>
          </cell>
          <cell r="G1326">
            <v>10</v>
          </cell>
          <cell r="H1326" t="str">
            <v>Yuriria</v>
          </cell>
          <cell r="I1326">
            <v>85000</v>
          </cell>
          <cell r="J1326" t="str">
            <v>Completa</v>
          </cell>
          <cell r="K1326" t="str">
            <v>MADERO</v>
          </cell>
          <cell r="L1326" t="str">
            <v>CENTRO</v>
          </cell>
          <cell r="M1326" t="str">
            <v>EL SALTEADOR</v>
          </cell>
          <cell r="T1326" t="e">
            <v>#REF!</v>
          </cell>
        </row>
        <row r="1327">
          <cell r="A1327" t="str">
            <v>SAN ANDRES ENGUARO</v>
          </cell>
          <cell r="B1327" t="str">
            <v>11ETV0620I</v>
          </cell>
          <cell r="C1327" t="str">
            <v>X</v>
          </cell>
          <cell r="E1327" t="str">
            <v>TELESECUNDARIA NUM. 620</v>
          </cell>
          <cell r="F1327">
            <v>523</v>
          </cell>
          <cell r="G1327">
            <v>8</v>
          </cell>
          <cell r="H1327" t="str">
            <v>Yuriria</v>
          </cell>
          <cell r="I1327">
            <v>85000</v>
          </cell>
          <cell r="J1327" t="str">
            <v>Completa</v>
          </cell>
          <cell r="K1327" t="str">
            <v>MORITA NUM. 20</v>
          </cell>
          <cell r="L1327" t="str">
            <v>SAN ANDRES ENGUARO</v>
          </cell>
          <cell r="M1327" t="str">
            <v>SAN ANDRES ENGUARO</v>
          </cell>
          <cell r="T1327" t="e">
            <v>#REF!</v>
          </cell>
        </row>
        <row r="1328">
          <cell r="A1328" t="str">
            <v>PUERTO DEL AGUILA</v>
          </cell>
          <cell r="B1328" t="str">
            <v>11ETV0697X</v>
          </cell>
          <cell r="D1328" t="str">
            <v>X</v>
          </cell>
          <cell r="E1328" t="str">
            <v>TELESECUNDARIA NUM. 726</v>
          </cell>
          <cell r="F1328">
            <v>558</v>
          </cell>
          <cell r="G1328">
            <v>8</v>
          </cell>
          <cell r="H1328" t="str">
            <v>Yuriria</v>
          </cell>
          <cell r="I1328">
            <v>85000</v>
          </cell>
          <cell r="J1328" t="str">
            <v>Completa</v>
          </cell>
          <cell r="K1328" t="str">
            <v>REFORMA NUM. 2</v>
          </cell>
          <cell r="L1328" t="str">
            <v>PUERTO DE AGUILA</v>
          </cell>
          <cell r="M1328" t="str">
            <v>PUERTO DEL AGUILA</v>
          </cell>
          <cell r="T1328" t="e">
            <v>#REF!</v>
          </cell>
        </row>
        <row r="1329">
          <cell r="A1329" t="str">
            <v>EL TIGRE</v>
          </cell>
          <cell r="B1329" t="str">
            <v>11ETV0700U</v>
          </cell>
          <cell r="C1329" t="str">
            <v>X</v>
          </cell>
          <cell r="E1329" t="str">
            <v>TELESECUNDARIA NUM. 729</v>
          </cell>
          <cell r="F1329">
            <v>558</v>
          </cell>
          <cell r="G1329">
            <v>8</v>
          </cell>
          <cell r="H1329" t="str">
            <v>Yuriria</v>
          </cell>
          <cell r="I1329">
            <v>30000</v>
          </cell>
          <cell r="J1329" t="str">
            <v>Multigrado</v>
          </cell>
          <cell r="K1329" t="str">
            <v>PRIVADA FRANCISCO VILLA NUM. 2</v>
          </cell>
          <cell r="L1329" t="str">
            <v>EL TIGRE</v>
          </cell>
          <cell r="M1329" t="str">
            <v>EL TIGRE</v>
          </cell>
          <cell r="T1329" t="e">
            <v>#REF!</v>
          </cell>
        </row>
        <row r="1330">
          <cell r="A1330" t="str">
            <v>TEJOCOTE DE CALERA</v>
          </cell>
          <cell r="B1330" t="str">
            <v>11ETV0297A</v>
          </cell>
          <cell r="C1330" t="str">
            <v>X</v>
          </cell>
          <cell r="E1330" t="str">
            <v>TELESECUNDARIA NUM. 301</v>
          </cell>
          <cell r="F1330">
            <v>558</v>
          </cell>
          <cell r="G1330">
            <v>8</v>
          </cell>
          <cell r="H1330" t="str">
            <v>Yuriria</v>
          </cell>
          <cell r="I1330">
            <v>85000</v>
          </cell>
          <cell r="J1330" t="str">
            <v>Completa</v>
          </cell>
          <cell r="K1330" t="str">
            <v>NIÑOS HEROES NUM. 5 ESTA A LA ENTRADA DE LA LOCALIDAD AUN SOBRE CARRET</v>
          </cell>
          <cell r="L1330" t="str">
            <v>TEJOCOTE DE CALERA</v>
          </cell>
          <cell r="M1330" t="str">
            <v>TEJOCOTE DE CALERA</v>
          </cell>
          <cell r="T1330" t="e">
            <v>#REF!</v>
          </cell>
        </row>
        <row r="1331">
          <cell r="A1331" t="str">
            <v>JUAN LUCAS</v>
          </cell>
          <cell r="B1331" t="str">
            <v>11ETV0294D</v>
          </cell>
          <cell r="D1331" t="str">
            <v>X</v>
          </cell>
          <cell r="E1331" t="str">
            <v>TELESECUNDARIA NUM. 300</v>
          </cell>
          <cell r="F1331">
            <v>558</v>
          </cell>
          <cell r="G1331">
            <v>8</v>
          </cell>
          <cell r="H1331" t="str">
            <v>Yuriria</v>
          </cell>
          <cell r="I1331">
            <v>85000</v>
          </cell>
          <cell r="J1331" t="str">
            <v>Completa</v>
          </cell>
          <cell r="K1331" t="str">
            <v>LAZARO CARDENAS NUM. 4</v>
          </cell>
          <cell r="L1331" t="str">
            <v>JUAN LUCAS</v>
          </cell>
          <cell r="M1331" t="str">
            <v>JUAN LUCAS</v>
          </cell>
          <cell r="T1331" t="e">
            <v>#REF!</v>
          </cell>
        </row>
        <row r="1332">
          <cell r="A1332" t="str">
            <v>SANTA MONICA OZUMBILLA (OZUMBILLA)</v>
          </cell>
          <cell r="B1332" t="str">
            <v>11ETV0197B</v>
          </cell>
          <cell r="C1332" t="str">
            <v>X</v>
          </cell>
          <cell r="E1332" t="str">
            <v>TELESECUNDARIA NUM. 194</v>
          </cell>
          <cell r="F1332">
            <v>558</v>
          </cell>
          <cell r="G1332">
            <v>8</v>
          </cell>
          <cell r="H1332" t="str">
            <v>Yuriria</v>
          </cell>
          <cell r="I1332">
            <v>85000</v>
          </cell>
          <cell r="J1332" t="str">
            <v>Completa</v>
          </cell>
          <cell r="K1332" t="str">
            <v>2 DE ABRIL NUM. 12</v>
          </cell>
          <cell r="L1332" t="str">
            <v>SANTA MONICA OZUMBILLA</v>
          </cell>
          <cell r="M1332" t="str">
            <v>SANTA MONICA OZUMBILLA (OZUMBILLA)</v>
          </cell>
          <cell r="T1332" t="e">
            <v>#REF!</v>
          </cell>
        </row>
        <row r="1333">
          <cell r="A1333" t="str">
            <v>SAN ANDRES CALERA</v>
          </cell>
          <cell r="B1333" t="str">
            <v>11DPR0526F</v>
          </cell>
          <cell r="C1333" t="str">
            <v>X</v>
          </cell>
          <cell r="E1333" t="str">
            <v>JOSE QUEZADA</v>
          </cell>
          <cell r="F1333">
            <v>155</v>
          </cell>
          <cell r="G1333">
            <v>10</v>
          </cell>
          <cell r="H1333" t="str">
            <v>Yuriria</v>
          </cell>
          <cell r="I1333">
            <v>85000</v>
          </cell>
          <cell r="J1333" t="str">
            <v>Completa</v>
          </cell>
          <cell r="K1333" t="str">
            <v>SAN ANDRES CALERA</v>
          </cell>
          <cell r="L1333">
            <v>0</v>
          </cell>
          <cell r="M1333" t="str">
            <v>SAN ANDRES CALERA</v>
          </cell>
          <cell r="T1333" t="e">
            <v>#REF!</v>
          </cell>
        </row>
        <row r="1334">
          <cell r="A1334" t="str">
            <v>YURIRIA</v>
          </cell>
          <cell r="B1334" t="str">
            <v>11DPR0852A</v>
          </cell>
          <cell r="C1334" t="str">
            <v>X</v>
          </cell>
          <cell r="E1334" t="str">
            <v>5 DE MAYO</v>
          </cell>
          <cell r="F1334">
            <v>140</v>
          </cell>
          <cell r="G1334">
            <v>10</v>
          </cell>
          <cell r="H1334" t="str">
            <v>Yuriria</v>
          </cell>
          <cell r="I1334">
            <v>85000</v>
          </cell>
          <cell r="J1334" t="str">
            <v>Completa</v>
          </cell>
          <cell r="K1334" t="str">
            <v>DORADOS DE VILLA S/N</v>
          </cell>
          <cell r="L1334" t="str">
            <v>LA JOYA</v>
          </cell>
          <cell r="M1334" t="str">
            <v>YURIRIA</v>
          </cell>
          <cell r="T1334" t="e">
            <v>#REF!</v>
          </cell>
        </row>
        <row r="1335">
          <cell r="A1335" t="str">
            <v>EL SALTEADOR</v>
          </cell>
          <cell r="B1335" t="str">
            <v>11ETV0698W</v>
          </cell>
          <cell r="C1335" t="str">
            <v>X</v>
          </cell>
          <cell r="E1335" t="str">
            <v>TELESECUNDARIA NUM. 727</v>
          </cell>
          <cell r="F1335">
            <v>523</v>
          </cell>
          <cell r="G1335">
            <v>8</v>
          </cell>
          <cell r="H1335" t="str">
            <v>Yuriria</v>
          </cell>
          <cell r="I1335">
            <v>85000</v>
          </cell>
          <cell r="J1335" t="str">
            <v>Completa</v>
          </cell>
          <cell r="K1335" t="str">
            <v>VENUSTIANO CARRANZA NUM. 2</v>
          </cell>
          <cell r="L1335" t="str">
            <v>EL SALTEADOR</v>
          </cell>
          <cell r="M1335" t="str">
            <v>EL SALTEADOR</v>
          </cell>
          <cell r="T1335" t="e">
            <v>#REF!</v>
          </cell>
        </row>
        <row r="1336">
          <cell r="A1336" t="str">
            <v>LA CALERA</v>
          </cell>
          <cell r="B1336" t="str">
            <v>11DPR3802N</v>
          </cell>
          <cell r="C1336" t="str">
            <v>X</v>
          </cell>
          <cell r="E1336" t="str">
            <v>DIEGO RIVERA</v>
          </cell>
          <cell r="F1336">
            <v>155</v>
          </cell>
          <cell r="G1336">
            <v>10</v>
          </cell>
          <cell r="H1336" t="str">
            <v>Yuriria</v>
          </cell>
          <cell r="I1336">
            <v>85000</v>
          </cell>
          <cell r="J1336" t="str">
            <v>Completa</v>
          </cell>
          <cell r="K1336" t="str">
            <v>JILGUEROS NUM. 27</v>
          </cell>
          <cell r="L1336" t="str">
            <v>EL CANARIO</v>
          </cell>
          <cell r="M1336" t="str">
            <v>LA CALERA</v>
          </cell>
          <cell r="T1336" t="e">
            <v>#REF!</v>
          </cell>
        </row>
        <row r="1337">
          <cell r="A1337" t="str">
            <v>SANTA MONICA OZUMBILLA (OZUMBILLA)</v>
          </cell>
          <cell r="B1337" t="str">
            <v>11DJN0452O</v>
          </cell>
          <cell r="C1337" t="str">
            <v>X</v>
          </cell>
          <cell r="E1337" t="str">
            <v>ROSAURA ZAPATA CANO</v>
          </cell>
          <cell r="F1337">
            <v>40</v>
          </cell>
          <cell r="G1337">
            <v>12</v>
          </cell>
          <cell r="H1337" t="str">
            <v>Yuriria</v>
          </cell>
          <cell r="I1337">
            <v>85000</v>
          </cell>
          <cell r="J1337" t="str">
            <v>Completa</v>
          </cell>
          <cell r="K1337" t="str">
            <v>20 DE NOVIEMBRE NUM. 4</v>
          </cell>
          <cell r="L1337" t="str">
            <v>SANTA MONICA OZUMBILLA</v>
          </cell>
          <cell r="M1337" t="str">
            <v>SANTA MONICA OZUMBILLA (OZUMBILLA)</v>
          </cell>
          <cell r="T1337" t="e">
            <v>#REF!</v>
          </cell>
        </row>
        <row r="1338">
          <cell r="J1338" t="e">
            <v>#REF!</v>
          </cell>
          <cell r="K1338">
            <v>85594701.599999994</v>
          </cell>
          <cell r="L1338" t="e">
            <v>#REF!</v>
          </cell>
          <cell r="T1338" t="e">
            <v>#REF!</v>
          </cell>
        </row>
        <row r="1339">
          <cell r="T1339" t="e">
            <v>#REF!</v>
          </cell>
        </row>
        <row r="1340">
          <cell r="I1340">
            <v>72286400</v>
          </cell>
          <cell r="T1340" t="e">
            <v>#REF!</v>
          </cell>
        </row>
        <row r="1341">
          <cell r="T1341" t="e">
            <v>#REF!</v>
          </cell>
        </row>
        <row r="1342">
          <cell r="T1342" t="e">
            <v>#REF!</v>
          </cell>
        </row>
        <row r="1343">
          <cell r="T1343" t="e">
            <v>#REF!</v>
          </cell>
        </row>
        <row r="1344">
          <cell r="T1344" t="e">
            <v>#REF!</v>
          </cell>
        </row>
        <row r="1345">
          <cell r="T1345" t="e">
            <v>#REF!</v>
          </cell>
        </row>
        <row r="1346">
          <cell r="T1346" t="e">
            <v>#REF!</v>
          </cell>
        </row>
        <row r="1347">
          <cell r="T1347" t="e">
            <v>#REF!</v>
          </cell>
        </row>
        <row r="1348">
          <cell r="T1348" t="e">
            <v>#REF!</v>
          </cell>
        </row>
        <row r="1349">
          <cell r="T1349" t="e">
            <v>#REF!</v>
          </cell>
        </row>
        <row r="1350">
          <cell r="T1350" t="e">
            <v>#REF!</v>
          </cell>
        </row>
        <row r="1351">
          <cell r="T1351" t="e">
            <v>#REF!</v>
          </cell>
        </row>
        <row r="1352">
          <cell r="T1352" t="e">
            <v>#REF!</v>
          </cell>
        </row>
        <row r="1353">
          <cell r="T1353" t="e">
            <v>#REF!</v>
          </cell>
        </row>
        <row r="1354">
          <cell r="T1354" t="e">
            <v>#REF!</v>
          </cell>
        </row>
        <row r="1355">
          <cell r="T1355" t="e">
            <v>#REF!</v>
          </cell>
        </row>
        <row r="1356">
          <cell r="T1356" t="e">
            <v>#REF!</v>
          </cell>
        </row>
        <row r="1357">
          <cell r="T1357" t="e">
            <v>#REF!</v>
          </cell>
        </row>
        <row r="1358">
          <cell r="T1358" t="e">
            <v>#REF!</v>
          </cell>
        </row>
        <row r="1359">
          <cell r="T1359" t="e">
            <v>#REF!</v>
          </cell>
        </row>
        <row r="1360">
          <cell r="T1360" t="e">
            <v>#REF!</v>
          </cell>
        </row>
        <row r="1361">
          <cell r="T1361" t="e">
            <v>#REF!</v>
          </cell>
        </row>
        <row r="1362">
          <cell r="T1362" t="e">
            <v>#REF!</v>
          </cell>
        </row>
        <row r="1363">
          <cell r="T1363" t="e">
            <v>#REF!</v>
          </cell>
        </row>
        <row r="1364">
          <cell r="T1364" t="e">
            <v>#REF!</v>
          </cell>
        </row>
        <row r="1365">
          <cell r="T1365" t="e">
            <v>#REF!</v>
          </cell>
        </row>
        <row r="1366">
          <cell r="T1366" t="e">
            <v>#REF!</v>
          </cell>
        </row>
        <row r="1367">
          <cell r="T1367" t="e">
            <v>#REF!</v>
          </cell>
        </row>
        <row r="1368">
          <cell r="T1368" t="e">
            <v>#REF!</v>
          </cell>
        </row>
        <row r="1369">
          <cell r="T1369" t="e">
            <v>#REF!</v>
          </cell>
        </row>
        <row r="1370">
          <cell r="T1370" t="e">
            <v>#REF!</v>
          </cell>
        </row>
        <row r="1371">
          <cell r="T1371" t="e">
            <v>#REF!</v>
          </cell>
        </row>
        <row r="1372">
          <cell r="T1372" t="e">
            <v>#REF!</v>
          </cell>
        </row>
        <row r="1373">
          <cell r="T1373" t="e">
            <v>#REF!</v>
          </cell>
        </row>
        <row r="1374">
          <cell r="T1374" t="e">
            <v>#REF!</v>
          </cell>
        </row>
        <row r="1375">
          <cell r="T1375" t="e">
            <v>#REF!</v>
          </cell>
        </row>
        <row r="1376">
          <cell r="T1376" t="e">
            <v>#REF!</v>
          </cell>
        </row>
        <row r="1377">
          <cell r="T1377" t="e">
            <v>#REF!</v>
          </cell>
        </row>
        <row r="1378">
          <cell r="T1378" t="e">
            <v>#REF!</v>
          </cell>
        </row>
        <row r="1379">
          <cell r="T1379" t="e">
            <v>#REF!</v>
          </cell>
        </row>
        <row r="1380">
          <cell r="T1380" t="e">
            <v>#REF!</v>
          </cell>
        </row>
        <row r="1381">
          <cell r="T1381" t="e">
            <v>#REF!</v>
          </cell>
        </row>
        <row r="1382">
          <cell r="T1382" t="e">
            <v>#REF!</v>
          </cell>
        </row>
        <row r="1383">
          <cell r="T1383" t="e">
            <v>#REF!</v>
          </cell>
        </row>
        <row r="1384">
          <cell r="T1384" t="e">
            <v>#REF!</v>
          </cell>
        </row>
        <row r="1385">
          <cell r="T1385" t="e">
            <v>#REF!</v>
          </cell>
        </row>
        <row r="1386">
          <cell r="T1386" t="e">
            <v>#REF!</v>
          </cell>
        </row>
        <row r="1387">
          <cell r="T1387" t="e">
            <v>#REF!</v>
          </cell>
        </row>
        <row r="1388">
          <cell r="T1388" t="e">
            <v>#REF!</v>
          </cell>
        </row>
        <row r="1389">
          <cell r="T1389" t="e">
            <v>#REF!</v>
          </cell>
        </row>
        <row r="1390">
          <cell r="T1390" t="e">
            <v>#REF!</v>
          </cell>
        </row>
        <row r="1391">
          <cell r="T1391" t="e">
            <v>#REF!</v>
          </cell>
        </row>
        <row r="1392">
          <cell r="T1392" t="e">
            <v>#REF!</v>
          </cell>
        </row>
        <row r="1393">
          <cell r="T1393" t="e">
            <v>#REF!</v>
          </cell>
        </row>
        <row r="1394">
          <cell r="T1394" t="e">
            <v>#REF!</v>
          </cell>
        </row>
        <row r="1395">
          <cell r="T1395" t="e">
            <v>#REF!</v>
          </cell>
        </row>
        <row r="1396">
          <cell r="T1396" t="e">
            <v>#REF!</v>
          </cell>
        </row>
        <row r="1397">
          <cell r="T1397" t="e">
            <v>#REF!</v>
          </cell>
        </row>
        <row r="1398">
          <cell r="T1398" t="e">
            <v>#REF!</v>
          </cell>
        </row>
        <row r="1399">
          <cell r="T1399" t="e">
            <v>#REF!</v>
          </cell>
        </row>
        <row r="1400">
          <cell r="T1400" t="e">
            <v>#REF!</v>
          </cell>
        </row>
        <row r="1401">
          <cell r="T1401" t="e">
            <v>#REF!</v>
          </cell>
        </row>
        <row r="1402">
          <cell r="T1402" t="e">
            <v>#REF!</v>
          </cell>
        </row>
        <row r="1403">
          <cell r="T1403" t="e">
            <v>#REF!</v>
          </cell>
        </row>
        <row r="1404">
          <cell r="T1404" t="e">
            <v>#REF!</v>
          </cell>
        </row>
        <row r="1405">
          <cell r="T1405" t="e">
            <v>#REF!</v>
          </cell>
        </row>
        <row r="1406">
          <cell r="T1406" t="e">
            <v>#REF!</v>
          </cell>
        </row>
        <row r="1407">
          <cell r="T1407" t="e">
            <v>#REF!</v>
          </cell>
        </row>
        <row r="1408">
          <cell r="T1408" t="e">
            <v>#REF!</v>
          </cell>
        </row>
        <row r="1409">
          <cell r="T1409" t="e">
            <v>#REF!</v>
          </cell>
        </row>
        <row r="1410">
          <cell r="T1410" t="e">
            <v>#REF!</v>
          </cell>
        </row>
        <row r="1411">
          <cell r="T1411" t="e">
            <v>#REF!</v>
          </cell>
        </row>
        <row r="1412">
          <cell r="T1412" t="e">
            <v>#REF!</v>
          </cell>
        </row>
        <row r="1413">
          <cell r="T1413" t="e">
            <v>#REF!</v>
          </cell>
        </row>
        <row r="1414">
          <cell r="T1414" t="e">
            <v>#REF!</v>
          </cell>
        </row>
        <row r="1415">
          <cell r="T1415" t="e">
            <v>#REF!</v>
          </cell>
        </row>
        <row r="1416">
          <cell r="T1416" t="e">
            <v>#REF!</v>
          </cell>
        </row>
        <row r="1417">
          <cell r="T1417" t="e">
            <v>#REF!</v>
          </cell>
        </row>
        <row r="1418">
          <cell r="T1418" t="e">
            <v>#REF!</v>
          </cell>
        </row>
        <row r="1419">
          <cell r="T1419" t="e">
            <v>#REF!</v>
          </cell>
        </row>
        <row r="1420">
          <cell r="T1420" t="e">
            <v>#REF!</v>
          </cell>
        </row>
        <row r="1421">
          <cell r="T1421" t="e">
            <v>#REF!</v>
          </cell>
        </row>
        <row r="1422">
          <cell r="T1422" t="e">
            <v>#REF!</v>
          </cell>
        </row>
        <row r="1423">
          <cell r="T1423" t="e">
            <v>#REF!</v>
          </cell>
        </row>
        <row r="1424">
          <cell r="T1424" t="e">
            <v>#REF!</v>
          </cell>
        </row>
        <row r="1425">
          <cell r="T1425" t="e">
            <v>#REF!</v>
          </cell>
        </row>
        <row r="1426">
          <cell r="T1426" t="e">
            <v>#REF!</v>
          </cell>
        </row>
        <row r="1427">
          <cell r="T1427" t="e">
            <v>#REF!</v>
          </cell>
        </row>
        <row r="1428">
          <cell r="T1428" t="e">
            <v>#REF!</v>
          </cell>
        </row>
        <row r="1429">
          <cell r="T1429" t="e">
            <v>#REF!</v>
          </cell>
        </row>
        <row r="1430">
          <cell r="T1430" t="e">
            <v>#REF!</v>
          </cell>
        </row>
        <row r="1431">
          <cell r="T1431" t="e">
            <v>#REF!</v>
          </cell>
        </row>
        <row r="1432">
          <cell r="T1432" t="e">
            <v>#REF!</v>
          </cell>
        </row>
        <row r="1433">
          <cell r="T1433" t="e">
            <v>#REF!</v>
          </cell>
        </row>
        <row r="1434">
          <cell r="T1434" t="e">
            <v>#REF!</v>
          </cell>
        </row>
        <row r="1435">
          <cell r="T1435" t="e">
            <v>#REF!</v>
          </cell>
        </row>
        <row r="1436">
          <cell r="T1436" t="e">
            <v>#REF!</v>
          </cell>
        </row>
        <row r="1437">
          <cell r="T1437" t="e">
            <v>#REF!</v>
          </cell>
        </row>
        <row r="1438">
          <cell r="T1438" t="e">
            <v>#REF!</v>
          </cell>
        </row>
        <row r="1439">
          <cell r="T1439" t="e">
            <v>#REF!</v>
          </cell>
        </row>
        <row r="1440">
          <cell r="T1440" t="e">
            <v>#REF!</v>
          </cell>
        </row>
        <row r="1441">
          <cell r="T1441" t="e">
            <v>#REF!</v>
          </cell>
        </row>
        <row r="1442">
          <cell r="T1442" t="e">
            <v>#REF!</v>
          </cell>
        </row>
        <row r="1443">
          <cell r="T1443" t="e">
            <v>#REF!</v>
          </cell>
        </row>
        <row r="1444">
          <cell r="T1444" t="e">
            <v>#REF!</v>
          </cell>
        </row>
        <row r="1445">
          <cell r="T1445" t="e">
            <v>#REF!</v>
          </cell>
        </row>
        <row r="1446">
          <cell r="T1446" t="e">
            <v>#REF!</v>
          </cell>
        </row>
        <row r="1447">
          <cell r="T1447" t="e">
            <v>#REF!</v>
          </cell>
        </row>
        <row r="1448">
          <cell r="T1448" t="e">
            <v>#REF!</v>
          </cell>
        </row>
        <row r="1449">
          <cell r="T1449" t="e">
            <v>#REF!</v>
          </cell>
        </row>
        <row r="1450">
          <cell r="T1450" t="e">
            <v>#REF!</v>
          </cell>
        </row>
        <row r="1451">
          <cell r="T1451" t="e">
            <v>#REF!</v>
          </cell>
        </row>
        <row r="1452">
          <cell r="T1452" t="e">
            <v>#REF!</v>
          </cell>
        </row>
        <row r="1453">
          <cell r="T1453" t="e">
            <v>#REF!</v>
          </cell>
        </row>
        <row r="1454">
          <cell r="T1454" t="e">
            <v>#REF!</v>
          </cell>
        </row>
        <row r="1455">
          <cell r="T1455" t="e">
            <v>#REF!</v>
          </cell>
        </row>
        <row r="1456">
          <cell r="T1456" t="e">
            <v>#REF!</v>
          </cell>
        </row>
        <row r="1457">
          <cell r="T1457" t="e">
            <v>#REF!</v>
          </cell>
        </row>
        <row r="1458">
          <cell r="T1458" t="e">
            <v>#REF!</v>
          </cell>
        </row>
        <row r="1459">
          <cell r="T1459" t="e">
            <v>#REF!</v>
          </cell>
        </row>
        <row r="1460">
          <cell r="T1460" t="e">
            <v>#REF!</v>
          </cell>
        </row>
        <row r="1461">
          <cell r="T1461" t="e">
            <v>#REF!</v>
          </cell>
        </row>
        <row r="1462">
          <cell r="T1462" t="e">
            <v>#REF!</v>
          </cell>
        </row>
        <row r="1463">
          <cell r="T1463" t="e">
            <v>#REF!</v>
          </cell>
        </row>
        <row r="1464">
          <cell r="T1464" t="e">
            <v>#REF!</v>
          </cell>
        </row>
        <row r="1465">
          <cell r="T1465" t="e">
            <v>#REF!</v>
          </cell>
        </row>
        <row r="1466">
          <cell r="T1466" t="e">
            <v>#REF!</v>
          </cell>
        </row>
        <row r="1467">
          <cell r="T1467" t="e">
            <v>#REF!</v>
          </cell>
        </row>
        <row r="1468">
          <cell r="T1468" t="e">
            <v>#REF!</v>
          </cell>
        </row>
        <row r="1469">
          <cell r="T1469" t="e">
            <v>#REF!</v>
          </cell>
        </row>
        <row r="1470">
          <cell r="T1470" t="e">
            <v>#REF!</v>
          </cell>
        </row>
        <row r="1471">
          <cell r="T1471" t="e">
            <v>#REF!</v>
          </cell>
        </row>
        <row r="1472">
          <cell r="T1472" t="e">
            <v>#REF!</v>
          </cell>
        </row>
        <row r="1473">
          <cell r="T1473" t="e">
            <v>#REF!</v>
          </cell>
        </row>
        <row r="1474">
          <cell r="T1474" t="e">
            <v>#REF!</v>
          </cell>
        </row>
        <row r="1475">
          <cell r="T1475" t="e">
            <v>#REF!</v>
          </cell>
        </row>
        <row r="1476">
          <cell r="T1476" t="e">
            <v>#REF!</v>
          </cell>
        </row>
        <row r="1477">
          <cell r="T1477" t="e">
            <v>#REF!</v>
          </cell>
        </row>
        <row r="1478">
          <cell r="T1478" t="e">
            <v>#REF!</v>
          </cell>
        </row>
        <row r="1479">
          <cell r="T1479" t="e">
            <v>#REF!</v>
          </cell>
        </row>
        <row r="1480">
          <cell r="T1480" t="e">
            <v>#REF!</v>
          </cell>
        </row>
        <row r="1481">
          <cell r="T1481" t="e">
            <v>#REF!</v>
          </cell>
        </row>
        <row r="1482">
          <cell r="T1482" t="e">
            <v>#REF!</v>
          </cell>
        </row>
        <row r="1483">
          <cell r="T1483" t="e">
            <v>#REF!</v>
          </cell>
        </row>
        <row r="1484">
          <cell r="T1484" t="e">
            <v>#REF!</v>
          </cell>
        </row>
        <row r="1485">
          <cell r="T1485" t="e">
            <v>#REF!</v>
          </cell>
        </row>
        <row r="1486">
          <cell r="T1486" t="e">
            <v>#REF!</v>
          </cell>
        </row>
        <row r="1487">
          <cell r="T1487" t="e">
            <v>#REF!</v>
          </cell>
        </row>
        <row r="1488">
          <cell r="T1488" t="e">
            <v>#REF!</v>
          </cell>
        </row>
        <row r="1489">
          <cell r="T1489" t="e">
            <v>#REF!</v>
          </cell>
        </row>
        <row r="1490">
          <cell r="T1490" t="e">
            <v>#REF!</v>
          </cell>
        </row>
        <row r="1491">
          <cell r="T1491" t="e">
            <v>#REF!</v>
          </cell>
        </row>
        <row r="1492">
          <cell r="T1492" t="e">
            <v>#REF!</v>
          </cell>
        </row>
        <row r="1493">
          <cell r="T1493" t="e">
            <v>#REF!</v>
          </cell>
        </row>
        <row r="1494">
          <cell r="T1494" t="e">
            <v>#REF!</v>
          </cell>
        </row>
        <row r="1495">
          <cell r="T1495" t="e">
            <v>#REF!</v>
          </cell>
        </row>
        <row r="1496">
          <cell r="T1496" t="e">
            <v>#REF!</v>
          </cell>
        </row>
        <row r="1497">
          <cell r="T1497" t="e">
            <v>#REF!</v>
          </cell>
        </row>
        <row r="1498">
          <cell r="T1498" t="e">
            <v>#REF!</v>
          </cell>
        </row>
        <row r="1499">
          <cell r="T1499" t="e">
            <v>#REF!</v>
          </cell>
        </row>
        <row r="1500">
          <cell r="T1500" t="e">
            <v>#REF!</v>
          </cell>
        </row>
        <row r="1501">
          <cell r="T1501" t="e">
            <v>#REF!</v>
          </cell>
        </row>
        <row r="1502">
          <cell r="T1502" t="e">
            <v>#REF!</v>
          </cell>
        </row>
        <row r="1503">
          <cell r="T1503" t="e">
            <v>#REF!</v>
          </cell>
        </row>
        <row r="1504">
          <cell r="T1504" t="e">
            <v>#REF!</v>
          </cell>
        </row>
        <row r="1505">
          <cell r="T1505" t="e">
            <v>#REF!</v>
          </cell>
        </row>
        <row r="1506">
          <cell r="T1506" t="e">
            <v>#REF!</v>
          </cell>
        </row>
        <row r="1507">
          <cell r="T1507" t="e">
            <v>#REF!</v>
          </cell>
        </row>
        <row r="1508">
          <cell r="T1508" t="e">
            <v>#REF!</v>
          </cell>
        </row>
        <row r="1509">
          <cell r="T1509" t="e">
            <v>#REF!</v>
          </cell>
        </row>
        <row r="1510">
          <cell r="T1510" t="e">
            <v>#REF!</v>
          </cell>
        </row>
        <row r="1511">
          <cell r="T1511" t="e">
            <v>#REF!</v>
          </cell>
        </row>
        <row r="1512">
          <cell r="T1512" t="e">
            <v>#REF!</v>
          </cell>
        </row>
        <row r="1513">
          <cell r="T1513" t="e">
            <v>#REF!</v>
          </cell>
        </row>
        <row r="1514">
          <cell r="T1514" t="e">
            <v>#REF!</v>
          </cell>
        </row>
        <row r="1515">
          <cell r="T1515" t="e">
            <v>#REF!</v>
          </cell>
        </row>
        <row r="1516">
          <cell r="T1516" t="e">
            <v>#REF!</v>
          </cell>
        </row>
        <row r="1517">
          <cell r="T1517" t="e">
            <v>#REF!</v>
          </cell>
        </row>
        <row r="1518">
          <cell r="T1518" t="e">
            <v>#REF!</v>
          </cell>
        </row>
        <row r="1519">
          <cell r="T1519" t="e">
            <v>#REF!</v>
          </cell>
        </row>
        <row r="1520">
          <cell r="T1520" t="e">
            <v>#REF!</v>
          </cell>
        </row>
        <row r="1521">
          <cell r="T1521" t="e">
            <v>#REF!</v>
          </cell>
        </row>
        <row r="1522">
          <cell r="T1522" t="e">
            <v>#REF!</v>
          </cell>
        </row>
        <row r="1523">
          <cell r="T1523" t="e">
            <v>#REF!</v>
          </cell>
        </row>
        <row r="1524">
          <cell r="T1524" t="e">
            <v>#REF!</v>
          </cell>
        </row>
        <row r="1525">
          <cell r="T1525" t="e">
            <v>#REF!</v>
          </cell>
        </row>
        <row r="1526">
          <cell r="T1526" t="e">
            <v>#REF!</v>
          </cell>
        </row>
        <row r="1527">
          <cell r="T1527" t="e">
            <v>#REF!</v>
          </cell>
        </row>
        <row r="1528">
          <cell r="T1528" t="e">
            <v>#REF!</v>
          </cell>
        </row>
        <row r="1529">
          <cell r="T1529" t="e">
            <v>#REF!</v>
          </cell>
        </row>
        <row r="1530">
          <cell r="T1530" t="e">
            <v>#REF!</v>
          </cell>
        </row>
        <row r="1531">
          <cell r="T1531" t="e">
            <v>#REF!</v>
          </cell>
        </row>
        <row r="1532">
          <cell r="T1532" t="e">
            <v>#REF!</v>
          </cell>
        </row>
        <row r="1533">
          <cell r="T1533" t="e">
            <v>#REF!</v>
          </cell>
        </row>
        <row r="1534">
          <cell r="T1534" t="e">
            <v>#REF!</v>
          </cell>
        </row>
        <row r="1535">
          <cell r="T1535" t="e">
            <v>#REF!</v>
          </cell>
        </row>
        <row r="1536">
          <cell r="T1536" t="e">
            <v>#REF!</v>
          </cell>
        </row>
        <row r="1537">
          <cell r="T1537" t="e">
            <v>#REF!</v>
          </cell>
        </row>
        <row r="1538">
          <cell r="T1538" t="e">
            <v>#REF!</v>
          </cell>
        </row>
        <row r="1539">
          <cell r="T1539" t="e">
            <v>#REF!</v>
          </cell>
        </row>
        <row r="1540">
          <cell r="T1540" t="e">
            <v>#REF!</v>
          </cell>
        </row>
        <row r="1541">
          <cell r="T1541" t="e">
            <v>#REF!</v>
          </cell>
        </row>
        <row r="1542">
          <cell r="T1542" t="e">
            <v>#REF!</v>
          </cell>
        </row>
        <row r="1543">
          <cell r="T1543" t="e">
            <v>#REF!</v>
          </cell>
        </row>
        <row r="1544">
          <cell r="T1544" t="e">
            <v>#REF!</v>
          </cell>
        </row>
        <row r="1545">
          <cell r="T1545" t="e">
            <v>#REF!</v>
          </cell>
        </row>
        <row r="1546">
          <cell r="T1546" t="e">
            <v>#REF!</v>
          </cell>
        </row>
        <row r="1547">
          <cell r="T1547" t="e">
            <v>#REF!</v>
          </cell>
        </row>
        <row r="1548">
          <cell r="T1548" t="e">
            <v>#REF!</v>
          </cell>
        </row>
        <row r="1549">
          <cell r="T1549" t="e">
            <v>#REF!</v>
          </cell>
        </row>
        <row r="1550">
          <cell r="T1550" t="e">
            <v>#REF!</v>
          </cell>
        </row>
        <row r="1551">
          <cell r="T1551" t="e">
            <v>#REF!</v>
          </cell>
        </row>
        <row r="1552">
          <cell r="T1552" t="e">
            <v>#REF!</v>
          </cell>
        </row>
        <row r="1553">
          <cell r="T1553" t="e">
            <v>#REF!</v>
          </cell>
        </row>
        <row r="1554">
          <cell r="T1554" t="e">
            <v>#REF!</v>
          </cell>
        </row>
        <row r="1555">
          <cell r="T1555" t="e">
            <v>#REF!</v>
          </cell>
        </row>
        <row r="1556">
          <cell r="T1556" t="e">
            <v>#REF!</v>
          </cell>
        </row>
        <row r="1557">
          <cell r="T1557" t="e">
            <v>#REF!</v>
          </cell>
        </row>
        <row r="1558">
          <cell r="T1558" t="e">
            <v>#REF!</v>
          </cell>
        </row>
        <row r="1559">
          <cell r="T1559" t="e">
            <v>#REF!</v>
          </cell>
        </row>
        <row r="1560">
          <cell r="T1560" t="e">
            <v>#REF!</v>
          </cell>
        </row>
        <row r="1561">
          <cell r="T1561" t="e">
            <v>#REF!</v>
          </cell>
        </row>
        <row r="1562">
          <cell r="T1562" t="e">
            <v>#REF!</v>
          </cell>
        </row>
        <row r="1563">
          <cell r="T1563" t="e">
            <v>#REF!</v>
          </cell>
        </row>
        <row r="1564">
          <cell r="T1564" t="e">
            <v>#REF!</v>
          </cell>
        </row>
        <row r="1565">
          <cell r="T1565" t="e">
            <v>#REF!</v>
          </cell>
        </row>
        <row r="1566">
          <cell r="T1566" t="e">
            <v>#REF!</v>
          </cell>
        </row>
        <row r="1567">
          <cell r="T1567" t="e">
            <v>#REF!</v>
          </cell>
        </row>
        <row r="1568">
          <cell r="T1568" t="e">
            <v>#REF!</v>
          </cell>
        </row>
        <row r="1569">
          <cell r="T1569" t="e">
            <v>#REF!</v>
          </cell>
        </row>
        <row r="1570">
          <cell r="T1570" t="e">
            <v>#REF!</v>
          </cell>
        </row>
        <row r="1571">
          <cell r="T1571" t="e">
            <v>#REF!</v>
          </cell>
        </row>
        <row r="1572">
          <cell r="T1572" t="e">
            <v>#REF!</v>
          </cell>
        </row>
        <row r="1573">
          <cell r="T1573" t="e">
            <v>#REF!</v>
          </cell>
        </row>
        <row r="1574">
          <cell r="T1574" t="e">
            <v>#REF!</v>
          </cell>
        </row>
        <row r="1575">
          <cell r="T1575" t="e">
            <v>#REF!</v>
          </cell>
        </row>
        <row r="1576">
          <cell r="T1576" t="e">
            <v>#REF!</v>
          </cell>
        </row>
        <row r="1577">
          <cell r="T1577" t="e">
            <v>#REF!</v>
          </cell>
        </row>
        <row r="1578">
          <cell r="T1578" t="e">
            <v>#REF!</v>
          </cell>
        </row>
        <row r="1579">
          <cell r="T1579" t="e">
            <v>#REF!</v>
          </cell>
        </row>
        <row r="1580">
          <cell r="T1580" t="e">
            <v>#REF!</v>
          </cell>
        </row>
        <row r="1581">
          <cell r="T1581" t="e">
            <v>#REF!</v>
          </cell>
        </row>
        <row r="1582">
          <cell r="T1582" t="e">
            <v>#REF!</v>
          </cell>
        </row>
        <row r="1583">
          <cell r="T1583" t="e">
            <v>#REF!</v>
          </cell>
        </row>
        <row r="1584">
          <cell r="T1584" t="e">
            <v>#REF!</v>
          </cell>
        </row>
        <row r="1585">
          <cell r="T1585" t="e">
            <v>#REF!</v>
          </cell>
        </row>
        <row r="1586">
          <cell r="T1586" t="e">
            <v>#REF!</v>
          </cell>
        </row>
        <row r="1587">
          <cell r="T1587" t="e">
            <v>#REF!</v>
          </cell>
        </row>
        <row r="1588">
          <cell r="T1588" t="e">
            <v>#REF!</v>
          </cell>
        </row>
        <row r="1589">
          <cell r="T1589" t="e">
            <v>#REF!</v>
          </cell>
        </row>
        <row r="1590">
          <cell r="T1590" t="e">
            <v>#REF!</v>
          </cell>
        </row>
        <row r="1591">
          <cell r="T1591" t="e">
            <v>#REF!</v>
          </cell>
        </row>
        <row r="1592">
          <cell r="T1592" t="e">
            <v>#REF!</v>
          </cell>
        </row>
        <row r="1593">
          <cell r="T1593" t="e">
            <v>#REF!</v>
          </cell>
        </row>
        <row r="1594">
          <cell r="T1594" t="e">
            <v>#REF!</v>
          </cell>
        </row>
        <row r="1595">
          <cell r="T1595" t="e">
            <v>#REF!</v>
          </cell>
        </row>
        <row r="1596">
          <cell r="T1596" t="e">
            <v>#REF!</v>
          </cell>
        </row>
        <row r="1597">
          <cell r="T1597" t="e">
            <v>#REF!</v>
          </cell>
        </row>
        <row r="1598">
          <cell r="T1598" t="e">
            <v>#REF!</v>
          </cell>
        </row>
        <row r="1599">
          <cell r="T1599" t="e">
            <v>#REF!</v>
          </cell>
        </row>
        <row r="1600">
          <cell r="T1600" t="e">
            <v>#REF!</v>
          </cell>
        </row>
        <row r="1601">
          <cell r="T1601" t="e">
            <v>#REF!</v>
          </cell>
        </row>
        <row r="1602">
          <cell r="T1602" t="e">
            <v>#REF!</v>
          </cell>
        </row>
        <row r="1603">
          <cell r="T1603" t="e">
            <v>#REF!</v>
          </cell>
        </row>
        <row r="1604">
          <cell r="T1604" t="e">
            <v>#REF!</v>
          </cell>
        </row>
        <row r="1605">
          <cell r="T1605" t="e">
            <v>#REF!</v>
          </cell>
        </row>
        <row r="1606">
          <cell r="T1606" t="e">
            <v>#REF!</v>
          </cell>
        </row>
        <row r="1607">
          <cell r="T1607" t="e">
            <v>#REF!</v>
          </cell>
        </row>
        <row r="1608">
          <cell r="T1608" t="e">
            <v>#REF!</v>
          </cell>
        </row>
        <row r="1609">
          <cell r="T1609" t="e">
            <v>#REF!</v>
          </cell>
        </row>
        <row r="1610">
          <cell r="T1610" t="e">
            <v>#REF!</v>
          </cell>
        </row>
        <row r="1611">
          <cell r="T1611" t="e">
            <v>#REF!</v>
          </cell>
        </row>
        <row r="1612">
          <cell r="T1612" t="e">
            <v>#REF!</v>
          </cell>
        </row>
        <row r="1613">
          <cell r="T1613" t="e">
            <v>#REF!</v>
          </cell>
        </row>
        <row r="1614">
          <cell r="T1614" t="e">
            <v>#REF!</v>
          </cell>
        </row>
        <row r="1615">
          <cell r="T1615" t="e">
            <v>#REF!</v>
          </cell>
        </row>
        <row r="1616">
          <cell r="T1616" t="e">
            <v>#REF!</v>
          </cell>
        </row>
        <row r="1617">
          <cell r="T1617" t="e">
            <v>#REF!</v>
          </cell>
        </row>
        <row r="1618">
          <cell r="T1618" t="e">
            <v>#REF!</v>
          </cell>
        </row>
        <row r="1619">
          <cell r="T1619" t="e">
            <v>#REF!</v>
          </cell>
        </row>
        <row r="1620">
          <cell r="T1620" t="e">
            <v>#REF!</v>
          </cell>
        </row>
        <row r="1621">
          <cell r="T1621" t="e">
            <v>#REF!</v>
          </cell>
        </row>
        <row r="1622">
          <cell r="T1622" t="e">
            <v>#REF!</v>
          </cell>
        </row>
        <row r="1623">
          <cell r="T1623" t="e">
            <v>#REF!</v>
          </cell>
        </row>
        <row r="1624">
          <cell r="T1624" t="e">
            <v>#REF!</v>
          </cell>
        </row>
        <row r="1625">
          <cell r="T1625" t="e">
            <v>#REF!</v>
          </cell>
        </row>
        <row r="1626">
          <cell r="T1626" t="e">
            <v>#REF!</v>
          </cell>
        </row>
        <row r="1627">
          <cell r="T1627" t="e">
            <v>#REF!</v>
          </cell>
        </row>
        <row r="1628">
          <cell r="T1628" t="e">
            <v>#REF!</v>
          </cell>
        </row>
        <row r="1629">
          <cell r="T1629" t="e">
            <v>#REF!</v>
          </cell>
        </row>
        <row r="1630">
          <cell r="T1630" t="e">
            <v>#REF!</v>
          </cell>
        </row>
        <row r="1631">
          <cell r="T1631" t="e">
            <v>#REF!</v>
          </cell>
        </row>
        <row r="1632">
          <cell r="T1632" t="e">
            <v>#REF!</v>
          </cell>
        </row>
        <row r="1633">
          <cell r="T1633" t="e">
            <v>#REF!</v>
          </cell>
        </row>
        <row r="1634">
          <cell r="T1634" t="e">
            <v>#REF!</v>
          </cell>
        </row>
        <row r="1635">
          <cell r="T1635" t="e">
            <v>#REF!</v>
          </cell>
        </row>
        <row r="1636">
          <cell r="T1636" t="e">
            <v>#REF!</v>
          </cell>
        </row>
        <row r="1637">
          <cell r="T1637" t="e">
            <v>#REF!</v>
          </cell>
        </row>
        <row r="1638">
          <cell r="T1638" t="e">
            <v>#REF!</v>
          </cell>
        </row>
        <row r="1639">
          <cell r="T1639" t="e">
            <v>#REF!</v>
          </cell>
        </row>
        <row r="1640">
          <cell r="T1640" t="e">
            <v>#REF!</v>
          </cell>
        </row>
        <row r="1641">
          <cell r="T1641" t="e">
            <v>#REF!</v>
          </cell>
        </row>
        <row r="1642">
          <cell r="T1642" t="e">
            <v>#REF!</v>
          </cell>
        </row>
        <row r="1643">
          <cell r="T1643" t="e">
            <v>#REF!</v>
          </cell>
        </row>
        <row r="1644">
          <cell r="T1644" t="e">
            <v>#REF!</v>
          </cell>
        </row>
        <row r="1645">
          <cell r="T1645" t="e">
            <v>#REF!</v>
          </cell>
        </row>
        <row r="1646">
          <cell r="T1646" t="e">
            <v>#REF!</v>
          </cell>
        </row>
        <row r="1647">
          <cell r="T1647" t="e">
            <v>#REF!</v>
          </cell>
        </row>
        <row r="1648">
          <cell r="T1648" t="e">
            <v>#REF!</v>
          </cell>
        </row>
        <row r="1649">
          <cell r="T1649" t="e">
            <v>#REF!</v>
          </cell>
        </row>
        <row r="1650">
          <cell r="T1650" t="e">
            <v>#REF!</v>
          </cell>
        </row>
        <row r="1651">
          <cell r="T1651" t="e">
            <v>#REF!</v>
          </cell>
        </row>
        <row r="1652">
          <cell r="T1652" t="e">
            <v>#REF!</v>
          </cell>
        </row>
        <row r="1653">
          <cell r="T1653" t="e">
            <v>#REF!</v>
          </cell>
        </row>
        <row r="1654">
          <cell r="T1654" t="e">
            <v>#REF!</v>
          </cell>
        </row>
        <row r="1655">
          <cell r="T1655" t="e">
            <v>#REF!</v>
          </cell>
        </row>
        <row r="1656">
          <cell r="T1656" t="e">
            <v>#REF!</v>
          </cell>
        </row>
        <row r="1657">
          <cell r="T1657" t="e">
            <v>#REF!</v>
          </cell>
        </row>
        <row r="1658">
          <cell r="T1658" t="e">
            <v>#REF!</v>
          </cell>
        </row>
        <row r="1659">
          <cell r="T1659" t="e">
            <v>#REF!</v>
          </cell>
        </row>
        <row r="1660">
          <cell r="T1660" t="e">
            <v>#REF!</v>
          </cell>
        </row>
        <row r="1661">
          <cell r="T1661" t="e">
            <v>#REF!</v>
          </cell>
        </row>
        <row r="1662">
          <cell r="T1662" t="e">
            <v>#REF!</v>
          </cell>
        </row>
        <row r="1663">
          <cell r="T1663" t="e">
            <v>#REF!</v>
          </cell>
        </row>
        <row r="1664">
          <cell r="T1664" t="e">
            <v>#REF!</v>
          </cell>
        </row>
        <row r="1665">
          <cell r="T1665" t="e">
            <v>#REF!</v>
          </cell>
        </row>
        <row r="1666">
          <cell r="T1666" t="e">
            <v>#REF!</v>
          </cell>
        </row>
        <row r="1667">
          <cell r="T1667" t="e">
            <v>#REF!</v>
          </cell>
        </row>
        <row r="1668">
          <cell r="T1668" t="e">
            <v>#REF!</v>
          </cell>
        </row>
        <row r="1669">
          <cell r="T1669" t="e">
            <v>#REF!</v>
          </cell>
        </row>
        <row r="1670">
          <cell r="T1670" t="e">
            <v>#REF!</v>
          </cell>
        </row>
        <row r="1671">
          <cell r="T1671" t="e">
            <v>#REF!</v>
          </cell>
        </row>
        <row r="1672">
          <cell r="T1672" t="e">
            <v>#REF!</v>
          </cell>
        </row>
        <row r="1673">
          <cell r="T1673" t="e">
            <v>#REF!</v>
          </cell>
        </row>
        <row r="1674">
          <cell r="T1674" t="e">
            <v>#REF!</v>
          </cell>
        </row>
        <row r="1675">
          <cell r="T1675" t="e">
            <v>#REF!</v>
          </cell>
        </row>
        <row r="1676">
          <cell r="T1676" t="e">
            <v>#REF!</v>
          </cell>
        </row>
        <row r="1677">
          <cell r="T1677" t="e">
            <v>#REF!</v>
          </cell>
        </row>
        <row r="1678">
          <cell r="T1678" t="e">
            <v>#REF!</v>
          </cell>
        </row>
        <row r="1679">
          <cell r="T1679" t="e">
            <v>#REF!</v>
          </cell>
        </row>
        <row r="1680">
          <cell r="T1680" t="e">
            <v>#REF!</v>
          </cell>
        </row>
        <row r="1681">
          <cell r="T1681" t="e">
            <v>#REF!</v>
          </cell>
        </row>
        <row r="1682">
          <cell r="T1682" t="e">
            <v>#REF!</v>
          </cell>
        </row>
        <row r="1683">
          <cell r="T1683" t="e">
            <v>#REF!</v>
          </cell>
        </row>
        <row r="1684">
          <cell r="T1684" t="e">
            <v>#REF!</v>
          </cell>
        </row>
        <row r="1685">
          <cell r="T1685" t="e">
            <v>#REF!</v>
          </cell>
        </row>
        <row r="1686">
          <cell r="T1686" t="e">
            <v>#REF!</v>
          </cell>
        </row>
        <row r="1687">
          <cell r="T1687" t="e">
            <v>#REF!</v>
          </cell>
        </row>
        <row r="1688">
          <cell r="T1688" t="e">
            <v>#REF!</v>
          </cell>
        </row>
        <row r="1689">
          <cell r="T1689" t="e">
            <v>#REF!</v>
          </cell>
        </row>
        <row r="1690">
          <cell r="T1690" t="e">
            <v>#REF!</v>
          </cell>
        </row>
        <row r="1691">
          <cell r="T1691" t="e">
            <v>#REF!</v>
          </cell>
        </row>
        <row r="1692">
          <cell r="T1692" t="e">
            <v>#REF!</v>
          </cell>
        </row>
        <row r="1693">
          <cell r="T1693" t="e">
            <v>#REF!</v>
          </cell>
        </row>
        <row r="1694">
          <cell r="T1694" t="e">
            <v>#REF!</v>
          </cell>
        </row>
        <row r="1695">
          <cell r="T1695" t="e">
            <v>#REF!</v>
          </cell>
        </row>
        <row r="1696">
          <cell r="T1696" t="e">
            <v>#REF!</v>
          </cell>
        </row>
        <row r="1697">
          <cell r="T1697" t="e">
            <v>#REF!</v>
          </cell>
        </row>
        <row r="1698">
          <cell r="T1698" t="e">
            <v>#REF!</v>
          </cell>
        </row>
        <row r="1699">
          <cell r="T1699" t="e">
            <v>#REF!</v>
          </cell>
        </row>
        <row r="1700">
          <cell r="T1700" t="e">
            <v>#REF!</v>
          </cell>
        </row>
        <row r="1701">
          <cell r="T1701" t="e">
            <v>#REF!</v>
          </cell>
        </row>
        <row r="1702">
          <cell r="T1702" t="e">
            <v>#REF!</v>
          </cell>
        </row>
        <row r="1703">
          <cell r="T1703" t="e">
            <v>#REF!</v>
          </cell>
        </row>
        <row r="1704">
          <cell r="T1704" t="e">
            <v>#REF!</v>
          </cell>
        </row>
        <row r="1705">
          <cell r="T1705" t="e">
            <v>#REF!</v>
          </cell>
        </row>
        <row r="1706">
          <cell r="T1706" t="e">
            <v>#REF!</v>
          </cell>
        </row>
        <row r="1707">
          <cell r="T1707" t="e">
            <v>#REF!</v>
          </cell>
        </row>
        <row r="1708">
          <cell r="T1708" t="e">
            <v>#REF!</v>
          </cell>
        </row>
        <row r="1709">
          <cell r="T1709" t="e">
            <v>#REF!</v>
          </cell>
        </row>
        <row r="1710">
          <cell r="T1710" t="e">
            <v>#REF!</v>
          </cell>
        </row>
        <row r="1711">
          <cell r="T1711" t="e">
            <v>#REF!</v>
          </cell>
        </row>
        <row r="1712">
          <cell r="T1712" t="e">
            <v>#REF!</v>
          </cell>
        </row>
        <row r="1713">
          <cell r="T1713" t="e">
            <v>#REF!</v>
          </cell>
        </row>
        <row r="1714">
          <cell r="T1714" t="e">
            <v>#REF!</v>
          </cell>
        </row>
        <row r="1715">
          <cell r="T1715" t="e">
            <v>#REF!</v>
          </cell>
        </row>
        <row r="1716">
          <cell r="T1716" t="e">
            <v>#REF!</v>
          </cell>
        </row>
        <row r="1717">
          <cell r="T1717" t="e">
            <v>#REF!</v>
          </cell>
        </row>
        <row r="1718">
          <cell r="T1718" t="e">
            <v>#REF!</v>
          </cell>
        </row>
        <row r="1719">
          <cell r="T1719" t="e">
            <v>#REF!</v>
          </cell>
        </row>
        <row r="1720">
          <cell r="T1720" t="e">
            <v>#REF!</v>
          </cell>
        </row>
        <row r="1721">
          <cell r="T1721" t="e">
            <v>#REF!</v>
          </cell>
        </row>
        <row r="1722">
          <cell r="T1722" t="e">
            <v>#REF!</v>
          </cell>
        </row>
        <row r="1723">
          <cell r="T1723" t="e">
            <v>#REF!</v>
          </cell>
        </row>
        <row r="1724">
          <cell r="T1724" t="e">
            <v>#REF!</v>
          </cell>
        </row>
        <row r="1725">
          <cell r="T1725" t="e">
            <v>#REF!</v>
          </cell>
        </row>
        <row r="1726">
          <cell r="T1726" t="e">
            <v>#REF!</v>
          </cell>
        </row>
        <row r="1727">
          <cell r="T1727" t="e">
            <v>#REF!</v>
          </cell>
        </row>
        <row r="1728">
          <cell r="T1728" t="e">
            <v>#REF!</v>
          </cell>
        </row>
        <row r="1729">
          <cell r="T1729" t="e">
            <v>#REF!</v>
          </cell>
        </row>
        <row r="1730">
          <cell r="T1730" t="e">
            <v>#REF!</v>
          </cell>
        </row>
        <row r="1731">
          <cell r="T1731" t="e">
            <v>#REF!</v>
          </cell>
        </row>
        <row r="1732">
          <cell r="T1732" t="e">
            <v>#REF!</v>
          </cell>
        </row>
        <row r="1733">
          <cell r="T1733" t="e">
            <v>#REF!</v>
          </cell>
        </row>
        <row r="1734">
          <cell r="T1734" t="e">
            <v>#REF!</v>
          </cell>
        </row>
        <row r="1735">
          <cell r="T1735" t="e">
            <v>#REF!</v>
          </cell>
        </row>
        <row r="1736">
          <cell r="T1736" t="e">
            <v>#REF!</v>
          </cell>
        </row>
        <row r="1737">
          <cell r="T1737" t="e">
            <v>#REF!</v>
          </cell>
        </row>
        <row r="1738">
          <cell r="T1738" t="e">
            <v>#REF!</v>
          </cell>
        </row>
        <row r="1739">
          <cell r="T1739" t="e">
            <v>#REF!</v>
          </cell>
        </row>
        <row r="1740">
          <cell r="T1740" t="e">
            <v>#REF!</v>
          </cell>
        </row>
        <row r="1741">
          <cell r="T1741" t="e">
            <v>#REF!</v>
          </cell>
        </row>
        <row r="1742">
          <cell r="T1742" t="e">
            <v>#REF!</v>
          </cell>
        </row>
        <row r="1743">
          <cell r="T1743" t="e">
            <v>#REF!</v>
          </cell>
        </row>
        <row r="1744">
          <cell r="T1744" t="e">
            <v>#REF!</v>
          </cell>
        </row>
        <row r="1745">
          <cell r="T1745" t="e">
            <v>#REF!</v>
          </cell>
        </row>
        <row r="1746">
          <cell r="T1746" t="e">
            <v>#REF!</v>
          </cell>
        </row>
        <row r="1747">
          <cell r="T1747" t="e">
            <v>#REF!</v>
          </cell>
        </row>
        <row r="1748">
          <cell r="T1748" t="e">
            <v>#REF!</v>
          </cell>
        </row>
        <row r="1749">
          <cell r="T1749" t="e">
            <v>#REF!</v>
          </cell>
        </row>
        <row r="1750">
          <cell r="T1750" t="e">
            <v>#REF!</v>
          </cell>
        </row>
        <row r="1751">
          <cell r="T1751" t="e">
            <v>#REF!</v>
          </cell>
        </row>
        <row r="1752">
          <cell r="T1752" t="e">
            <v>#REF!</v>
          </cell>
        </row>
        <row r="1753">
          <cell r="T1753" t="e">
            <v>#REF!</v>
          </cell>
        </row>
        <row r="1754">
          <cell r="T1754" t="e">
            <v>#REF!</v>
          </cell>
        </row>
        <row r="1755">
          <cell r="T1755" t="e">
            <v>#REF!</v>
          </cell>
        </row>
        <row r="1756">
          <cell r="T1756" t="e">
            <v>#REF!</v>
          </cell>
        </row>
        <row r="1757">
          <cell r="T1757" t="e">
            <v>#REF!</v>
          </cell>
        </row>
        <row r="1758">
          <cell r="T1758" t="e">
            <v>#REF!</v>
          </cell>
        </row>
        <row r="1759">
          <cell r="T1759" t="e">
            <v>#REF!</v>
          </cell>
        </row>
        <row r="1760">
          <cell r="T1760" t="e">
            <v>#REF!</v>
          </cell>
        </row>
        <row r="1761">
          <cell r="T1761" t="e">
            <v>#REF!</v>
          </cell>
        </row>
        <row r="1762">
          <cell r="T1762" t="e">
            <v>#REF!</v>
          </cell>
        </row>
        <row r="1763">
          <cell r="T1763" t="e">
            <v>#REF!</v>
          </cell>
        </row>
        <row r="1764">
          <cell r="T1764" t="e">
            <v>#REF!</v>
          </cell>
        </row>
        <row r="1765">
          <cell r="T1765" t="e">
            <v>#REF!</v>
          </cell>
        </row>
        <row r="1766">
          <cell r="T1766" t="e">
            <v>#REF!</v>
          </cell>
        </row>
        <row r="1767">
          <cell r="T1767" t="e">
            <v>#REF!</v>
          </cell>
        </row>
        <row r="1768">
          <cell r="T1768" t="e">
            <v>#REF!</v>
          </cell>
        </row>
        <row r="1769">
          <cell r="T1769" t="e">
            <v>#REF!</v>
          </cell>
        </row>
        <row r="1770">
          <cell r="T1770" t="e">
            <v>#REF!</v>
          </cell>
        </row>
        <row r="1771">
          <cell r="T1771" t="e">
            <v>#REF!</v>
          </cell>
        </row>
        <row r="1772">
          <cell r="T1772" t="e">
            <v>#REF!</v>
          </cell>
        </row>
        <row r="1773">
          <cell r="T1773" t="e">
            <v>#REF!</v>
          </cell>
        </row>
        <row r="1774">
          <cell r="T1774" t="e">
            <v>#REF!</v>
          </cell>
        </row>
        <row r="1775">
          <cell r="T1775" t="e">
            <v>#REF!</v>
          </cell>
        </row>
        <row r="1776">
          <cell r="T1776" t="e">
            <v>#REF!</v>
          </cell>
        </row>
        <row r="1777">
          <cell r="T1777" t="e">
            <v>#REF!</v>
          </cell>
        </row>
        <row r="1778">
          <cell r="T1778" t="e">
            <v>#REF!</v>
          </cell>
        </row>
        <row r="1779">
          <cell r="T1779" t="e">
            <v>#REF!</v>
          </cell>
        </row>
        <row r="1780">
          <cell r="T1780" t="e">
            <v>#REF!</v>
          </cell>
        </row>
        <row r="1781">
          <cell r="T1781" t="e">
            <v>#REF!</v>
          </cell>
        </row>
        <row r="1782">
          <cell r="T1782" t="e">
            <v>#REF!</v>
          </cell>
        </row>
        <row r="1783">
          <cell r="T1783" t="e">
            <v>#REF!</v>
          </cell>
        </row>
        <row r="1784">
          <cell r="T1784" t="e">
            <v>#REF!</v>
          </cell>
        </row>
        <row r="1785">
          <cell r="T1785" t="e">
            <v>#REF!</v>
          </cell>
        </row>
        <row r="1786">
          <cell r="T1786" t="e">
            <v>#REF!</v>
          </cell>
        </row>
        <row r="1787">
          <cell r="T1787" t="e">
            <v>#REF!</v>
          </cell>
        </row>
        <row r="1788">
          <cell r="T1788" t="e">
            <v>#REF!</v>
          </cell>
        </row>
        <row r="1789">
          <cell r="T1789" t="e">
            <v>#REF!</v>
          </cell>
        </row>
        <row r="1790">
          <cell r="T1790" t="e">
            <v>#REF!</v>
          </cell>
        </row>
        <row r="1791">
          <cell r="T1791" t="e">
            <v>#REF!</v>
          </cell>
        </row>
        <row r="1792">
          <cell r="T1792" t="e">
            <v>#REF!</v>
          </cell>
        </row>
        <row r="1793">
          <cell r="T1793" t="e">
            <v>#REF!</v>
          </cell>
        </row>
        <row r="1794">
          <cell r="T1794" t="e">
            <v>#REF!</v>
          </cell>
        </row>
        <row r="1795">
          <cell r="T1795" t="e">
            <v>#REF!</v>
          </cell>
        </row>
        <row r="1796">
          <cell r="T1796" t="e">
            <v>#REF!</v>
          </cell>
        </row>
        <row r="1797">
          <cell r="T1797" t="e">
            <v>#REF!</v>
          </cell>
        </row>
        <row r="1798">
          <cell r="T1798" t="e">
            <v>#REF!</v>
          </cell>
        </row>
        <row r="1799">
          <cell r="T1799" t="e">
            <v>#REF!</v>
          </cell>
        </row>
        <row r="1800">
          <cell r="T1800" t="e">
            <v>#REF!</v>
          </cell>
        </row>
        <row r="1801">
          <cell r="T1801" t="e">
            <v>#REF!</v>
          </cell>
        </row>
        <row r="1802">
          <cell r="T1802" t="e">
            <v>#REF!</v>
          </cell>
        </row>
        <row r="1803">
          <cell r="T1803" t="e">
            <v>#REF!</v>
          </cell>
        </row>
        <row r="1804">
          <cell r="T1804" t="e">
            <v>#REF!</v>
          </cell>
        </row>
        <row r="1805">
          <cell r="T1805" t="e">
            <v>#REF!</v>
          </cell>
        </row>
        <row r="1806">
          <cell r="T1806" t="e">
            <v>#REF!</v>
          </cell>
        </row>
        <row r="1807">
          <cell r="T1807" t="e">
            <v>#REF!</v>
          </cell>
        </row>
        <row r="1808">
          <cell r="T1808" t="e">
            <v>#REF!</v>
          </cell>
        </row>
        <row r="1809">
          <cell r="T1809" t="e">
            <v>#REF!</v>
          </cell>
        </row>
        <row r="1810">
          <cell r="T1810" t="e">
            <v>#REF!</v>
          </cell>
        </row>
        <row r="1811">
          <cell r="T1811" t="e">
            <v>#REF!</v>
          </cell>
        </row>
        <row r="1812">
          <cell r="T1812" t="e">
            <v>#REF!</v>
          </cell>
        </row>
        <row r="1813">
          <cell r="T1813" t="e">
            <v>#REF!</v>
          </cell>
        </row>
        <row r="1814">
          <cell r="T1814" t="e">
            <v>#REF!</v>
          </cell>
        </row>
        <row r="1815">
          <cell r="T1815" t="e">
            <v>#REF!</v>
          </cell>
        </row>
        <row r="1816">
          <cell r="T1816" t="e">
            <v>#REF!</v>
          </cell>
        </row>
        <row r="1817">
          <cell r="T1817" t="e">
            <v>#REF!</v>
          </cell>
        </row>
        <row r="1818">
          <cell r="T1818" t="e">
            <v>#REF!</v>
          </cell>
        </row>
        <row r="1819">
          <cell r="T1819" t="e">
            <v>#REF!</v>
          </cell>
        </row>
        <row r="1820">
          <cell r="T1820" t="e">
            <v>#REF!</v>
          </cell>
        </row>
        <row r="1821">
          <cell r="T1821" t="e">
            <v>#REF!</v>
          </cell>
        </row>
        <row r="1822">
          <cell r="T1822" t="e">
            <v>#REF!</v>
          </cell>
        </row>
        <row r="1823">
          <cell r="T1823" t="e">
            <v>#REF!</v>
          </cell>
        </row>
        <row r="1824">
          <cell r="T1824" t="e">
            <v>#REF!</v>
          </cell>
        </row>
        <row r="1825">
          <cell r="T1825" t="e">
            <v>#REF!</v>
          </cell>
        </row>
        <row r="1826">
          <cell r="T1826" t="e">
            <v>#REF!</v>
          </cell>
        </row>
        <row r="1827">
          <cell r="T1827" t="e">
            <v>#REF!</v>
          </cell>
        </row>
        <row r="1828">
          <cell r="T1828" t="e">
            <v>#REF!</v>
          </cell>
        </row>
        <row r="1829">
          <cell r="T1829" t="e">
            <v>#REF!</v>
          </cell>
        </row>
        <row r="1830">
          <cell r="T1830" t="e">
            <v>#REF!</v>
          </cell>
        </row>
        <row r="1831">
          <cell r="T1831" t="e">
            <v>#REF!</v>
          </cell>
        </row>
        <row r="1832">
          <cell r="T1832" t="e">
            <v>#REF!</v>
          </cell>
        </row>
        <row r="1833">
          <cell r="T1833" t="e">
            <v>#REF!</v>
          </cell>
        </row>
        <row r="1834">
          <cell r="T1834" t="e">
            <v>#REF!</v>
          </cell>
        </row>
        <row r="1835">
          <cell r="T1835" t="e">
            <v>#REF!</v>
          </cell>
        </row>
        <row r="1836">
          <cell r="T1836" t="e">
            <v>#REF!</v>
          </cell>
        </row>
        <row r="1837">
          <cell r="T1837" t="e">
            <v>#REF!</v>
          </cell>
        </row>
        <row r="1838">
          <cell r="T1838" t="e">
            <v>#REF!</v>
          </cell>
        </row>
        <row r="1839">
          <cell r="T1839" t="e">
            <v>#REF!</v>
          </cell>
        </row>
        <row r="1840">
          <cell r="T1840" t="e">
            <v>#REF!</v>
          </cell>
        </row>
        <row r="1841">
          <cell r="T1841" t="e">
            <v>#REF!</v>
          </cell>
        </row>
        <row r="1842">
          <cell r="T1842" t="e">
            <v>#REF!</v>
          </cell>
        </row>
        <row r="1843">
          <cell r="T1843" t="e">
            <v>#REF!</v>
          </cell>
        </row>
        <row r="1844">
          <cell r="T1844" t="e">
            <v>#REF!</v>
          </cell>
        </row>
        <row r="1845">
          <cell r="T1845" t="e">
            <v>#REF!</v>
          </cell>
        </row>
        <row r="1846">
          <cell r="T1846" t="e">
            <v>#REF!</v>
          </cell>
        </row>
        <row r="1847">
          <cell r="T1847" t="e">
            <v>#REF!</v>
          </cell>
        </row>
        <row r="1848">
          <cell r="T1848" t="e">
            <v>#REF!</v>
          </cell>
        </row>
        <row r="1849">
          <cell r="T1849" t="e">
            <v>#REF!</v>
          </cell>
        </row>
        <row r="1850">
          <cell r="T1850" t="e">
            <v>#REF!</v>
          </cell>
        </row>
        <row r="1851">
          <cell r="T1851" t="e">
            <v>#REF!</v>
          </cell>
        </row>
        <row r="1852">
          <cell r="T1852" t="e">
            <v>#REF!</v>
          </cell>
        </row>
        <row r="1853">
          <cell r="T1853" t="e">
            <v>#REF!</v>
          </cell>
        </row>
        <row r="1854">
          <cell r="T1854" t="e">
            <v>#REF!</v>
          </cell>
        </row>
        <row r="1855">
          <cell r="T1855" t="e">
            <v>#REF!</v>
          </cell>
        </row>
        <row r="1856">
          <cell r="T1856" t="e">
            <v>#REF!</v>
          </cell>
        </row>
        <row r="1857">
          <cell r="T1857" t="e">
            <v>#REF!</v>
          </cell>
        </row>
        <row r="1858">
          <cell r="T1858" t="e">
            <v>#REF!</v>
          </cell>
        </row>
        <row r="1859">
          <cell r="T1859" t="e">
            <v>#REF!</v>
          </cell>
        </row>
        <row r="1860">
          <cell r="T1860" t="e">
            <v>#REF!</v>
          </cell>
        </row>
        <row r="1861">
          <cell r="T1861" t="e">
            <v>#REF!</v>
          </cell>
        </row>
        <row r="1862">
          <cell r="T1862" t="e">
            <v>#REF!</v>
          </cell>
        </row>
        <row r="1863">
          <cell r="T1863" t="e">
            <v>#REF!</v>
          </cell>
        </row>
        <row r="1864">
          <cell r="T1864" t="e">
            <v>#REF!</v>
          </cell>
        </row>
        <row r="1865">
          <cell r="T1865" t="e">
            <v>#REF!</v>
          </cell>
        </row>
        <row r="1866">
          <cell r="T1866" t="e">
            <v>#REF!</v>
          </cell>
        </row>
        <row r="1867">
          <cell r="T1867" t="e">
            <v>#REF!</v>
          </cell>
        </row>
        <row r="1868">
          <cell r="T1868" t="e">
            <v>#REF!</v>
          </cell>
        </row>
        <row r="1869">
          <cell r="T1869" t="e">
            <v>#REF!</v>
          </cell>
        </row>
        <row r="1870">
          <cell r="T1870" t="e">
            <v>#REF!</v>
          </cell>
        </row>
        <row r="1871">
          <cell r="T1871" t="e">
            <v>#REF!</v>
          </cell>
        </row>
        <row r="1872">
          <cell r="T1872" t="e">
            <v>#REF!</v>
          </cell>
        </row>
        <row r="1873">
          <cell r="T1873" t="e">
            <v>#REF!</v>
          </cell>
        </row>
        <row r="1874">
          <cell r="T1874" t="e">
            <v>#REF!</v>
          </cell>
        </row>
        <row r="1875">
          <cell r="T1875" t="e">
            <v>#REF!</v>
          </cell>
        </row>
        <row r="1876">
          <cell r="T1876" t="e">
            <v>#REF!</v>
          </cell>
        </row>
        <row r="1877">
          <cell r="T1877" t="e">
            <v>#REF!</v>
          </cell>
        </row>
        <row r="1878">
          <cell r="T1878" t="e">
            <v>#REF!</v>
          </cell>
        </row>
        <row r="1879">
          <cell r="T1879" t="e">
            <v>#REF!</v>
          </cell>
        </row>
        <row r="1880">
          <cell r="T1880" t="e">
            <v>#REF!</v>
          </cell>
        </row>
        <row r="1881">
          <cell r="T1881" t="e">
            <v>#REF!</v>
          </cell>
        </row>
        <row r="1882">
          <cell r="T1882" t="e">
            <v>#REF!</v>
          </cell>
        </row>
        <row r="1883">
          <cell r="T1883" t="e">
            <v>#REF!</v>
          </cell>
        </row>
        <row r="1884">
          <cell r="T1884" t="e">
            <v>#REF!</v>
          </cell>
        </row>
        <row r="1885">
          <cell r="T1885" t="e">
            <v>#REF!</v>
          </cell>
        </row>
        <row r="1886">
          <cell r="T1886" t="e">
            <v>#REF!</v>
          </cell>
        </row>
        <row r="1887">
          <cell r="T1887" t="e">
            <v>#REF!</v>
          </cell>
        </row>
        <row r="1888">
          <cell r="T1888" t="e">
            <v>#REF!</v>
          </cell>
        </row>
        <row r="1889">
          <cell r="T1889" t="e">
            <v>#REF!</v>
          </cell>
        </row>
        <row r="1890">
          <cell r="T1890" t="e">
            <v>#REF!</v>
          </cell>
        </row>
        <row r="1891">
          <cell r="T1891" t="e">
            <v>#REF!</v>
          </cell>
        </row>
        <row r="1892">
          <cell r="T1892" t="e">
            <v>#REF!</v>
          </cell>
        </row>
        <row r="1893">
          <cell r="T1893" t="e">
            <v>#REF!</v>
          </cell>
        </row>
        <row r="1894">
          <cell r="T1894" t="e">
            <v>#REF!</v>
          </cell>
        </row>
        <row r="1895">
          <cell r="T1895" t="e">
            <v>#REF!</v>
          </cell>
        </row>
        <row r="1896">
          <cell r="T1896" t="e">
            <v>#REF!</v>
          </cell>
        </row>
        <row r="1897">
          <cell r="T1897" t="e">
            <v>#REF!</v>
          </cell>
        </row>
        <row r="1898">
          <cell r="T1898" t="e">
            <v>#REF!</v>
          </cell>
        </row>
        <row r="1899">
          <cell r="T1899" t="e">
            <v>#REF!</v>
          </cell>
        </row>
        <row r="1900">
          <cell r="T1900" t="e">
            <v>#REF!</v>
          </cell>
        </row>
        <row r="1901">
          <cell r="T1901" t="e">
            <v>#REF!</v>
          </cell>
        </row>
        <row r="1902">
          <cell r="T1902" t="e">
            <v>#REF!</v>
          </cell>
        </row>
        <row r="1903">
          <cell r="T1903" t="e">
            <v>#REF!</v>
          </cell>
        </row>
        <row r="1904">
          <cell r="T1904" t="e">
            <v>#REF!</v>
          </cell>
        </row>
        <row r="1905">
          <cell r="T1905" t="e">
            <v>#REF!</v>
          </cell>
        </row>
        <row r="1906">
          <cell r="T1906" t="e">
            <v>#REF!</v>
          </cell>
        </row>
        <row r="1907">
          <cell r="T1907" t="e">
            <v>#REF!</v>
          </cell>
        </row>
        <row r="1908">
          <cell r="T1908" t="e">
            <v>#REF!</v>
          </cell>
        </row>
        <row r="1909">
          <cell r="T1909" t="e">
            <v>#REF!</v>
          </cell>
        </row>
        <row r="1910">
          <cell r="T1910" t="e">
            <v>#REF!</v>
          </cell>
        </row>
        <row r="1911">
          <cell r="T1911" t="e">
            <v>#REF!</v>
          </cell>
        </row>
        <row r="1912">
          <cell r="T1912" t="e">
            <v>#REF!</v>
          </cell>
        </row>
        <row r="1913">
          <cell r="T1913" t="e">
            <v>#REF!</v>
          </cell>
        </row>
        <row r="1914">
          <cell r="T1914" t="e">
            <v>#REF!</v>
          </cell>
        </row>
        <row r="1915">
          <cell r="T1915" t="e">
            <v>#REF!</v>
          </cell>
        </row>
        <row r="1916">
          <cell r="T1916" t="e">
            <v>#REF!</v>
          </cell>
        </row>
        <row r="1917">
          <cell r="T1917" t="e">
            <v>#REF!</v>
          </cell>
        </row>
        <row r="1918">
          <cell r="T1918" t="e">
            <v>#REF!</v>
          </cell>
        </row>
        <row r="1919">
          <cell r="T1919" t="e">
            <v>#REF!</v>
          </cell>
        </row>
        <row r="1920">
          <cell r="T1920" t="e">
            <v>#REF!</v>
          </cell>
        </row>
        <row r="1921">
          <cell r="T1921" t="e">
            <v>#REF!</v>
          </cell>
        </row>
        <row r="1922">
          <cell r="T1922" t="e">
            <v>#REF!</v>
          </cell>
        </row>
        <row r="1923">
          <cell r="T1923" t="e">
            <v>#REF!</v>
          </cell>
        </row>
        <row r="1924">
          <cell r="T1924" t="e">
            <v>#REF!</v>
          </cell>
        </row>
        <row r="1925">
          <cell r="T1925" t="e">
            <v>#REF!</v>
          </cell>
        </row>
        <row r="1926">
          <cell r="T1926" t="e">
            <v>#REF!</v>
          </cell>
        </row>
        <row r="1927">
          <cell r="T1927" t="e">
            <v>#REF!</v>
          </cell>
        </row>
        <row r="1928">
          <cell r="T1928" t="e">
            <v>#REF!</v>
          </cell>
        </row>
        <row r="1929">
          <cell r="T1929" t="e">
            <v>#REF!</v>
          </cell>
        </row>
        <row r="1930">
          <cell r="T1930" t="e">
            <v>#REF!</v>
          </cell>
        </row>
        <row r="1931">
          <cell r="T1931" t="e">
            <v>#REF!</v>
          </cell>
        </row>
        <row r="1932">
          <cell r="T1932" t="e">
            <v>#REF!</v>
          </cell>
        </row>
        <row r="1933">
          <cell r="T1933" t="e">
            <v>#REF!</v>
          </cell>
        </row>
        <row r="1934">
          <cell r="T1934" t="e">
            <v>#REF!</v>
          </cell>
        </row>
        <row r="1935">
          <cell r="T1935" t="e">
            <v>#REF!</v>
          </cell>
        </row>
        <row r="1936">
          <cell r="T1936" t="e">
            <v>#REF!</v>
          </cell>
        </row>
        <row r="1937">
          <cell r="T1937" t="e">
            <v>#REF!</v>
          </cell>
        </row>
        <row r="1938">
          <cell r="T1938" t="e">
            <v>#REF!</v>
          </cell>
        </row>
        <row r="1939">
          <cell r="T1939" t="e">
            <v>#REF!</v>
          </cell>
        </row>
        <row r="1940">
          <cell r="T1940" t="e">
            <v>#REF!</v>
          </cell>
        </row>
        <row r="1941">
          <cell r="T1941" t="e">
            <v>#REF!</v>
          </cell>
        </row>
        <row r="1942">
          <cell r="T1942" t="e">
            <v>#REF!</v>
          </cell>
        </row>
        <row r="1943">
          <cell r="T1943" t="e">
            <v>#REF!</v>
          </cell>
        </row>
        <row r="1944">
          <cell r="T1944" t="e">
            <v>#REF!</v>
          </cell>
        </row>
        <row r="1945">
          <cell r="T1945" t="e">
            <v>#REF!</v>
          </cell>
        </row>
        <row r="1946">
          <cell r="T1946" t="e">
            <v>#REF!</v>
          </cell>
        </row>
        <row r="1947">
          <cell r="T1947" t="e">
            <v>#REF!</v>
          </cell>
        </row>
        <row r="1948">
          <cell r="T1948" t="e">
            <v>#REF!</v>
          </cell>
        </row>
        <row r="1949">
          <cell r="T1949" t="e">
            <v>#REF!</v>
          </cell>
        </row>
        <row r="1950">
          <cell r="T1950" t="e">
            <v>#REF!</v>
          </cell>
        </row>
        <row r="1951">
          <cell r="T1951" t="e">
            <v>#REF!</v>
          </cell>
        </row>
        <row r="1952">
          <cell r="T1952" t="e">
            <v>#REF!</v>
          </cell>
        </row>
        <row r="1953">
          <cell r="T1953" t="e">
            <v>#REF!</v>
          </cell>
        </row>
        <row r="1954">
          <cell r="T1954" t="e">
            <v>#REF!</v>
          </cell>
        </row>
        <row r="1955">
          <cell r="T1955" t="e">
            <v>#REF!</v>
          </cell>
        </row>
        <row r="1956">
          <cell r="T1956" t="e">
            <v>#REF!</v>
          </cell>
        </row>
        <row r="1957">
          <cell r="T1957" t="e">
            <v>#REF!</v>
          </cell>
        </row>
        <row r="1958">
          <cell r="T1958" t="e">
            <v>#REF!</v>
          </cell>
        </row>
        <row r="1959">
          <cell r="T1959" t="e">
            <v>#REF!</v>
          </cell>
        </row>
        <row r="1960">
          <cell r="T1960" t="e">
            <v>#REF!</v>
          </cell>
        </row>
        <row r="1961">
          <cell r="T1961" t="e">
            <v>#REF!</v>
          </cell>
        </row>
        <row r="1962">
          <cell r="T1962" t="e">
            <v>#REF!</v>
          </cell>
        </row>
        <row r="1963">
          <cell r="T1963" t="e">
            <v>#REF!</v>
          </cell>
        </row>
        <row r="1964">
          <cell r="T1964" t="e">
            <v>#REF!</v>
          </cell>
        </row>
        <row r="1965">
          <cell r="T1965" t="e">
            <v>#REF!</v>
          </cell>
        </row>
        <row r="1966">
          <cell r="T1966" t="e">
            <v>#REF!</v>
          </cell>
        </row>
        <row r="1967">
          <cell r="T1967" t="e">
            <v>#REF!</v>
          </cell>
        </row>
        <row r="1968">
          <cell r="T1968" t="e">
            <v>#REF!</v>
          </cell>
        </row>
        <row r="1969">
          <cell r="T1969" t="e">
            <v>#REF!</v>
          </cell>
        </row>
        <row r="1970">
          <cell r="T1970" t="e">
            <v>#REF!</v>
          </cell>
        </row>
        <row r="1971">
          <cell r="T1971" t="e">
            <v>#REF!</v>
          </cell>
        </row>
        <row r="1972">
          <cell r="T1972" t="e">
            <v>#REF!</v>
          </cell>
        </row>
        <row r="1973">
          <cell r="T1973" t="e">
            <v>#REF!</v>
          </cell>
        </row>
        <row r="1974">
          <cell r="T1974" t="e">
            <v>#REF!</v>
          </cell>
        </row>
        <row r="1975">
          <cell r="T1975" t="e">
            <v>#REF!</v>
          </cell>
        </row>
        <row r="1976">
          <cell r="T1976" t="e">
            <v>#REF!</v>
          </cell>
        </row>
        <row r="1977">
          <cell r="T1977" t="e">
            <v>#REF!</v>
          </cell>
        </row>
        <row r="1978">
          <cell r="T1978" t="e">
            <v>#REF!</v>
          </cell>
        </row>
        <row r="1979">
          <cell r="T1979" t="e">
            <v>#REF!</v>
          </cell>
        </row>
        <row r="1980">
          <cell r="T1980" t="e">
            <v>#REF!</v>
          </cell>
        </row>
        <row r="1981">
          <cell r="T1981" t="e">
            <v>#REF!</v>
          </cell>
        </row>
        <row r="1982">
          <cell r="T1982" t="e">
            <v>#REF!</v>
          </cell>
        </row>
        <row r="1983">
          <cell r="T1983" t="e">
            <v>#REF!</v>
          </cell>
        </row>
        <row r="1984">
          <cell r="T1984" t="e">
            <v>#REF!</v>
          </cell>
        </row>
        <row r="1985">
          <cell r="T1985" t="e">
            <v>#REF!</v>
          </cell>
        </row>
        <row r="1986">
          <cell r="T1986" t="e">
            <v>#REF!</v>
          </cell>
        </row>
        <row r="1987">
          <cell r="T1987" t="e">
            <v>#REF!</v>
          </cell>
        </row>
        <row r="1988">
          <cell r="T1988" t="e">
            <v>#REF!</v>
          </cell>
        </row>
        <row r="1989">
          <cell r="T1989" t="e">
            <v>#REF!</v>
          </cell>
        </row>
        <row r="1990">
          <cell r="T1990" t="e">
            <v>#REF!</v>
          </cell>
        </row>
        <row r="1991">
          <cell r="T1991" t="e">
            <v>#REF!</v>
          </cell>
        </row>
        <row r="1992">
          <cell r="T1992" t="e">
            <v>#REF!</v>
          </cell>
        </row>
        <row r="1993">
          <cell r="T1993" t="e">
            <v>#REF!</v>
          </cell>
        </row>
        <row r="1994">
          <cell r="T1994" t="e">
            <v>#REF!</v>
          </cell>
        </row>
        <row r="1995">
          <cell r="T1995" t="e">
            <v>#REF!</v>
          </cell>
        </row>
        <row r="1996">
          <cell r="T1996" t="e">
            <v>#REF!</v>
          </cell>
        </row>
        <row r="1997">
          <cell r="T1997" t="e">
            <v>#REF!</v>
          </cell>
        </row>
        <row r="1998">
          <cell r="T1998" t="e">
            <v>#REF!</v>
          </cell>
        </row>
        <row r="1999">
          <cell r="T1999" t="e">
            <v>#REF!</v>
          </cell>
        </row>
        <row r="2000">
          <cell r="T2000" t="e">
            <v>#REF!</v>
          </cell>
        </row>
        <row r="2001">
          <cell r="T2001" t="e">
            <v>#REF!</v>
          </cell>
        </row>
        <row r="2002">
          <cell r="T2002" t="e">
            <v>#REF!</v>
          </cell>
        </row>
        <row r="2003">
          <cell r="T2003" t="e">
            <v>#REF!</v>
          </cell>
        </row>
        <row r="2004">
          <cell r="T2004" t="e">
            <v>#REF!</v>
          </cell>
        </row>
        <row r="2005">
          <cell r="T2005" t="e">
            <v>#REF!</v>
          </cell>
        </row>
        <row r="2006">
          <cell r="T2006" t="e">
            <v>#REF!</v>
          </cell>
        </row>
        <row r="2007">
          <cell r="T2007" t="e">
            <v>#REF!</v>
          </cell>
        </row>
        <row r="2008">
          <cell r="T2008" t="e">
            <v>#REF!</v>
          </cell>
        </row>
        <row r="2009">
          <cell r="T2009" t="e">
            <v>#REF!</v>
          </cell>
        </row>
        <row r="2010">
          <cell r="T2010" t="e">
            <v>#REF!</v>
          </cell>
        </row>
        <row r="2011">
          <cell r="T2011" t="e">
            <v>#REF!</v>
          </cell>
        </row>
        <row r="2012">
          <cell r="T2012" t="e">
            <v>#REF!</v>
          </cell>
        </row>
        <row r="2013">
          <cell r="T2013" t="e">
            <v>#REF!</v>
          </cell>
        </row>
        <row r="2014">
          <cell r="T2014" t="e">
            <v>#REF!</v>
          </cell>
        </row>
        <row r="2015">
          <cell r="T2015" t="e">
            <v>#REF!</v>
          </cell>
        </row>
        <row r="2016">
          <cell r="T2016" t="e">
            <v>#REF!</v>
          </cell>
        </row>
        <row r="2017">
          <cell r="T2017" t="e">
            <v>#REF!</v>
          </cell>
        </row>
        <row r="2018">
          <cell r="T2018" t="e">
            <v>#REF!</v>
          </cell>
        </row>
        <row r="2019">
          <cell r="T2019" t="e">
            <v>#REF!</v>
          </cell>
        </row>
        <row r="2020">
          <cell r="T2020" t="e">
            <v>#REF!</v>
          </cell>
        </row>
        <row r="2021">
          <cell r="T2021" t="e">
            <v>#REF!</v>
          </cell>
        </row>
        <row r="2022">
          <cell r="T2022" t="e">
            <v>#REF!</v>
          </cell>
        </row>
        <row r="2023">
          <cell r="T2023" t="e">
            <v>#REF!</v>
          </cell>
        </row>
        <row r="2024">
          <cell r="T2024" t="e">
            <v>#REF!</v>
          </cell>
        </row>
        <row r="2025">
          <cell r="T2025" t="e">
            <v>#REF!</v>
          </cell>
        </row>
        <row r="2026">
          <cell r="T2026" t="e">
            <v>#REF!</v>
          </cell>
        </row>
        <row r="2027">
          <cell r="T2027" t="e">
            <v>#REF!</v>
          </cell>
        </row>
        <row r="2028">
          <cell r="T2028" t="e">
            <v>#REF!</v>
          </cell>
        </row>
        <row r="2029">
          <cell r="T2029" t="e">
            <v>#REF!</v>
          </cell>
        </row>
        <row r="2030">
          <cell r="T2030" t="e">
            <v>#REF!</v>
          </cell>
        </row>
        <row r="2031">
          <cell r="T2031" t="e">
            <v>#REF!</v>
          </cell>
        </row>
        <row r="2032">
          <cell r="T2032" t="e">
            <v>#REF!</v>
          </cell>
        </row>
        <row r="2033">
          <cell r="T2033" t="e">
            <v>#REF!</v>
          </cell>
        </row>
        <row r="2034">
          <cell r="T2034" t="e">
            <v>#REF!</v>
          </cell>
        </row>
        <row r="2035">
          <cell r="T2035" t="e">
            <v>#REF!</v>
          </cell>
        </row>
        <row r="2036">
          <cell r="T2036" t="e">
            <v>#REF!</v>
          </cell>
        </row>
        <row r="2037">
          <cell r="T2037" t="e">
            <v>#REF!</v>
          </cell>
        </row>
        <row r="2038">
          <cell r="T2038" t="e">
            <v>#REF!</v>
          </cell>
        </row>
        <row r="2039">
          <cell r="T2039" t="e">
            <v>#REF!</v>
          </cell>
        </row>
        <row r="2040">
          <cell r="T2040" t="e">
            <v>#REF!</v>
          </cell>
        </row>
        <row r="2041">
          <cell r="T2041" t="e">
            <v>#REF!</v>
          </cell>
        </row>
        <row r="2042">
          <cell r="T2042" t="e">
            <v>#REF!</v>
          </cell>
        </row>
        <row r="2043">
          <cell r="T2043" t="e">
            <v>#REF!</v>
          </cell>
        </row>
        <row r="2044">
          <cell r="T2044" t="e">
            <v>#REF!</v>
          </cell>
        </row>
        <row r="2045">
          <cell r="T2045" t="e">
            <v>#REF!</v>
          </cell>
        </row>
        <row r="2046">
          <cell r="T2046" t="e">
            <v>#REF!</v>
          </cell>
        </row>
        <row r="2047">
          <cell r="T2047" t="e">
            <v>#REF!</v>
          </cell>
        </row>
        <row r="2048">
          <cell r="T2048" t="e">
            <v>#REF!</v>
          </cell>
        </row>
        <row r="2049">
          <cell r="T2049" t="e">
            <v>#REF!</v>
          </cell>
        </row>
        <row r="2050">
          <cell r="T2050" t="e">
            <v>#REF!</v>
          </cell>
        </row>
        <row r="2051">
          <cell r="T2051" t="e">
            <v>#REF!</v>
          </cell>
        </row>
        <row r="2052">
          <cell r="T2052" t="e">
            <v>#REF!</v>
          </cell>
        </row>
        <row r="2053">
          <cell r="T2053" t="e">
            <v>#REF!</v>
          </cell>
        </row>
        <row r="2054">
          <cell r="T2054" t="e">
            <v>#REF!</v>
          </cell>
        </row>
        <row r="2055">
          <cell r="T2055" t="e">
            <v>#REF!</v>
          </cell>
        </row>
        <row r="2056">
          <cell r="T2056" t="e">
            <v>#REF!</v>
          </cell>
        </row>
        <row r="2057">
          <cell r="T2057" t="e">
            <v>#REF!</v>
          </cell>
        </row>
        <row r="2058">
          <cell r="T2058" t="e">
            <v>#REF!</v>
          </cell>
        </row>
        <row r="2059">
          <cell r="T2059" t="e">
            <v>#REF!</v>
          </cell>
        </row>
        <row r="2060">
          <cell r="T2060" t="e">
            <v>#REF!</v>
          </cell>
        </row>
        <row r="2061">
          <cell r="T2061" t="e">
            <v>#REF!</v>
          </cell>
        </row>
        <row r="2062">
          <cell r="T2062" t="e">
            <v>#REF!</v>
          </cell>
        </row>
        <row r="2063">
          <cell r="T2063" t="e">
            <v>#REF!</v>
          </cell>
        </row>
        <row r="2064">
          <cell r="T2064" t="e">
            <v>#REF!</v>
          </cell>
        </row>
        <row r="2065">
          <cell r="T2065" t="e">
            <v>#REF!</v>
          </cell>
        </row>
        <row r="2066">
          <cell r="T2066" t="e">
            <v>#REF!</v>
          </cell>
        </row>
        <row r="2067">
          <cell r="T2067" t="e">
            <v>#REF!</v>
          </cell>
        </row>
        <row r="2068">
          <cell r="T2068" t="e">
            <v>#REF!</v>
          </cell>
        </row>
        <row r="2069">
          <cell r="T2069" t="e">
            <v>#REF!</v>
          </cell>
        </row>
        <row r="2070">
          <cell r="T2070" t="e">
            <v>#REF!</v>
          </cell>
        </row>
        <row r="2071">
          <cell r="T2071" t="e">
            <v>#REF!</v>
          </cell>
        </row>
        <row r="2072">
          <cell r="T2072" t="e">
            <v>#REF!</v>
          </cell>
        </row>
        <row r="2073">
          <cell r="T2073" t="e">
            <v>#REF!</v>
          </cell>
        </row>
        <row r="2074">
          <cell r="T2074" t="e">
            <v>#REF!</v>
          </cell>
        </row>
        <row r="2075">
          <cell r="T2075" t="e">
            <v>#REF!</v>
          </cell>
        </row>
        <row r="2076">
          <cell r="T2076" t="e">
            <v>#REF!</v>
          </cell>
        </row>
        <row r="2077">
          <cell r="T2077" t="e">
            <v>#REF!</v>
          </cell>
        </row>
        <row r="2078">
          <cell r="T2078" t="e">
            <v>#REF!</v>
          </cell>
        </row>
        <row r="2079">
          <cell r="T2079" t="e">
            <v>#REF!</v>
          </cell>
        </row>
        <row r="2080">
          <cell r="T2080" t="e">
            <v>#REF!</v>
          </cell>
        </row>
        <row r="2081">
          <cell r="T2081" t="e">
            <v>#REF!</v>
          </cell>
        </row>
        <row r="2082">
          <cell r="T2082" t="e">
            <v>#REF!</v>
          </cell>
        </row>
        <row r="2083">
          <cell r="T2083" t="e">
            <v>#REF!</v>
          </cell>
        </row>
        <row r="2084">
          <cell r="T2084" t="e">
            <v>#REF!</v>
          </cell>
        </row>
        <row r="2085">
          <cell r="T2085" t="e">
            <v>#REF!</v>
          </cell>
        </row>
        <row r="2086">
          <cell r="T2086" t="e">
            <v>#REF!</v>
          </cell>
        </row>
        <row r="2087">
          <cell r="T2087" t="e">
            <v>#REF!</v>
          </cell>
        </row>
        <row r="2088">
          <cell r="T2088" t="e">
            <v>#REF!</v>
          </cell>
        </row>
        <row r="2089">
          <cell r="T2089" t="e">
            <v>#REF!</v>
          </cell>
        </row>
        <row r="2090">
          <cell r="T2090" t="e">
            <v>#REF!</v>
          </cell>
        </row>
        <row r="2091">
          <cell r="T2091" t="e">
            <v>#REF!</v>
          </cell>
        </row>
        <row r="2092">
          <cell r="T2092" t="e">
            <v>#REF!</v>
          </cell>
        </row>
        <row r="2093">
          <cell r="T2093" t="e">
            <v>#REF!</v>
          </cell>
        </row>
        <row r="2094">
          <cell r="T2094" t="e">
            <v>#REF!</v>
          </cell>
        </row>
        <row r="2095">
          <cell r="T2095" t="e">
            <v>#REF!</v>
          </cell>
        </row>
        <row r="2096">
          <cell r="T2096" t="e">
            <v>#REF!</v>
          </cell>
        </row>
        <row r="2097">
          <cell r="T2097" t="e">
            <v>#REF!</v>
          </cell>
        </row>
        <row r="2098">
          <cell r="T2098" t="e">
            <v>#REF!</v>
          </cell>
        </row>
        <row r="2099">
          <cell r="T2099" t="e">
            <v>#REF!</v>
          </cell>
        </row>
        <row r="2100">
          <cell r="T2100" t="e">
            <v>#REF!</v>
          </cell>
        </row>
        <row r="2101">
          <cell r="T2101" t="e">
            <v>#REF!</v>
          </cell>
        </row>
        <row r="2102">
          <cell r="T2102" t="e">
            <v>#REF!</v>
          </cell>
        </row>
        <row r="2103">
          <cell r="T2103" t="e">
            <v>#REF!</v>
          </cell>
        </row>
        <row r="2104">
          <cell r="T2104" t="e">
            <v>#REF!</v>
          </cell>
        </row>
        <row r="2105">
          <cell r="T2105" t="e">
            <v>#REF!</v>
          </cell>
        </row>
        <row r="2106">
          <cell r="T2106" t="e">
            <v>#REF!</v>
          </cell>
        </row>
        <row r="2107">
          <cell r="T2107" t="e">
            <v>#REF!</v>
          </cell>
        </row>
        <row r="2108">
          <cell r="T2108" t="e">
            <v>#REF!</v>
          </cell>
        </row>
        <row r="2109">
          <cell r="T2109" t="e">
            <v>#REF!</v>
          </cell>
        </row>
        <row r="2110">
          <cell r="T2110" t="e">
            <v>#REF!</v>
          </cell>
        </row>
        <row r="2111">
          <cell r="T2111" t="e">
            <v>#REF!</v>
          </cell>
        </row>
        <row r="2112">
          <cell r="T2112" t="e">
            <v>#REF!</v>
          </cell>
        </row>
        <row r="2113">
          <cell r="T2113" t="e">
            <v>#REF!</v>
          </cell>
        </row>
        <row r="2114">
          <cell r="T2114" t="e">
            <v>#REF!</v>
          </cell>
        </row>
        <row r="2115">
          <cell r="T2115" t="e">
            <v>#REF!</v>
          </cell>
        </row>
        <row r="2116">
          <cell r="T2116" t="e">
            <v>#REF!</v>
          </cell>
        </row>
        <row r="2117">
          <cell r="T2117" t="e">
            <v>#REF!</v>
          </cell>
        </row>
        <row r="2118">
          <cell r="T2118" t="e">
            <v>#REF!</v>
          </cell>
        </row>
        <row r="2119">
          <cell r="T2119" t="e">
            <v>#REF!</v>
          </cell>
        </row>
        <row r="2120">
          <cell r="T2120" t="e">
            <v>#REF!</v>
          </cell>
        </row>
        <row r="2121">
          <cell r="T2121" t="e">
            <v>#REF!</v>
          </cell>
        </row>
        <row r="2122">
          <cell r="T2122" t="e">
            <v>#REF!</v>
          </cell>
        </row>
        <row r="2123">
          <cell r="T2123" t="e">
            <v>#REF!</v>
          </cell>
        </row>
        <row r="2124">
          <cell r="T2124" t="e">
            <v>#REF!</v>
          </cell>
        </row>
        <row r="2125">
          <cell r="T2125" t="e">
            <v>#REF!</v>
          </cell>
        </row>
        <row r="2126">
          <cell r="T2126" t="e">
            <v>#REF!</v>
          </cell>
        </row>
        <row r="2127">
          <cell r="T2127" t="e">
            <v>#REF!</v>
          </cell>
        </row>
        <row r="2128">
          <cell r="T2128" t="e">
            <v>#REF!</v>
          </cell>
        </row>
        <row r="2129">
          <cell r="T2129" t="e">
            <v>#REF!</v>
          </cell>
        </row>
        <row r="2130">
          <cell r="T2130" t="e">
            <v>#REF!</v>
          </cell>
        </row>
        <row r="2131">
          <cell r="T2131" t="e">
            <v>#REF!</v>
          </cell>
        </row>
        <row r="2132">
          <cell r="T2132" t="e">
            <v>#REF!</v>
          </cell>
        </row>
        <row r="2133">
          <cell r="T2133" t="e">
            <v>#REF!</v>
          </cell>
        </row>
        <row r="2134">
          <cell r="T2134" t="e">
            <v>#REF!</v>
          </cell>
        </row>
        <row r="2135">
          <cell r="T2135" t="e">
            <v>#REF!</v>
          </cell>
        </row>
        <row r="2136">
          <cell r="T2136" t="e">
            <v>#REF!</v>
          </cell>
        </row>
        <row r="2137">
          <cell r="T2137" t="e">
            <v>#REF!</v>
          </cell>
        </row>
        <row r="2138">
          <cell r="T2138" t="e">
            <v>#REF!</v>
          </cell>
        </row>
        <row r="2139">
          <cell r="T2139" t="e">
            <v>#REF!</v>
          </cell>
        </row>
        <row r="2140">
          <cell r="T2140" t="e">
            <v>#REF!</v>
          </cell>
        </row>
        <row r="2141">
          <cell r="T2141" t="e">
            <v>#REF!</v>
          </cell>
        </row>
        <row r="2142">
          <cell r="T2142" t="e">
            <v>#REF!</v>
          </cell>
        </row>
        <row r="2143">
          <cell r="T2143" t="e">
            <v>#REF!</v>
          </cell>
        </row>
        <row r="2144">
          <cell r="T2144" t="e">
            <v>#REF!</v>
          </cell>
        </row>
        <row r="2145">
          <cell r="T2145" t="e">
            <v>#REF!</v>
          </cell>
        </row>
        <row r="2146">
          <cell r="T2146" t="e">
            <v>#REF!</v>
          </cell>
        </row>
        <row r="2147">
          <cell r="T2147" t="e">
            <v>#REF!</v>
          </cell>
        </row>
        <row r="2148">
          <cell r="T2148" t="e">
            <v>#REF!</v>
          </cell>
        </row>
        <row r="2149">
          <cell r="T2149" t="e">
            <v>#REF!</v>
          </cell>
        </row>
        <row r="2150">
          <cell r="T2150" t="e">
            <v>#REF!</v>
          </cell>
        </row>
        <row r="2151">
          <cell r="T2151" t="e">
            <v>#REF!</v>
          </cell>
        </row>
        <row r="2152">
          <cell r="T2152" t="e">
            <v>#REF!</v>
          </cell>
        </row>
        <row r="2153">
          <cell r="T2153" t="e">
            <v>#REF!</v>
          </cell>
        </row>
        <row r="2154">
          <cell r="T2154" t="e">
            <v>#REF!</v>
          </cell>
        </row>
        <row r="2155">
          <cell r="T2155" t="e">
            <v>#REF!</v>
          </cell>
        </row>
        <row r="2156">
          <cell r="T2156" t="e">
            <v>#REF!</v>
          </cell>
        </row>
        <row r="2157">
          <cell r="T2157" t="e">
            <v>#REF!</v>
          </cell>
        </row>
        <row r="2158">
          <cell r="T2158" t="e">
            <v>#REF!</v>
          </cell>
        </row>
        <row r="2159">
          <cell r="T2159" t="e">
            <v>#REF!</v>
          </cell>
        </row>
        <row r="2160">
          <cell r="T2160" t="e">
            <v>#REF!</v>
          </cell>
        </row>
        <row r="2161">
          <cell r="T2161" t="e">
            <v>#REF!</v>
          </cell>
        </row>
        <row r="2162">
          <cell r="T2162" t="e">
            <v>#REF!</v>
          </cell>
        </row>
        <row r="2163">
          <cell r="T2163" t="e">
            <v>#REF!</v>
          </cell>
        </row>
        <row r="2164">
          <cell r="T2164" t="e">
            <v>#REF!</v>
          </cell>
        </row>
        <row r="2165">
          <cell r="T2165" t="e">
            <v>#REF!</v>
          </cell>
        </row>
        <row r="2166">
          <cell r="T2166" t="e">
            <v>#REF!</v>
          </cell>
        </row>
        <row r="2167">
          <cell r="T2167" t="e">
            <v>#REF!</v>
          </cell>
        </row>
        <row r="2168">
          <cell r="T2168" t="e">
            <v>#REF!</v>
          </cell>
        </row>
        <row r="2169">
          <cell r="T2169" t="e">
            <v>#REF!</v>
          </cell>
        </row>
        <row r="2170">
          <cell r="T2170" t="e">
            <v>#REF!</v>
          </cell>
        </row>
        <row r="2171">
          <cell r="T2171" t="e">
            <v>#REF!</v>
          </cell>
        </row>
        <row r="2172">
          <cell r="T2172" t="e">
            <v>#REF!</v>
          </cell>
        </row>
        <row r="2173">
          <cell r="T2173" t="e">
            <v>#REF!</v>
          </cell>
        </row>
        <row r="2174">
          <cell r="T2174" t="e">
            <v>#REF!</v>
          </cell>
        </row>
        <row r="2175">
          <cell r="T2175" t="e">
            <v>#REF!</v>
          </cell>
        </row>
        <row r="2176">
          <cell r="T2176" t="e">
            <v>#REF!</v>
          </cell>
        </row>
        <row r="2177">
          <cell r="T2177" t="e">
            <v>#REF!</v>
          </cell>
        </row>
        <row r="2178">
          <cell r="T2178" t="e">
            <v>#REF!</v>
          </cell>
        </row>
        <row r="2179">
          <cell r="T2179" t="e">
            <v>#REF!</v>
          </cell>
        </row>
        <row r="2180">
          <cell r="T2180" t="e">
            <v>#REF!</v>
          </cell>
        </row>
        <row r="2181">
          <cell r="T2181" t="e">
            <v>#REF!</v>
          </cell>
        </row>
        <row r="2182">
          <cell r="T2182" t="e">
            <v>#REF!</v>
          </cell>
        </row>
        <row r="2183">
          <cell r="T2183" t="e">
            <v>#REF!</v>
          </cell>
        </row>
        <row r="2184">
          <cell r="T2184" t="e">
            <v>#REF!</v>
          </cell>
        </row>
        <row r="2185">
          <cell r="T2185" t="e">
            <v>#REF!</v>
          </cell>
        </row>
        <row r="2186">
          <cell r="T2186" t="e">
            <v>#REF!</v>
          </cell>
        </row>
        <row r="2187">
          <cell r="T2187" t="e">
            <v>#REF!</v>
          </cell>
        </row>
        <row r="2188">
          <cell r="T2188" t="e">
            <v>#REF!</v>
          </cell>
        </row>
        <row r="2189">
          <cell r="T2189" t="e">
            <v>#REF!</v>
          </cell>
        </row>
        <row r="2190">
          <cell r="T2190" t="e">
            <v>#REF!</v>
          </cell>
        </row>
        <row r="2191">
          <cell r="T2191" t="e">
            <v>#REF!</v>
          </cell>
        </row>
        <row r="2192">
          <cell r="T2192" t="e">
            <v>#REF!</v>
          </cell>
        </row>
        <row r="2193">
          <cell r="T2193" t="e">
            <v>#REF!</v>
          </cell>
        </row>
        <row r="2194">
          <cell r="T2194" t="e">
            <v>#REF!</v>
          </cell>
        </row>
        <row r="2195">
          <cell r="T2195" t="e">
            <v>#REF!</v>
          </cell>
        </row>
        <row r="2196">
          <cell r="T2196" t="e">
            <v>#REF!</v>
          </cell>
        </row>
        <row r="2197">
          <cell r="T2197" t="e">
            <v>#REF!</v>
          </cell>
        </row>
        <row r="2198">
          <cell r="T2198" t="e">
            <v>#REF!</v>
          </cell>
        </row>
        <row r="2199">
          <cell r="T2199" t="e">
            <v>#REF!</v>
          </cell>
        </row>
        <row r="2200">
          <cell r="T2200" t="e">
            <v>#REF!</v>
          </cell>
        </row>
        <row r="2201">
          <cell r="T2201" t="e">
            <v>#REF!</v>
          </cell>
        </row>
        <row r="2202">
          <cell r="T2202" t="e">
            <v>#REF!</v>
          </cell>
        </row>
        <row r="2203">
          <cell r="T2203" t="e">
            <v>#REF!</v>
          </cell>
        </row>
        <row r="2204">
          <cell r="T2204" t="e">
            <v>#REF!</v>
          </cell>
        </row>
        <row r="2205">
          <cell r="T2205" t="e">
            <v>#REF!</v>
          </cell>
        </row>
        <row r="2206">
          <cell r="T2206" t="e">
            <v>#REF!</v>
          </cell>
        </row>
        <row r="2207">
          <cell r="T2207" t="e">
            <v>#REF!</v>
          </cell>
        </row>
        <row r="2208">
          <cell r="T2208" t="e">
            <v>#REF!</v>
          </cell>
        </row>
        <row r="2209">
          <cell r="T2209" t="e">
            <v>#REF!</v>
          </cell>
        </row>
        <row r="2210">
          <cell r="T2210" t="e">
            <v>#REF!</v>
          </cell>
        </row>
        <row r="2211">
          <cell r="T2211" t="e">
            <v>#REF!</v>
          </cell>
        </row>
        <row r="2212">
          <cell r="T2212" t="e">
            <v>#REF!</v>
          </cell>
        </row>
        <row r="2213">
          <cell r="T2213" t="e">
            <v>#REF!</v>
          </cell>
        </row>
        <row r="2214">
          <cell r="T2214" t="e">
            <v>#REF!</v>
          </cell>
        </row>
        <row r="2215">
          <cell r="T2215" t="e">
            <v>#REF!</v>
          </cell>
        </row>
        <row r="2216">
          <cell r="T2216" t="e">
            <v>#REF!</v>
          </cell>
        </row>
        <row r="2217">
          <cell r="T2217" t="e">
            <v>#REF!</v>
          </cell>
        </row>
        <row r="2218">
          <cell r="T2218" t="e">
            <v>#REF!</v>
          </cell>
        </row>
        <row r="2219">
          <cell r="T2219" t="e">
            <v>#REF!</v>
          </cell>
        </row>
        <row r="2220">
          <cell r="T2220" t="e">
            <v>#REF!</v>
          </cell>
        </row>
        <row r="2221">
          <cell r="T2221" t="e">
            <v>#REF!</v>
          </cell>
        </row>
        <row r="2222">
          <cell r="T2222" t="e">
            <v>#REF!</v>
          </cell>
        </row>
        <row r="2223">
          <cell r="T2223" t="e">
            <v>#REF!</v>
          </cell>
        </row>
        <row r="2224">
          <cell r="T2224" t="e">
            <v>#REF!</v>
          </cell>
        </row>
        <row r="2225">
          <cell r="T2225" t="e">
            <v>#REF!</v>
          </cell>
        </row>
        <row r="2226">
          <cell r="T2226" t="e">
            <v>#REF!</v>
          </cell>
        </row>
        <row r="2227">
          <cell r="T2227" t="e">
            <v>#REF!</v>
          </cell>
        </row>
        <row r="2228">
          <cell r="T2228" t="e">
            <v>#REF!</v>
          </cell>
        </row>
        <row r="2229">
          <cell r="T2229" t="e">
            <v>#REF!</v>
          </cell>
        </row>
        <row r="2230">
          <cell r="T2230" t="e">
            <v>#REF!</v>
          </cell>
        </row>
        <row r="2231">
          <cell r="T2231" t="e">
            <v>#REF!</v>
          </cell>
        </row>
        <row r="2232">
          <cell r="T2232" t="e">
            <v>#REF!</v>
          </cell>
        </row>
        <row r="2233">
          <cell r="T2233" t="e">
            <v>#REF!</v>
          </cell>
        </row>
        <row r="2234">
          <cell r="T2234" t="e">
            <v>#REF!</v>
          </cell>
        </row>
        <row r="2235">
          <cell r="T2235" t="e">
            <v>#REF!</v>
          </cell>
        </row>
        <row r="2236">
          <cell r="T2236" t="e">
            <v>#REF!</v>
          </cell>
        </row>
        <row r="2237">
          <cell r="T2237" t="e">
            <v>#REF!</v>
          </cell>
        </row>
        <row r="2238">
          <cell r="T2238" t="e">
            <v>#REF!</v>
          </cell>
        </row>
        <row r="2239">
          <cell r="T2239" t="e">
            <v>#REF!</v>
          </cell>
        </row>
        <row r="2240">
          <cell r="T2240" t="e">
            <v>#REF!</v>
          </cell>
        </row>
        <row r="2241">
          <cell r="T2241" t="e">
            <v>#REF!</v>
          </cell>
        </row>
        <row r="2242">
          <cell r="T2242" t="e">
            <v>#REF!</v>
          </cell>
        </row>
        <row r="2243">
          <cell r="T2243" t="e">
            <v>#REF!</v>
          </cell>
        </row>
        <row r="2244">
          <cell r="T2244" t="e">
            <v>#REF!</v>
          </cell>
        </row>
        <row r="2245">
          <cell r="T2245" t="e">
            <v>#REF!</v>
          </cell>
        </row>
        <row r="2246">
          <cell r="T2246" t="e">
            <v>#REF!</v>
          </cell>
        </row>
        <row r="2247">
          <cell r="T2247" t="e">
            <v>#REF!</v>
          </cell>
        </row>
        <row r="2248">
          <cell r="T2248" t="e">
            <v>#REF!</v>
          </cell>
        </row>
        <row r="2249">
          <cell r="T2249" t="e">
            <v>#REF!</v>
          </cell>
        </row>
        <row r="2250">
          <cell r="T2250" t="e">
            <v>#REF!</v>
          </cell>
        </row>
        <row r="2251">
          <cell r="T2251" t="e">
            <v>#REF!</v>
          </cell>
        </row>
        <row r="2252">
          <cell r="T2252" t="e">
            <v>#REF!</v>
          </cell>
        </row>
        <row r="2253">
          <cell r="T2253" t="e">
            <v>#REF!</v>
          </cell>
        </row>
        <row r="2254">
          <cell r="T2254" t="e">
            <v>#REF!</v>
          </cell>
        </row>
        <row r="2255">
          <cell r="T2255" t="e">
            <v>#REF!</v>
          </cell>
        </row>
        <row r="2256">
          <cell r="T2256" t="e">
            <v>#REF!</v>
          </cell>
        </row>
        <row r="2257">
          <cell r="T2257" t="e">
            <v>#REF!</v>
          </cell>
        </row>
        <row r="2258">
          <cell r="T2258" t="e">
            <v>#REF!</v>
          </cell>
        </row>
        <row r="2259">
          <cell r="T2259" t="e">
            <v>#REF!</v>
          </cell>
        </row>
        <row r="2260">
          <cell r="T2260" t="e">
            <v>#REF!</v>
          </cell>
        </row>
        <row r="2261">
          <cell r="T2261" t="e">
            <v>#REF!</v>
          </cell>
        </row>
        <row r="2262">
          <cell r="T2262" t="e">
            <v>#REF!</v>
          </cell>
        </row>
        <row r="2263">
          <cell r="T2263" t="e">
            <v>#REF!</v>
          </cell>
        </row>
        <row r="2264">
          <cell r="T2264" t="e">
            <v>#REF!</v>
          </cell>
        </row>
        <row r="2265">
          <cell r="T2265" t="e">
            <v>#REF!</v>
          </cell>
        </row>
        <row r="2266">
          <cell r="T2266" t="e">
            <v>#REF!</v>
          </cell>
        </row>
        <row r="2267">
          <cell r="T2267" t="e">
            <v>#REF!</v>
          </cell>
        </row>
        <row r="2268">
          <cell r="T2268" t="e">
            <v>#REF!</v>
          </cell>
        </row>
        <row r="2269">
          <cell r="T2269" t="e">
            <v>#REF!</v>
          </cell>
        </row>
        <row r="2270">
          <cell r="T2270" t="e">
            <v>#REF!</v>
          </cell>
        </row>
        <row r="2271">
          <cell r="T2271" t="e">
            <v>#REF!</v>
          </cell>
        </row>
        <row r="2272">
          <cell r="T2272" t="e">
            <v>#REF!</v>
          </cell>
        </row>
        <row r="2273">
          <cell r="T2273" t="e">
            <v>#REF!</v>
          </cell>
        </row>
        <row r="2274">
          <cell r="T2274" t="e">
            <v>#REF!</v>
          </cell>
        </row>
        <row r="2275">
          <cell r="T2275" t="e">
            <v>#REF!</v>
          </cell>
        </row>
        <row r="2276">
          <cell r="T2276" t="e">
            <v>#REF!</v>
          </cell>
        </row>
        <row r="2277">
          <cell r="T2277" t="e">
            <v>#REF!</v>
          </cell>
        </row>
        <row r="2278">
          <cell r="T2278" t="e">
            <v>#REF!</v>
          </cell>
        </row>
        <row r="2279">
          <cell r="T2279" t="e">
            <v>#REF!</v>
          </cell>
        </row>
        <row r="2280">
          <cell r="T2280" t="e">
            <v>#REF!</v>
          </cell>
        </row>
        <row r="2281">
          <cell r="T2281" t="e">
            <v>#REF!</v>
          </cell>
        </row>
        <row r="2282">
          <cell r="T2282" t="e">
            <v>#REF!</v>
          </cell>
        </row>
        <row r="2283">
          <cell r="T2283" t="e">
            <v>#REF!</v>
          </cell>
        </row>
        <row r="2284">
          <cell r="T2284" t="e">
            <v>#REF!</v>
          </cell>
        </row>
        <row r="2285">
          <cell r="T2285" t="e">
            <v>#REF!</v>
          </cell>
        </row>
        <row r="2286">
          <cell r="T2286" t="e">
            <v>#REF!</v>
          </cell>
        </row>
        <row r="2287">
          <cell r="T2287" t="e">
            <v>#REF!</v>
          </cell>
        </row>
        <row r="2288">
          <cell r="T2288" t="e">
            <v>#REF!</v>
          </cell>
        </row>
        <row r="2289">
          <cell r="T2289" t="e">
            <v>#REF!</v>
          </cell>
        </row>
        <row r="2290">
          <cell r="T2290" t="e">
            <v>#REF!</v>
          </cell>
        </row>
        <row r="2291">
          <cell r="T2291" t="e">
            <v>#REF!</v>
          </cell>
        </row>
        <row r="2292">
          <cell r="T2292" t="e">
            <v>#REF!</v>
          </cell>
        </row>
        <row r="2293">
          <cell r="T2293" t="e">
            <v>#REF!</v>
          </cell>
        </row>
        <row r="2294">
          <cell r="T2294" t="e">
            <v>#REF!</v>
          </cell>
        </row>
        <row r="2295">
          <cell r="T2295" t="e">
            <v>#REF!</v>
          </cell>
        </row>
        <row r="2296">
          <cell r="T2296" t="e">
            <v>#REF!</v>
          </cell>
        </row>
        <row r="2297">
          <cell r="T2297" t="e">
            <v>#REF!</v>
          </cell>
        </row>
        <row r="2298">
          <cell r="T2298" t="e">
            <v>#REF!</v>
          </cell>
        </row>
        <row r="2299">
          <cell r="T2299" t="e">
            <v>#REF!</v>
          </cell>
        </row>
        <row r="2300">
          <cell r="T2300" t="e">
            <v>#REF!</v>
          </cell>
        </row>
        <row r="2301">
          <cell r="T2301" t="e">
            <v>#REF!</v>
          </cell>
        </row>
        <row r="2302">
          <cell r="T2302" t="e">
            <v>#REF!</v>
          </cell>
        </row>
        <row r="2303">
          <cell r="T2303" t="e">
            <v>#REF!</v>
          </cell>
        </row>
        <row r="2304">
          <cell r="T2304" t="e">
            <v>#REF!</v>
          </cell>
        </row>
        <row r="2305">
          <cell r="T2305" t="e">
            <v>#REF!</v>
          </cell>
        </row>
        <row r="2306">
          <cell r="T2306" t="e">
            <v>#REF!</v>
          </cell>
        </row>
        <row r="2307">
          <cell r="T2307" t="e">
            <v>#REF!</v>
          </cell>
        </row>
        <row r="2308">
          <cell r="T2308" t="e">
            <v>#REF!</v>
          </cell>
        </row>
        <row r="2309">
          <cell r="T2309" t="e">
            <v>#REF!</v>
          </cell>
        </row>
        <row r="2310">
          <cell r="T2310" t="e">
            <v>#REF!</v>
          </cell>
        </row>
        <row r="2311">
          <cell r="T2311" t="e">
            <v>#REF!</v>
          </cell>
        </row>
        <row r="2312">
          <cell r="T2312" t="e">
            <v>#REF!</v>
          </cell>
        </row>
        <row r="2313">
          <cell r="T2313" t="e">
            <v>#REF!</v>
          </cell>
        </row>
        <row r="2314">
          <cell r="T2314" t="e">
            <v>#REF!</v>
          </cell>
        </row>
        <row r="2315">
          <cell r="T2315" t="e">
            <v>#REF!</v>
          </cell>
        </row>
        <row r="2316">
          <cell r="T2316" t="e">
            <v>#REF!</v>
          </cell>
        </row>
        <row r="2317">
          <cell r="T2317" t="e">
            <v>#REF!</v>
          </cell>
        </row>
        <row r="2318">
          <cell r="T2318" t="e">
            <v>#REF!</v>
          </cell>
        </row>
        <row r="2319">
          <cell r="T2319" t="e">
            <v>#REF!</v>
          </cell>
        </row>
        <row r="2320">
          <cell r="T2320" t="e">
            <v>#REF!</v>
          </cell>
        </row>
        <row r="2321">
          <cell r="T2321" t="e">
            <v>#REF!</v>
          </cell>
        </row>
        <row r="2322">
          <cell r="T2322" t="e">
            <v>#REF!</v>
          </cell>
        </row>
        <row r="2323">
          <cell r="T2323" t="e">
            <v>#REF!</v>
          </cell>
        </row>
        <row r="2324">
          <cell r="T2324" t="e">
            <v>#REF!</v>
          </cell>
        </row>
        <row r="2325">
          <cell r="T2325" t="e">
            <v>#REF!</v>
          </cell>
        </row>
        <row r="2326">
          <cell r="T2326" t="e">
            <v>#REF!</v>
          </cell>
        </row>
        <row r="2327">
          <cell r="T2327" t="e">
            <v>#REF!</v>
          </cell>
        </row>
        <row r="2328">
          <cell r="T2328" t="e">
            <v>#REF!</v>
          </cell>
        </row>
        <row r="2329">
          <cell r="T2329" t="e">
            <v>#REF!</v>
          </cell>
        </row>
        <row r="2330">
          <cell r="T2330" t="e">
            <v>#REF!</v>
          </cell>
        </row>
        <row r="2331">
          <cell r="T2331" t="e">
            <v>#REF!</v>
          </cell>
        </row>
        <row r="2332">
          <cell r="T2332" t="e">
            <v>#REF!</v>
          </cell>
        </row>
        <row r="2333">
          <cell r="T2333" t="e">
            <v>#REF!</v>
          </cell>
        </row>
        <row r="2334">
          <cell r="T2334" t="e">
            <v>#REF!</v>
          </cell>
        </row>
        <row r="2335">
          <cell r="T2335" t="e">
            <v>#REF!</v>
          </cell>
        </row>
        <row r="2336">
          <cell r="T2336" t="e">
            <v>#REF!</v>
          </cell>
        </row>
        <row r="2337">
          <cell r="T2337" t="e">
            <v>#REF!</v>
          </cell>
        </row>
        <row r="2338">
          <cell r="T2338" t="e">
            <v>#REF!</v>
          </cell>
        </row>
        <row r="2339">
          <cell r="T2339" t="e">
            <v>#REF!</v>
          </cell>
        </row>
        <row r="2340">
          <cell r="T2340" t="e">
            <v>#REF!</v>
          </cell>
        </row>
        <row r="2341">
          <cell r="T2341" t="e">
            <v>#REF!</v>
          </cell>
        </row>
        <row r="2342">
          <cell r="T2342" t="e">
            <v>#REF!</v>
          </cell>
        </row>
        <row r="2343">
          <cell r="T2343" t="e">
            <v>#REF!</v>
          </cell>
        </row>
        <row r="2344">
          <cell r="T2344" t="e">
            <v>#REF!</v>
          </cell>
        </row>
        <row r="2345">
          <cell r="T2345" t="e">
            <v>#REF!</v>
          </cell>
        </row>
        <row r="2346">
          <cell r="T2346" t="e">
            <v>#REF!</v>
          </cell>
        </row>
        <row r="2347">
          <cell r="T2347" t="e">
            <v>#REF!</v>
          </cell>
        </row>
        <row r="2348">
          <cell r="T2348" t="e">
            <v>#REF!</v>
          </cell>
        </row>
        <row r="2349">
          <cell r="T2349" t="e">
            <v>#REF!</v>
          </cell>
        </row>
        <row r="2350">
          <cell r="T2350" t="e">
            <v>#REF!</v>
          </cell>
        </row>
        <row r="2351">
          <cell r="T2351" t="e">
            <v>#REF!</v>
          </cell>
        </row>
        <row r="2352">
          <cell r="T2352" t="e">
            <v>#REF!</v>
          </cell>
        </row>
        <row r="2353">
          <cell r="T2353" t="e">
            <v>#REF!</v>
          </cell>
        </row>
        <row r="2354">
          <cell r="T2354" t="e">
            <v>#REF!</v>
          </cell>
        </row>
        <row r="2355">
          <cell r="T2355" t="e">
            <v>#REF!</v>
          </cell>
        </row>
        <row r="2356">
          <cell r="T2356" t="e">
            <v>#REF!</v>
          </cell>
        </row>
        <row r="2357">
          <cell r="T2357" t="e">
            <v>#REF!</v>
          </cell>
        </row>
        <row r="2358">
          <cell r="T2358" t="e">
            <v>#REF!</v>
          </cell>
        </row>
        <row r="2359">
          <cell r="T2359" t="e">
            <v>#REF!</v>
          </cell>
        </row>
        <row r="2360">
          <cell r="T2360" t="e">
            <v>#REF!</v>
          </cell>
        </row>
        <row r="2361">
          <cell r="T2361" t="e">
            <v>#REF!</v>
          </cell>
        </row>
        <row r="2362">
          <cell r="T2362" t="e">
            <v>#REF!</v>
          </cell>
        </row>
        <row r="2363">
          <cell r="T2363" t="e">
            <v>#REF!</v>
          </cell>
        </row>
        <row r="2364">
          <cell r="T2364" t="e">
            <v>#REF!</v>
          </cell>
        </row>
        <row r="2365">
          <cell r="T2365" t="e">
            <v>#REF!</v>
          </cell>
        </row>
        <row r="2366">
          <cell r="T2366" t="e">
            <v>#REF!</v>
          </cell>
        </row>
        <row r="2367">
          <cell r="T2367" t="e">
            <v>#REF!</v>
          </cell>
        </row>
        <row r="2368">
          <cell r="T2368" t="e">
            <v>#REF!</v>
          </cell>
        </row>
        <row r="2369">
          <cell r="T2369" t="e">
            <v>#REF!</v>
          </cell>
        </row>
        <row r="2370">
          <cell r="T2370" t="e">
            <v>#REF!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O"/>
      <sheetName val="FORMULA"/>
      <sheetName val="DONADORES"/>
      <sheetName val="IRAPUATO"/>
      <sheetName val="anexo_2"/>
      <sheetName val="ANEXO 5 GASTOS INGRESOS"/>
      <sheetName val="conciliacion"/>
      <sheetName val="poliza"/>
      <sheetName val="orden de compra"/>
    </sheetNames>
    <sheetDataSet>
      <sheetData sheetId="0"/>
      <sheetData sheetId="1"/>
      <sheetData sheetId="2">
        <row r="1">
          <cell r="B1" t="str">
            <v>Alejandro Manuel Mota Saldaña</v>
          </cell>
        </row>
        <row r="2">
          <cell r="B2" t="str">
            <v>Alfredo Chavez Ramirez</v>
          </cell>
        </row>
        <row r="3">
          <cell r="B3" t="str">
            <v>Antonio ibarra Ortega</v>
          </cell>
        </row>
        <row r="4">
          <cell r="B4" t="str">
            <v>Antonio Sanchez Galvan</v>
          </cell>
        </row>
        <row r="5">
          <cell r="B5" t="str">
            <v>Arturo Valladolid Romero</v>
          </cell>
        </row>
        <row r="6">
          <cell r="B6" t="str">
            <v>Benjamin Torres Juarez</v>
          </cell>
        </row>
        <row r="7">
          <cell r="B7" t="str">
            <v>Bertha Luna Guevara</v>
          </cell>
        </row>
        <row r="8">
          <cell r="B8" t="str">
            <v>Carlos Cruz ordoñez</v>
          </cell>
        </row>
        <row r="9">
          <cell r="B9" t="str">
            <v>Comercializadora Kromar SA de CV</v>
          </cell>
        </row>
        <row r="10">
          <cell r="B10" t="str">
            <v>Comité de Padre de familia</v>
          </cell>
        </row>
        <row r="11">
          <cell r="B11" t="str">
            <v>Compu Oficinas y Escolares S.A. DE C.V.</v>
          </cell>
        </row>
        <row r="12">
          <cell r="B12" t="str">
            <v>David Ruiz Monrroy</v>
          </cell>
        </row>
        <row r="13">
          <cell r="B13" t="str">
            <v>Distribuidora de peltre y cristaleria sa de cv</v>
          </cell>
        </row>
        <row r="14">
          <cell r="B14" t="str">
            <v>Distribuidora Luna Bautista SA de CV</v>
          </cell>
        </row>
        <row r="15">
          <cell r="B15" t="str">
            <v>Ediciones Culturales internacionales sa de cv</v>
          </cell>
        </row>
        <row r="16">
          <cell r="B16" t="str">
            <v>Ediciones Culturales SA de CV</v>
          </cell>
        </row>
        <row r="17">
          <cell r="B17" t="str">
            <v>Especialistas en Montaje Industrial SA de CV</v>
          </cell>
        </row>
        <row r="18">
          <cell r="B18" t="str">
            <v>Estrella Sanchez Sierra</v>
          </cell>
        </row>
        <row r="19">
          <cell r="B19" t="str">
            <v>Exhibidores para Todo SA de CV</v>
          </cell>
        </row>
        <row r="20">
          <cell r="B20" t="str">
            <v>Instituto Especializado de Idiomas de Morelia</v>
          </cell>
        </row>
        <row r="21">
          <cell r="B21" t="str">
            <v>Irma Rocio Morales</v>
          </cell>
        </row>
        <row r="22">
          <cell r="B22" t="str">
            <v>Ivonne Yussin Santoyo</v>
          </cell>
        </row>
        <row r="23">
          <cell r="B23" t="str">
            <v>Javier Alejandro Ibañez Hernandez</v>
          </cell>
        </row>
        <row r="24">
          <cell r="B24" t="str">
            <v>Jesus Arturo Pimentel Rodriguez</v>
          </cell>
        </row>
        <row r="25">
          <cell r="B25" t="str">
            <v>Jose Adrian Gallegos Sanchez</v>
          </cell>
        </row>
        <row r="26">
          <cell r="B26" t="str">
            <v>Jose Antonio Garcia Rodriguez</v>
          </cell>
        </row>
        <row r="27">
          <cell r="B27" t="str">
            <v>Jose Asrian Gallegos Sanchez</v>
          </cell>
        </row>
        <row r="28">
          <cell r="B28" t="str">
            <v>Jose Eduardo Solorio Reyes</v>
          </cell>
        </row>
        <row r="29">
          <cell r="B29" t="str">
            <v>Jose Juan Gonzalez Jimenez</v>
          </cell>
        </row>
        <row r="30">
          <cell r="B30" t="str">
            <v>Jose Quesaza Gutierrez</v>
          </cell>
        </row>
        <row r="31">
          <cell r="B31" t="str">
            <v>Jose Rios Castillo</v>
          </cell>
        </row>
        <row r="32">
          <cell r="B32" t="str">
            <v>Jose Saul Saldaña Nunez</v>
          </cell>
        </row>
        <row r="33">
          <cell r="B33" t="str">
            <v>Josefina Benites Contreras</v>
          </cell>
        </row>
        <row r="34">
          <cell r="B34" t="str">
            <v>Juan Alberto Rodriguez Sanchez</v>
          </cell>
        </row>
        <row r="35">
          <cell r="B35" t="str">
            <v>Juan Gregorio Torres Leyva</v>
          </cell>
        </row>
        <row r="36">
          <cell r="B36" t="str">
            <v>Luis Enrique Gonzalez Arenas.</v>
          </cell>
        </row>
        <row r="37">
          <cell r="B37" t="str">
            <v>Luis Samuel Lemus Bernardino</v>
          </cell>
        </row>
        <row r="38">
          <cell r="B38" t="str">
            <v>Ma. Del Carmen Valenzuela Cervantes</v>
          </cell>
        </row>
        <row r="39">
          <cell r="B39" t="str">
            <v>Maria de la Luz Alicia Aguilar Torres</v>
          </cell>
        </row>
        <row r="40">
          <cell r="B40" t="str">
            <v>Maria de Lourdes Ambriz Diaz</v>
          </cell>
        </row>
        <row r="41">
          <cell r="B41" t="str">
            <v>Maria de Lourdes Lopez Perez</v>
          </cell>
        </row>
        <row r="42">
          <cell r="B42" t="str">
            <v>Maria Guadalupe Guzman Cardenas</v>
          </cell>
        </row>
        <row r="43">
          <cell r="B43" t="str">
            <v>Mario Aguilera Camarillo</v>
          </cell>
        </row>
        <row r="44">
          <cell r="B44" t="str">
            <v>Martin Barajas Leon</v>
          </cell>
        </row>
        <row r="45">
          <cell r="B45" t="str">
            <v>Misael Cordova Luna</v>
          </cell>
        </row>
        <row r="46">
          <cell r="B46" t="str">
            <v>Moises Ruben Soto Cabrera</v>
          </cell>
        </row>
        <row r="47">
          <cell r="B47" t="str">
            <v>Ovando Ponce Guadalupe</v>
          </cell>
        </row>
        <row r="48">
          <cell r="B48" t="str">
            <v>Pedro Archivaldo Vargas Martinez</v>
          </cell>
        </row>
        <row r="49">
          <cell r="B49" t="str">
            <v>Presidencia Municipal de Peblo Nuevo</v>
          </cell>
        </row>
        <row r="50">
          <cell r="B50" t="str">
            <v>Presidencia Municipla de Abasolo</v>
          </cell>
        </row>
        <row r="51">
          <cell r="B51" t="str">
            <v>Presidencia Municipla de Cueramaro</v>
          </cell>
        </row>
        <row r="52">
          <cell r="B52" t="str">
            <v>Presidencia Municipla de Huanimaro</v>
          </cell>
        </row>
        <row r="53">
          <cell r="B53" t="str">
            <v>Presidencia Municipla de Irapuato</v>
          </cell>
        </row>
        <row r="54">
          <cell r="B54" t="str">
            <v>Presidencia Municipla de Penjamo</v>
          </cell>
        </row>
        <row r="55">
          <cell r="B55" t="str">
            <v>Presidencia Municipla de Pueblo Nuevo</v>
          </cell>
        </row>
        <row r="56">
          <cell r="B56" t="str">
            <v>Proconse SA de CV</v>
          </cell>
        </row>
        <row r="57">
          <cell r="B57" t="str">
            <v>Ricardo Sanchez Moreno</v>
          </cell>
        </row>
        <row r="58">
          <cell r="B58" t="str">
            <v>Ruben Pichardo Aguiñaga</v>
          </cell>
        </row>
        <row r="59">
          <cell r="B59" t="str">
            <v>Teresita Bautista</v>
          </cell>
        </row>
        <row r="60">
          <cell r="B60" t="str">
            <v>Transportes Turisticos del Bajio SA de CV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LIZA"/>
      <sheetName val="contro"/>
      <sheetName val="DATOS"/>
      <sheetName val="cheque"/>
      <sheetName val="FORMULA"/>
      <sheetName val="FORMULA IVA"/>
      <sheetName val="PRECIOS"/>
      <sheetName val="FORMULA_IVA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52DBC-59DD-4580-AC73-668B0E25E9BE}">
  <dimension ref="A1:AY542"/>
  <sheetViews>
    <sheetView tabSelected="1" topLeftCell="A6" zoomScaleNormal="100" workbookViewId="0">
      <selection activeCell="J12" sqref="J12"/>
    </sheetView>
  </sheetViews>
  <sheetFormatPr baseColWidth="10" defaultColWidth="11.44140625" defaultRowHeight="14.4" x14ac:dyDescent="0.3"/>
  <cols>
    <col min="1" max="1" width="11.44140625" style="160"/>
    <col min="2" max="2" width="39.33203125" style="160" customWidth="1"/>
    <col min="3" max="3" width="15.44140625" style="160" bestFit="1" customWidth="1"/>
    <col min="4" max="4" width="15.44140625" style="160" customWidth="1"/>
    <col min="5" max="5" width="14" style="160" bestFit="1" customWidth="1"/>
    <col min="6" max="6" width="14" style="160" customWidth="1"/>
    <col min="7" max="7" width="67.88671875" style="160" bestFit="1" customWidth="1"/>
    <col min="8" max="8" width="11.44140625" style="160"/>
    <col min="9" max="9" width="34.33203125" style="160" customWidth="1"/>
    <col min="10" max="10" width="15.44140625" style="160" bestFit="1" customWidth="1"/>
    <col min="11" max="11" width="12.6640625" style="160" bestFit="1" customWidth="1"/>
    <col min="12" max="12" width="11.44140625" style="160"/>
    <col min="13" max="13" width="13.33203125" style="160" bestFit="1" customWidth="1"/>
    <col min="14" max="14" width="34" style="160" customWidth="1"/>
    <col min="15" max="15" width="15.44140625" style="160" bestFit="1" customWidth="1"/>
    <col min="16" max="16" width="12.6640625" style="160" bestFit="1" customWidth="1"/>
    <col min="17" max="16384" width="11.44140625" style="160"/>
  </cols>
  <sheetData>
    <row r="1" spans="1:16" x14ac:dyDescent="0.3">
      <c r="A1" s="159" t="s">
        <v>67</v>
      </c>
      <c r="B1" s="260" t="s">
        <v>107</v>
      </c>
      <c r="E1" s="161" t="s">
        <v>68</v>
      </c>
      <c r="F1" s="161"/>
      <c r="G1" s="161">
        <v>2</v>
      </c>
      <c r="I1" s="162" t="s">
        <v>69</v>
      </c>
      <c r="J1" s="230">
        <f>E36</f>
        <v>10057.652399999999</v>
      </c>
    </row>
    <row r="2" spans="1:16" x14ac:dyDescent="0.3">
      <c r="A2" s="159" t="s">
        <v>70</v>
      </c>
      <c r="B2" s="260" t="s">
        <v>108</v>
      </c>
      <c r="I2" s="163" t="s">
        <v>71</v>
      </c>
      <c r="J2" s="231">
        <f>K36*G1</f>
        <v>1855.9999999999998</v>
      </c>
    </row>
    <row r="3" spans="1:16" x14ac:dyDescent="0.3">
      <c r="A3" s="159" t="s">
        <v>72</v>
      </c>
      <c r="B3" s="236"/>
      <c r="I3" s="164" t="s">
        <v>73</v>
      </c>
      <c r="J3" s="232">
        <f>P36</f>
        <v>0</v>
      </c>
    </row>
    <row r="4" spans="1:16" x14ac:dyDescent="0.3">
      <c r="A4" s="159" t="s">
        <v>74</v>
      </c>
      <c r="B4" s="219"/>
      <c r="I4" s="165" t="s">
        <v>75</v>
      </c>
      <c r="J4" s="233">
        <f>SUM(J1:J3)</f>
        <v>11913.652399999999</v>
      </c>
      <c r="K4" s="160" t="s">
        <v>66</v>
      </c>
    </row>
    <row r="5" spans="1:16" x14ac:dyDescent="0.3">
      <c r="A5" s="159"/>
      <c r="B5" s="159"/>
      <c r="I5" s="165" t="s">
        <v>76</v>
      </c>
      <c r="J5" s="234">
        <v>35</v>
      </c>
      <c r="K5" s="166" t="s">
        <v>66</v>
      </c>
    </row>
    <row r="6" spans="1:16" x14ac:dyDescent="0.3">
      <c r="A6" s="159"/>
      <c r="B6" s="159"/>
      <c r="D6" s="168"/>
      <c r="I6" s="167" t="s">
        <v>77</v>
      </c>
      <c r="J6" s="235">
        <f>J4+J7</f>
        <v>16083.43074</v>
      </c>
      <c r="K6" s="203">
        <f>J6/1.16</f>
        <v>13865.0265</v>
      </c>
      <c r="L6" s="160">
        <f>K6*1.2</f>
        <v>16638.031800000001</v>
      </c>
    </row>
    <row r="7" spans="1:16" x14ac:dyDescent="0.3">
      <c r="A7" s="159"/>
      <c r="B7" s="159"/>
      <c r="D7" s="168"/>
      <c r="E7" s="168"/>
      <c r="F7" s="168"/>
      <c r="G7" s="168" t="s">
        <v>66</v>
      </c>
      <c r="I7" s="165" t="s">
        <v>78</v>
      </c>
      <c r="J7" s="234">
        <f>J4*J5%</f>
        <v>4169.7783399999998</v>
      </c>
    </row>
    <row r="8" spans="1:16" x14ac:dyDescent="0.3">
      <c r="G8" s="168" t="str">
        <f>AO409</f>
        <v>(  DIECISEIS  MIL OCHENTA  Y TRES  PESOS,  43/100 M.N.  )</v>
      </c>
      <c r="K8" s="204" t="str">
        <f>AO364</f>
        <v>(  TRECE  MIL OCHOCIENTOS SESENTA  Y CINCO  PESOS,  03/100 M.N.  )</v>
      </c>
    </row>
    <row r="9" spans="1:16" x14ac:dyDescent="0.3">
      <c r="A9" s="266" t="s">
        <v>79</v>
      </c>
      <c r="B9" s="266"/>
      <c r="C9" s="266"/>
      <c r="D9" s="266"/>
      <c r="E9" s="266"/>
      <c r="F9" s="211"/>
      <c r="H9" s="267" t="s">
        <v>80</v>
      </c>
      <c r="I9" s="267"/>
      <c r="J9" s="267"/>
      <c r="K9" s="267"/>
      <c r="M9" s="268" t="s">
        <v>81</v>
      </c>
      <c r="N9" s="268"/>
      <c r="O9" s="268"/>
      <c r="P9" s="268"/>
    </row>
    <row r="10" spans="1:16" x14ac:dyDescent="0.3">
      <c r="A10" s="244" t="s">
        <v>0</v>
      </c>
      <c r="B10" s="169" t="s">
        <v>82</v>
      </c>
      <c r="C10" s="169" t="s">
        <v>83</v>
      </c>
      <c r="D10" s="214" t="s">
        <v>99</v>
      </c>
      <c r="E10" s="169" t="s">
        <v>84</v>
      </c>
      <c r="F10" s="215" t="s">
        <v>100</v>
      </c>
      <c r="H10" s="170" t="s">
        <v>0</v>
      </c>
      <c r="I10" s="170" t="s">
        <v>82</v>
      </c>
      <c r="J10" s="170" t="s">
        <v>83</v>
      </c>
      <c r="K10" s="170" t="s">
        <v>84</v>
      </c>
      <c r="M10" s="171" t="s">
        <v>0</v>
      </c>
      <c r="N10" s="171" t="s">
        <v>82</v>
      </c>
      <c r="O10" s="171" t="s">
        <v>83</v>
      </c>
      <c r="P10" s="171" t="s">
        <v>84</v>
      </c>
    </row>
    <row r="11" spans="1:16" ht="39.6" x14ac:dyDescent="0.3">
      <c r="A11" s="261">
        <v>2</v>
      </c>
      <c r="B11" s="259" t="s">
        <v>121</v>
      </c>
      <c r="C11" s="247">
        <v>895.08</v>
      </c>
      <c r="D11" s="246">
        <f>(C11*J5%)+C11</f>
        <v>1208.3580000000002</v>
      </c>
      <c r="E11" s="246">
        <f>C11*A11</f>
        <v>1790.16</v>
      </c>
      <c r="F11" s="212">
        <f>D11*A11</f>
        <v>2416.7160000000003</v>
      </c>
      <c r="G11" s="224" t="s">
        <v>122</v>
      </c>
      <c r="H11" s="175">
        <v>2</v>
      </c>
      <c r="I11" s="175" t="s">
        <v>85</v>
      </c>
      <c r="J11" s="176">
        <v>400</v>
      </c>
      <c r="K11" s="176">
        <f t="shared" ref="K11:K15" si="0">J11*H11</f>
        <v>800</v>
      </c>
      <c r="L11" s="160" t="s">
        <v>66</v>
      </c>
      <c r="M11" s="177">
        <v>0</v>
      </c>
      <c r="N11" s="177" t="s">
        <v>86</v>
      </c>
      <c r="O11" s="177">
        <v>100</v>
      </c>
      <c r="P11" s="177">
        <f>O11*M11</f>
        <v>0</v>
      </c>
    </row>
    <row r="12" spans="1:16" ht="39.6" x14ac:dyDescent="0.3">
      <c r="A12" s="261">
        <v>2</v>
      </c>
      <c r="B12" s="259" t="s">
        <v>123</v>
      </c>
      <c r="C12" s="247">
        <v>395.39</v>
      </c>
      <c r="D12" s="246">
        <f>(C12*J5%)+C12</f>
        <v>533.77649999999994</v>
      </c>
      <c r="E12" s="246">
        <f>C12*A12</f>
        <v>790.78</v>
      </c>
      <c r="F12" s="212">
        <f>D12*A12</f>
        <v>1067.5529999999999</v>
      </c>
      <c r="G12" s="257" t="s">
        <v>124</v>
      </c>
      <c r="H12" s="175">
        <v>0</v>
      </c>
      <c r="I12" s="175" t="s">
        <v>87</v>
      </c>
      <c r="J12" s="176">
        <v>500</v>
      </c>
      <c r="K12" s="176">
        <f t="shared" si="0"/>
        <v>0</v>
      </c>
      <c r="L12" s="160" t="s">
        <v>66</v>
      </c>
      <c r="M12" s="177">
        <v>0</v>
      </c>
      <c r="N12" s="177" t="s">
        <v>88</v>
      </c>
      <c r="O12" s="177">
        <v>400</v>
      </c>
      <c r="P12" s="177">
        <f>O12*M12</f>
        <v>0</v>
      </c>
    </row>
    <row r="13" spans="1:16" ht="43.2" x14ac:dyDescent="0.3">
      <c r="A13" s="261">
        <v>1</v>
      </c>
      <c r="B13" s="253" t="s">
        <v>110</v>
      </c>
      <c r="C13" s="247">
        <v>785.7</v>
      </c>
      <c r="D13" s="246">
        <f>(C13*J5%)+C13</f>
        <v>1060.6950000000002</v>
      </c>
      <c r="E13" s="246">
        <f>C13*A13</f>
        <v>785.7</v>
      </c>
      <c r="F13" s="212">
        <f>D13*A13</f>
        <v>1060.6950000000002</v>
      </c>
      <c r="G13" s="224" t="s">
        <v>111</v>
      </c>
      <c r="H13" s="175">
        <v>0</v>
      </c>
      <c r="I13" s="175" t="s">
        <v>89</v>
      </c>
      <c r="J13" s="176">
        <f>900*0.05</f>
        <v>45</v>
      </c>
      <c r="K13" s="176">
        <f t="shared" si="0"/>
        <v>0</v>
      </c>
      <c r="L13" s="160" t="s">
        <v>66</v>
      </c>
      <c r="M13" s="177"/>
      <c r="N13" s="177"/>
      <c r="O13" s="177"/>
      <c r="P13" s="177"/>
    </row>
    <row r="14" spans="1:16" ht="43.2" x14ac:dyDescent="0.3">
      <c r="A14" s="261">
        <v>1</v>
      </c>
      <c r="B14" s="253" t="s">
        <v>109</v>
      </c>
      <c r="C14" s="262">
        <v>1392.37</v>
      </c>
      <c r="D14" s="246">
        <f>(C14*J5%)+C14</f>
        <v>1879.6994999999997</v>
      </c>
      <c r="E14" s="246">
        <f t="shared" ref="E14:E21" si="1">C14*A14</f>
        <v>1392.37</v>
      </c>
      <c r="F14" s="212">
        <f t="shared" ref="F14:F33" si="2">D14*A14</f>
        <v>1879.6994999999997</v>
      </c>
      <c r="G14" s="224" t="s">
        <v>112</v>
      </c>
      <c r="H14" s="175"/>
      <c r="I14" s="175"/>
      <c r="J14" s="176"/>
      <c r="K14" s="176">
        <f t="shared" si="0"/>
        <v>0</v>
      </c>
      <c r="M14" s="177"/>
      <c r="N14" s="177"/>
      <c r="O14" s="177"/>
      <c r="P14" s="177">
        <f>O14*M14</f>
        <v>0</v>
      </c>
    </row>
    <row r="15" spans="1:16" ht="43.2" x14ac:dyDescent="0.3">
      <c r="A15" s="261">
        <v>1</v>
      </c>
      <c r="B15" s="254" t="s">
        <v>113</v>
      </c>
      <c r="C15" s="247">
        <v>1813.43</v>
      </c>
      <c r="D15" s="246">
        <f>(C15*J5%)+C15</f>
        <v>2448.1305000000002</v>
      </c>
      <c r="E15" s="246">
        <f t="shared" si="1"/>
        <v>1813.43</v>
      </c>
      <c r="F15" s="212">
        <f>D15*A15</f>
        <v>2448.1305000000002</v>
      </c>
      <c r="G15" s="224" t="s">
        <v>114</v>
      </c>
      <c r="H15" s="175"/>
      <c r="I15" s="175"/>
      <c r="J15" s="176"/>
      <c r="K15" s="176">
        <f t="shared" si="0"/>
        <v>0</v>
      </c>
      <c r="M15" s="177"/>
      <c r="N15" s="177"/>
      <c r="O15" s="177"/>
      <c r="P15" s="177">
        <f>O15*M15</f>
        <v>0</v>
      </c>
    </row>
    <row r="16" spans="1:16" ht="28.8" x14ac:dyDescent="0.3">
      <c r="A16" s="261">
        <v>1</v>
      </c>
      <c r="B16" s="263" t="s">
        <v>115</v>
      </c>
      <c r="C16" s="246">
        <v>1011.78</v>
      </c>
      <c r="D16" s="246">
        <f>(C16*J5%)+C16</f>
        <v>1365.903</v>
      </c>
      <c r="E16" s="246">
        <f>C16*A16</f>
        <v>1011.78</v>
      </c>
      <c r="F16" s="212">
        <f>D16*A16</f>
        <v>1365.903</v>
      </c>
      <c r="G16" s="224" t="s">
        <v>116</v>
      </c>
      <c r="H16" s="175"/>
      <c r="I16" s="175"/>
      <c r="J16" s="176"/>
      <c r="K16" s="176"/>
      <c r="M16" s="177"/>
      <c r="N16" s="177"/>
      <c r="O16" s="177"/>
      <c r="P16" s="177"/>
    </row>
    <row r="17" spans="1:16" ht="43.2" x14ac:dyDescent="0.3">
      <c r="A17" s="261">
        <v>1</v>
      </c>
      <c r="B17" s="264" t="s">
        <v>117</v>
      </c>
      <c r="C17" s="246">
        <v>486.17</v>
      </c>
      <c r="D17" s="246">
        <f>(C17*J5%)+C17</f>
        <v>656.32950000000005</v>
      </c>
      <c r="E17" s="246">
        <f t="shared" si="1"/>
        <v>486.17</v>
      </c>
      <c r="F17" s="212">
        <f t="shared" si="2"/>
        <v>656.32950000000005</v>
      </c>
      <c r="G17" s="224" t="s">
        <v>118</v>
      </c>
      <c r="H17" s="175"/>
      <c r="I17" s="175"/>
      <c r="J17" s="176"/>
      <c r="K17" s="176"/>
      <c r="M17" s="177"/>
      <c r="N17" s="177"/>
      <c r="O17" s="177"/>
      <c r="P17" s="177"/>
    </row>
    <row r="18" spans="1:16" ht="28.8" x14ac:dyDescent="0.3">
      <c r="A18" s="261">
        <v>1</v>
      </c>
      <c r="B18" s="265" t="s">
        <v>119</v>
      </c>
      <c r="C18" s="246">
        <v>600</v>
      </c>
      <c r="D18" s="246">
        <f>(C18*J5%)+C18</f>
        <v>810</v>
      </c>
      <c r="E18" s="246">
        <f t="shared" si="1"/>
        <v>600</v>
      </c>
      <c r="F18" s="248">
        <f t="shared" si="2"/>
        <v>810</v>
      </c>
      <c r="G18" s="224" t="s">
        <v>120</v>
      </c>
      <c r="H18" s="175"/>
      <c r="I18" s="175"/>
      <c r="J18" s="176"/>
      <c r="K18" s="176"/>
      <c r="M18" s="177"/>
      <c r="N18" s="177"/>
      <c r="O18" s="177"/>
      <c r="P18" s="177"/>
    </row>
    <row r="19" spans="1:16" x14ac:dyDescent="0.3">
      <c r="A19" s="172"/>
      <c r="B19" s="249"/>
      <c r="C19" s="174"/>
      <c r="D19" s="174">
        <f>(C19*J5%)+C19</f>
        <v>0</v>
      </c>
      <c r="E19" s="174">
        <f t="shared" si="1"/>
        <v>0</v>
      </c>
      <c r="F19" s="212">
        <f t="shared" si="2"/>
        <v>0</v>
      </c>
      <c r="G19" s="224"/>
      <c r="H19" s="175"/>
      <c r="I19" s="175"/>
      <c r="J19" s="176"/>
      <c r="K19" s="176"/>
      <c r="M19" s="177"/>
      <c r="N19" s="177"/>
      <c r="O19" s="177"/>
      <c r="P19" s="177"/>
    </row>
    <row r="20" spans="1:16" x14ac:dyDescent="0.3">
      <c r="A20" s="205"/>
      <c r="B20" s="245"/>
      <c r="C20" s="174"/>
      <c r="D20" s="174">
        <f>(C20*J5%)+C20</f>
        <v>0</v>
      </c>
      <c r="E20" s="174">
        <f t="shared" si="1"/>
        <v>0</v>
      </c>
      <c r="F20" s="212">
        <f t="shared" si="2"/>
        <v>0</v>
      </c>
      <c r="G20" s="239"/>
      <c r="H20" s="175"/>
      <c r="I20" s="175"/>
      <c r="J20" s="176"/>
      <c r="K20" s="176"/>
      <c r="M20" s="177"/>
      <c r="N20" s="177"/>
      <c r="O20" s="177"/>
      <c r="P20" s="177"/>
    </row>
    <row r="21" spans="1:16" x14ac:dyDescent="0.3">
      <c r="A21" s="205"/>
      <c r="B21" s="250"/>
      <c r="C21" s="174"/>
      <c r="D21" s="174">
        <f>(C21*J5%)+C21</f>
        <v>0</v>
      </c>
      <c r="E21" s="174">
        <f t="shared" si="1"/>
        <v>0</v>
      </c>
      <c r="F21" s="212">
        <f t="shared" si="2"/>
        <v>0</v>
      </c>
      <c r="G21" s="224"/>
      <c r="H21" s="175"/>
      <c r="I21" s="175"/>
      <c r="J21" s="176"/>
      <c r="K21" s="176"/>
      <c r="M21" s="177"/>
      <c r="N21" s="177"/>
      <c r="O21" s="177"/>
      <c r="P21" s="177"/>
    </row>
    <row r="22" spans="1:16" x14ac:dyDescent="0.3">
      <c r="A22" s="172"/>
      <c r="B22" s="228"/>
      <c r="C22" s="174"/>
      <c r="D22" s="174">
        <f>(C22*J5%)+C22</f>
        <v>0</v>
      </c>
      <c r="E22" s="174">
        <f t="shared" ref="E22:E33" si="3">C22*A22</f>
        <v>0</v>
      </c>
      <c r="F22" s="212">
        <f t="shared" si="2"/>
        <v>0</v>
      </c>
      <c r="G22" s="239"/>
      <c r="H22" s="175"/>
      <c r="I22" s="175"/>
      <c r="J22" s="176"/>
      <c r="K22" s="176"/>
      <c r="M22" s="177"/>
      <c r="N22" s="177"/>
      <c r="O22" s="177"/>
      <c r="P22" s="177"/>
    </row>
    <row r="23" spans="1:16" x14ac:dyDescent="0.3">
      <c r="A23" s="172"/>
      <c r="B23" s="229"/>
      <c r="C23" s="174"/>
      <c r="D23" s="174">
        <f>(C23*J5%)+C23</f>
        <v>0</v>
      </c>
      <c r="E23" s="174">
        <f t="shared" si="3"/>
        <v>0</v>
      </c>
      <c r="F23" s="212">
        <f t="shared" si="2"/>
        <v>0</v>
      </c>
      <c r="G23" s="223" t="s">
        <v>66</v>
      </c>
      <c r="H23" s="175"/>
      <c r="I23" s="175"/>
      <c r="J23" s="176"/>
      <c r="K23" s="176"/>
      <c r="M23" s="177"/>
      <c r="N23" s="177"/>
      <c r="O23" s="177"/>
      <c r="P23" s="177"/>
    </row>
    <row r="24" spans="1:16" x14ac:dyDescent="0.3">
      <c r="A24" s="172"/>
      <c r="B24" s="173"/>
      <c r="C24" s="174"/>
      <c r="D24" s="174">
        <f>(C24*J5%)+C24</f>
        <v>0</v>
      </c>
      <c r="E24" s="174">
        <f t="shared" si="3"/>
        <v>0</v>
      </c>
      <c r="F24" s="212">
        <f t="shared" si="2"/>
        <v>0</v>
      </c>
      <c r="G24" s="240"/>
      <c r="H24" s="175"/>
      <c r="I24" s="175"/>
      <c r="J24" s="176"/>
      <c r="K24" s="176"/>
      <c r="M24" s="177"/>
      <c r="N24" s="177"/>
      <c r="O24" s="177"/>
      <c r="P24" s="177"/>
    </row>
    <row r="25" spans="1:16" x14ac:dyDescent="0.3">
      <c r="A25" s="172"/>
      <c r="B25" s="173"/>
      <c r="C25" s="174"/>
      <c r="D25" s="174">
        <f>(C25*J5%)+C25</f>
        <v>0</v>
      </c>
      <c r="E25" s="174">
        <f t="shared" si="3"/>
        <v>0</v>
      </c>
      <c r="F25" s="212">
        <f t="shared" si="2"/>
        <v>0</v>
      </c>
      <c r="G25" s="240"/>
      <c r="H25" s="175"/>
      <c r="I25" s="175"/>
      <c r="J25" s="176"/>
      <c r="K25" s="176"/>
      <c r="M25" s="177"/>
      <c r="N25" s="177"/>
      <c r="O25" s="177"/>
      <c r="P25" s="177"/>
    </row>
    <row r="26" spans="1:16" x14ac:dyDescent="0.3">
      <c r="A26" s="172"/>
      <c r="B26" s="173"/>
      <c r="C26" s="174"/>
      <c r="D26" s="174">
        <f>(C26*J5%)+C26</f>
        <v>0</v>
      </c>
      <c r="E26" s="174">
        <f t="shared" si="3"/>
        <v>0</v>
      </c>
      <c r="F26" s="212">
        <f t="shared" si="2"/>
        <v>0</v>
      </c>
      <c r="G26" s="241"/>
      <c r="H26" s="175"/>
      <c r="I26" s="175"/>
      <c r="J26" s="176"/>
      <c r="K26" s="176"/>
      <c r="M26" s="177"/>
      <c r="N26" s="177"/>
      <c r="O26" s="177"/>
      <c r="P26" s="177"/>
    </row>
    <row r="27" spans="1:16" x14ac:dyDescent="0.3">
      <c r="A27" s="172"/>
      <c r="B27" s="173"/>
      <c r="C27" s="174"/>
      <c r="D27" s="174">
        <f>(C27*J5%)+C27</f>
        <v>0</v>
      </c>
      <c r="E27" s="174">
        <f t="shared" si="3"/>
        <v>0</v>
      </c>
      <c r="F27" s="212">
        <f t="shared" si="2"/>
        <v>0</v>
      </c>
      <c r="G27" s="240"/>
      <c r="H27" s="175"/>
      <c r="I27" s="175"/>
      <c r="J27" s="176"/>
      <c r="K27" s="176"/>
      <c r="M27" s="177"/>
      <c r="N27" s="177"/>
      <c r="O27" s="177"/>
      <c r="P27" s="177"/>
    </row>
    <row r="28" spans="1:16" x14ac:dyDescent="0.3">
      <c r="A28" s="172"/>
      <c r="B28" s="242"/>
      <c r="C28" s="174"/>
      <c r="D28" s="174">
        <f>(C28*J5%)+C28</f>
        <v>0</v>
      </c>
      <c r="E28" s="174">
        <f t="shared" si="3"/>
        <v>0</v>
      </c>
      <c r="F28" s="212">
        <f t="shared" si="2"/>
        <v>0</v>
      </c>
      <c r="H28" s="175"/>
      <c r="I28" s="175"/>
      <c r="J28" s="176"/>
      <c r="K28" s="176"/>
      <c r="M28" s="177"/>
      <c r="N28" s="177"/>
      <c r="O28" s="177"/>
      <c r="P28" s="177"/>
    </row>
    <row r="29" spans="1:16" x14ac:dyDescent="0.3">
      <c r="A29" s="172"/>
      <c r="B29" s="172"/>
      <c r="C29" s="174">
        <v>0</v>
      </c>
      <c r="D29" s="174">
        <f>(C29*J5%)+C29</f>
        <v>0</v>
      </c>
      <c r="E29" s="174">
        <f t="shared" si="3"/>
        <v>0</v>
      </c>
      <c r="F29" s="212">
        <f t="shared" si="2"/>
        <v>0</v>
      </c>
      <c r="H29" s="175"/>
      <c r="I29" s="175"/>
      <c r="J29" s="176"/>
      <c r="K29" s="176"/>
      <c r="M29" s="177"/>
      <c r="N29" s="177"/>
      <c r="O29" s="177"/>
      <c r="P29" s="177"/>
    </row>
    <row r="30" spans="1:16" x14ac:dyDescent="0.3">
      <c r="A30" s="172"/>
      <c r="B30" s="172"/>
      <c r="C30" s="174">
        <v>0</v>
      </c>
      <c r="D30" s="174">
        <f>(C30*J5%)+C30</f>
        <v>0</v>
      </c>
      <c r="E30" s="174">
        <f t="shared" si="3"/>
        <v>0</v>
      </c>
      <c r="F30" s="212">
        <f t="shared" si="2"/>
        <v>0</v>
      </c>
      <c r="H30" s="175"/>
      <c r="I30" s="175"/>
      <c r="J30" s="176"/>
      <c r="K30" s="176"/>
      <c r="M30" s="177"/>
      <c r="N30" s="177"/>
      <c r="O30" s="177"/>
      <c r="P30" s="177"/>
    </row>
    <row r="31" spans="1:16" x14ac:dyDescent="0.3">
      <c r="A31" s="172"/>
      <c r="B31" s="172"/>
      <c r="C31" s="174">
        <v>0</v>
      </c>
      <c r="D31" s="174">
        <f>(C31*J5%)+C31</f>
        <v>0</v>
      </c>
      <c r="E31" s="174">
        <f t="shared" si="3"/>
        <v>0</v>
      </c>
      <c r="F31" s="212">
        <f t="shared" si="2"/>
        <v>0</v>
      </c>
      <c r="H31" s="175"/>
      <c r="I31" s="175"/>
      <c r="J31" s="176"/>
      <c r="K31" s="176"/>
      <c r="M31" s="177"/>
      <c r="N31" s="177"/>
      <c r="O31" s="177"/>
      <c r="P31" s="177"/>
    </row>
    <row r="32" spans="1:16" x14ac:dyDescent="0.3">
      <c r="A32" s="172"/>
      <c r="B32" s="172"/>
      <c r="C32" s="174">
        <v>0</v>
      </c>
      <c r="D32" s="174">
        <f>(C32*J5%)+C32</f>
        <v>0</v>
      </c>
      <c r="E32" s="174">
        <f t="shared" si="3"/>
        <v>0</v>
      </c>
      <c r="F32" s="212">
        <f t="shared" si="2"/>
        <v>0</v>
      </c>
      <c r="H32" s="175"/>
      <c r="I32" s="175"/>
      <c r="J32" s="176"/>
      <c r="K32" s="176"/>
      <c r="M32" s="177"/>
      <c r="N32" s="177"/>
      <c r="O32" s="177"/>
      <c r="P32" s="177"/>
    </row>
    <row r="33" spans="1:16" x14ac:dyDescent="0.3">
      <c r="A33" s="172"/>
      <c r="B33" s="172"/>
      <c r="C33" s="174">
        <v>0</v>
      </c>
      <c r="D33" s="174">
        <f>(C33*J5%)+C33</f>
        <v>0</v>
      </c>
      <c r="E33" s="174">
        <f t="shared" si="3"/>
        <v>0</v>
      </c>
      <c r="F33" s="212">
        <f t="shared" si="2"/>
        <v>0</v>
      </c>
      <c r="H33" s="175"/>
      <c r="I33" s="175"/>
      <c r="J33" s="176"/>
      <c r="K33" s="176">
        <f>J33*H33</f>
        <v>0</v>
      </c>
      <c r="M33" s="177"/>
      <c r="N33" s="177"/>
      <c r="O33" s="177"/>
      <c r="P33" s="177">
        <f>O33*M33</f>
        <v>0</v>
      </c>
    </row>
    <row r="34" spans="1:16" x14ac:dyDescent="0.3">
      <c r="C34" s="178" t="s">
        <v>90</v>
      </c>
      <c r="D34" s="178"/>
      <c r="E34" s="178">
        <f>SUM(E11:E33)</f>
        <v>8670.39</v>
      </c>
      <c r="F34" s="213"/>
      <c r="J34" s="178" t="s">
        <v>90</v>
      </c>
      <c r="K34" s="178">
        <f>SUM(K11:K33)</f>
        <v>800</v>
      </c>
      <c r="O34" s="178" t="s">
        <v>90</v>
      </c>
      <c r="P34" s="178">
        <f>SUM(P11:P33)</f>
        <v>0</v>
      </c>
    </row>
    <row r="35" spans="1:16" x14ac:dyDescent="0.3">
      <c r="C35" s="178" t="s">
        <v>2</v>
      </c>
      <c r="D35" s="178"/>
      <c r="E35" s="178">
        <f>E36-E34</f>
        <v>1387.2623999999996</v>
      </c>
      <c r="F35" s="213"/>
      <c r="J35" s="178" t="s">
        <v>2</v>
      </c>
      <c r="K35" s="178">
        <f>K36-K34</f>
        <v>127.99999999999989</v>
      </c>
      <c r="O35" s="178" t="s">
        <v>2</v>
      </c>
      <c r="P35" s="178">
        <f>P36-P34</f>
        <v>0</v>
      </c>
    </row>
    <row r="36" spans="1:16" x14ac:dyDescent="0.3">
      <c r="C36" s="178" t="s">
        <v>91</v>
      </c>
      <c r="D36" s="178"/>
      <c r="E36" s="178">
        <f>E34*1.16</f>
        <v>10057.652399999999</v>
      </c>
      <c r="F36" s="213"/>
      <c r="J36" s="178" t="s">
        <v>91</v>
      </c>
      <c r="K36" s="178">
        <f>K34*1.16</f>
        <v>927.99999999999989</v>
      </c>
      <c r="O36" s="178" t="s">
        <v>91</v>
      </c>
      <c r="P36" s="178">
        <f>P34*1.16</f>
        <v>0</v>
      </c>
    </row>
    <row r="38" spans="1:16" x14ac:dyDescent="0.3">
      <c r="B38" s="225" t="s">
        <v>102</v>
      </c>
      <c r="D38" s="225" t="s">
        <v>103</v>
      </c>
    </row>
    <row r="39" spans="1:16" x14ac:dyDescent="0.3">
      <c r="B39" s="258" t="s">
        <v>104</v>
      </c>
      <c r="D39" s="226">
        <f>K6</f>
        <v>13865.0265</v>
      </c>
    </row>
    <row r="363" spans="39:51" x14ac:dyDescent="0.3">
      <c r="AM363" s="57" t="s">
        <v>3</v>
      </c>
      <c r="AN363" s="57"/>
      <c r="AO363" s="57" t="s">
        <v>4</v>
      </c>
      <c r="AP363" s="57"/>
      <c r="AQ363" s="57"/>
      <c r="AR363" s="57"/>
      <c r="AS363" s="57"/>
      <c r="AT363" s="57"/>
      <c r="AU363" s="57"/>
      <c r="AV363" s="57"/>
      <c r="AW363" s="57"/>
      <c r="AX363" s="57"/>
      <c r="AY363" s="4"/>
    </row>
    <row r="364" spans="39:51" x14ac:dyDescent="0.3">
      <c r="AM364" s="58">
        <f>+K6</f>
        <v>13865.0265</v>
      </c>
      <c r="AN364" s="57"/>
      <c r="AO364" s="59" t="str">
        <f>CONCATENATE(AT367,AW380,AW379,AW376,AW375,AW372,AU370,AU369,AU368,AU367)</f>
        <v>(  TRECE  MIL OCHOCIENTOS SESENTA  Y CINCO  PESOS,  03/100 M.N.  )</v>
      </c>
      <c r="AP364" s="59"/>
      <c r="AQ364" s="59"/>
      <c r="AR364" s="59"/>
      <c r="AS364" s="59"/>
      <c r="AT364" s="59"/>
      <c r="AU364" s="59"/>
      <c r="AV364" s="59"/>
      <c r="AW364" s="59"/>
      <c r="AX364" s="59"/>
      <c r="AY364" s="7"/>
    </row>
    <row r="365" spans="39:51" ht="15" thickBot="1" x14ac:dyDescent="0.35">
      <c r="AM365" s="60">
        <v>53</v>
      </c>
      <c r="AN365" s="57"/>
      <c r="AO365" s="59" t="str">
        <f>CONCATENATE(AT367,AW380,AW379,AW376,AW375,AW372,AU370,AU386,AU385,AU367)</f>
        <v>(  TRECE  MIL OCHOCIENTOS SESENTA  Y CINCO  DOLARES,  03/100 U.S. Cy  )</v>
      </c>
      <c r="AP365" s="57"/>
      <c r="AQ365" s="57"/>
      <c r="AR365" s="57"/>
      <c r="AS365" s="57"/>
      <c r="AT365" s="57"/>
      <c r="AU365" s="57"/>
      <c r="AV365" s="57"/>
      <c r="AW365" s="57"/>
      <c r="AX365" s="57"/>
      <c r="AY365" s="4"/>
    </row>
    <row r="366" spans="39:51" ht="15" thickTop="1" x14ac:dyDescent="0.3">
      <c r="AM366" s="61"/>
      <c r="AN366" s="62"/>
      <c r="AO366" s="62"/>
      <c r="AP366" s="62"/>
      <c r="AQ366" s="62"/>
      <c r="AR366" s="62"/>
      <c r="AS366" s="62"/>
      <c r="AT366" s="62"/>
      <c r="AU366" s="62"/>
      <c r="AV366" s="62"/>
      <c r="AW366" s="62"/>
      <c r="AX366" s="63"/>
      <c r="AY366" s="13"/>
    </row>
    <row r="367" spans="39:51" x14ac:dyDescent="0.3">
      <c r="AM367" s="64" t="str">
        <f>RIGHT(AM369)</f>
        <v>3</v>
      </c>
      <c r="AN367" s="65"/>
      <c r="AO367" s="65"/>
      <c r="AP367" s="65"/>
      <c r="AQ367" s="65"/>
      <c r="AR367" s="65"/>
      <c r="AS367" s="65"/>
      <c r="AT367" s="66" t="s">
        <v>5</v>
      </c>
      <c r="AU367" s="67" t="s">
        <v>6</v>
      </c>
      <c r="AV367" s="65"/>
      <c r="AW367" s="65"/>
      <c r="AX367" s="68"/>
      <c r="AY367" s="13"/>
    </row>
    <row r="368" spans="39:51" x14ac:dyDescent="0.3">
      <c r="AM368" s="64"/>
      <c r="AN368" s="65"/>
      <c r="AO368" s="65"/>
      <c r="AP368" s="67" t="s">
        <v>7</v>
      </c>
      <c r="AQ368" s="65"/>
      <c r="AR368" s="65"/>
      <c r="AS368" s="65"/>
      <c r="AT368" s="65"/>
      <c r="AU368" s="69" t="str">
        <f>CONCATENATE(AP370,AP369,AP368)</f>
        <v>03/100 M.N.</v>
      </c>
      <c r="AV368" s="65"/>
      <c r="AW368" s="65"/>
      <c r="AX368" s="68"/>
      <c r="AY368" s="13"/>
    </row>
    <row r="369" spans="39:51" x14ac:dyDescent="0.3">
      <c r="AM369" s="64" t="str">
        <f>RIGHT(AM389,AN369)</f>
        <v>3</v>
      </c>
      <c r="AN369" s="65">
        <v>1</v>
      </c>
      <c r="AO369" s="70" t="str">
        <f>MID(AM369,1,1)</f>
        <v>3</v>
      </c>
      <c r="AP369" s="65">
        <f>IF(VLOOKUP(AO369,AM391:AN402,2,FALSE)=0,0,VLOOKUP(AO369,AM391:AN402,2,FALSE))</f>
        <v>3</v>
      </c>
      <c r="AQ369" s="65"/>
      <c r="AR369" s="65"/>
      <c r="AS369" s="71"/>
      <c r="AT369" s="71"/>
      <c r="AU369" s="69" t="str">
        <f>IF(AM364&lt;&gt;1,"PESOS,  ","PESO  ")</f>
        <v xml:space="preserve">PESOS,  </v>
      </c>
      <c r="AV369" s="69"/>
      <c r="AW369" s="65"/>
      <c r="AX369" s="68"/>
      <c r="AY369" s="13"/>
    </row>
    <row r="370" spans="39:51" x14ac:dyDescent="0.3">
      <c r="AM370" s="64" t="str">
        <f>RIGHT(AM389,AN370)</f>
        <v>03</v>
      </c>
      <c r="AN370" s="65">
        <v>2</v>
      </c>
      <c r="AO370" s="70" t="str">
        <f>MID(AM370,1,1)</f>
        <v>0</v>
      </c>
      <c r="AP370" s="65">
        <f>IF(VLOOKUP(AO370,AM391:AN402,2,FALSE)=0,0,VLOOKUP(AO370,AM391:AN402,2,FALSE))</f>
        <v>0</v>
      </c>
      <c r="AQ370" s="65"/>
      <c r="AR370" s="65"/>
      <c r="AS370" s="69" t="str">
        <f>IF(SUM(AP372:AP382)=0,"CERO  ","")</f>
        <v/>
      </c>
      <c r="AT370" s="69" t="str">
        <f>IF(AP372&gt;2,"Y ","")</f>
        <v xml:space="preserve">Y </v>
      </c>
      <c r="AU370" s="69" t="str">
        <f>IF(SUM(AP372:AP382)=0,AS370,"")</f>
        <v/>
      </c>
      <c r="AV370" s="65"/>
      <c r="AW370" s="65"/>
      <c r="AX370" s="68"/>
      <c r="AY370" s="13"/>
    </row>
    <row r="371" spans="39:51" ht="15" thickBot="1" x14ac:dyDescent="0.35">
      <c r="AM371" s="64" t="str">
        <f>RIGHT(AM389,AN371)</f>
        <v>.03</v>
      </c>
      <c r="AN371" s="65">
        <v>3</v>
      </c>
      <c r="AO371" s="70" t="str">
        <f>MID(AM371,1,1)</f>
        <v>.</v>
      </c>
      <c r="AP371" s="65">
        <f>IF(VLOOKUP(AO371,AM391:AN402,2,FALSE)=0,0,VLOOKUP(AO371,AM391:AN402,2,FALSE))</f>
        <v>1</v>
      </c>
      <c r="AQ371" s="65"/>
      <c r="AR371" s="70">
        <v>1</v>
      </c>
      <c r="AS371" s="70">
        <v>2</v>
      </c>
      <c r="AT371" s="70">
        <v>3</v>
      </c>
      <c r="AU371" s="70">
        <v>4</v>
      </c>
      <c r="AV371" s="70"/>
      <c r="AW371" s="65"/>
      <c r="AX371" s="68"/>
      <c r="AY371" s="13"/>
    </row>
    <row r="372" spans="39:51" x14ac:dyDescent="0.3">
      <c r="AM372" s="72" t="str">
        <f>RIGHT(AM389,AN372)</f>
        <v>5.03</v>
      </c>
      <c r="AN372" s="73">
        <v>4</v>
      </c>
      <c r="AO372" s="74" t="str">
        <f t="shared" ref="AO372:AO382" si="4">IF(AM372=AM371,"0",MID(AM372,1,1))</f>
        <v>5</v>
      </c>
      <c r="AP372" s="75">
        <f>IF(VLOOKUP(AO372,AM391:AN402,2,FALSE)=0,0,VLOOKUP(AO372,AM391:AN402,2,FALSE))</f>
        <v>5</v>
      </c>
      <c r="AQ372" s="65"/>
      <c r="AR372" s="76" t="str">
        <f>IF(AP372=0,"",VLOOKUP(AP372,AN391:AR400,4,FALSE))</f>
        <v xml:space="preserve">CINCO  </v>
      </c>
      <c r="AS372" s="77" t="str">
        <f>IF(AP373=1,VLOOKUP(AP372,AN391:AR400,5,FALSE),VLOOKUP(AP372,AN391:AR400,4,FALSE))</f>
        <v xml:space="preserve">CINCO  </v>
      </c>
      <c r="AT372" s="77" t="str">
        <f>IF(AP373=1,AS372,AR372)</f>
        <v xml:space="preserve">CINCO  </v>
      </c>
      <c r="AU372" s="78" t="str">
        <f>IF(AP372=0,AR372,AT372)</f>
        <v xml:space="preserve">CINCO  </v>
      </c>
      <c r="AV372" s="65" t="str">
        <f>IF(AND(AP373&gt;2,AP372&gt;0),"Y ","")</f>
        <v xml:space="preserve">Y </v>
      </c>
      <c r="AW372" s="65" t="str">
        <f>CONCATENATE(AU374,AU373,AV372,AU372)</f>
        <v xml:space="preserve">OCHOCIENTOS SESENTA  Y CINCO  </v>
      </c>
      <c r="AX372" s="68"/>
      <c r="AY372" s="13"/>
    </row>
    <row r="373" spans="39:51" x14ac:dyDescent="0.3">
      <c r="AM373" s="64" t="str">
        <f>RIGHT(AM389,AN373)</f>
        <v>65.03</v>
      </c>
      <c r="AN373" s="65">
        <v>5</v>
      </c>
      <c r="AO373" s="70" t="str">
        <f t="shared" si="4"/>
        <v>6</v>
      </c>
      <c r="AP373" s="79">
        <f>IF(VLOOKUP(AO373,AM391:AN402,2,FALSE)=0,0,VLOOKUP(AO373,AM391:AN402,2,FALSE))</f>
        <v>6</v>
      </c>
      <c r="AQ373" s="65"/>
      <c r="AR373" s="80" t="str">
        <f>IF(AP373=0,"",VLOOKUP(AP373,AN391:AR400,3,FALSE))</f>
        <v xml:space="preserve">SESENTA  </v>
      </c>
      <c r="AS373" s="69" t="str">
        <f>IF(AP373=1,"",AR373)</f>
        <v xml:space="preserve">SESENTA  </v>
      </c>
      <c r="AT373" s="69" t="str">
        <f>IF(AP373=2,AS389,AS373)</f>
        <v xml:space="preserve">SESENTA  </v>
      </c>
      <c r="AU373" s="81" t="str">
        <f>IF(AP372=0,AR373,AT373)</f>
        <v xml:space="preserve">SESENTA  </v>
      </c>
      <c r="AV373" s="69"/>
      <c r="AW373" s="69"/>
      <c r="AX373" s="68"/>
      <c r="AY373" s="13"/>
    </row>
    <row r="374" spans="39:51" ht="15" thickBot="1" x14ac:dyDescent="0.35">
      <c r="AM374" s="82" t="str">
        <f>RIGHT(AM389,AN374)</f>
        <v>865.03</v>
      </c>
      <c r="AN374" s="83">
        <v>6</v>
      </c>
      <c r="AO374" s="84" t="str">
        <f t="shared" si="4"/>
        <v>8</v>
      </c>
      <c r="AP374" s="85">
        <f>IF(VLOOKUP(AO374,AM391:AN402,2,FALSE)=0,0,VLOOKUP(AO374,AM391:AN402,2,FALSE))</f>
        <v>8</v>
      </c>
      <c r="AQ374" s="65"/>
      <c r="AR374" s="86" t="str">
        <f>IF(AP374=0,"",VLOOKUP(AP374,AN391:AR400,2,FALSE))</f>
        <v xml:space="preserve">OCHOCIENTOS </v>
      </c>
      <c r="AS374" s="87"/>
      <c r="AT374" s="88" t="str">
        <f>IF(AP374=1,AO388,AR374)</f>
        <v xml:space="preserve">OCHOCIENTOS </v>
      </c>
      <c r="AU374" s="89" t="str">
        <f>IF(AP372+AP373=0,AR374,AT374)</f>
        <v xml:space="preserve">OCHOCIENTOS </v>
      </c>
      <c r="AV374" s="69"/>
      <c r="AW374" s="69"/>
      <c r="AX374" s="68"/>
      <c r="AY374" s="13"/>
    </row>
    <row r="375" spans="39:51" ht="15" thickBot="1" x14ac:dyDescent="0.35">
      <c r="AM375" s="64" t="str">
        <f>RIGHT(AM389,AN375)</f>
        <v>,865.03</v>
      </c>
      <c r="AN375" s="65">
        <v>7</v>
      </c>
      <c r="AO375" s="70" t="str">
        <f t="shared" si="4"/>
        <v>,</v>
      </c>
      <c r="AP375" s="65">
        <f>IF(VLOOKUP(AO375,AM391:AN402,2,FALSE)=0,0,VLOOKUP(AO375,AM391:AN402,2,FALSE))</f>
        <v>0</v>
      </c>
      <c r="AQ375" s="65"/>
      <c r="AR375" s="69" t="str">
        <f>IF(SUM(AP376:AP378)=0,"","MIL ")</f>
        <v xml:space="preserve">MIL </v>
      </c>
      <c r="AS375" s="69"/>
      <c r="AT375" s="69"/>
      <c r="AU375" s="69"/>
      <c r="AV375" s="69"/>
      <c r="AW375" s="69" t="str">
        <f>AR375</f>
        <v xml:space="preserve">MIL </v>
      </c>
      <c r="AX375" s="68"/>
      <c r="AY375" s="13"/>
    </row>
    <row r="376" spans="39:51" x14ac:dyDescent="0.3">
      <c r="AM376" s="72" t="str">
        <f>RIGHT(AM389,AN376)</f>
        <v>3,865.03</v>
      </c>
      <c r="AN376" s="73">
        <v>8</v>
      </c>
      <c r="AO376" s="74" t="str">
        <f t="shared" si="4"/>
        <v>3</v>
      </c>
      <c r="AP376" s="75">
        <f>IF(VLOOKUP(AO376,AM391:AN402,2,FALSE)=0,0,VLOOKUP(AO376,AM391:AN402,2,FALSE))</f>
        <v>3</v>
      </c>
      <c r="AQ376" s="65"/>
      <c r="AR376" s="76" t="str">
        <f>IF(AP376=0,"",VLOOKUP(AP376,AN391:AR400,4,FALSE))</f>
        <v xml:space="preserve">TRES  </v>
      </c>
      <c r="AS376" s="77" t="str">
        <f>IF(AP377=1,VLOOKUP(AP376,AN391:AR400,5,FALSE),VLOOKUP(AP376,AN391:AR400,4,FALSE))</f>
        <v xml:space="preserve">TRECE  </v>
      </c>
      <c r="AT376" s="77" t="str">
        <f>IF(AP377=1,AS376,AR376)</f>
        <v xml:space="preserve">TRECE  </v>
      </c>
      <c r="AU376" s="78" t="str">
        <f>IF(AP376=0,AR376,AT376)</f>
        <v xml:space="preserve">TRECE  </v>
      </c>
      <c r="AV376" s="65" t="str">
        <f>IF(AND(AP377&gt;2,AP376&gt;0),"Y ","")</f>
        <v/>
      </c>
      <c r="AW376" s="65" t="str">
        <f>CONCATENATE(AU378,AU377,AV376,AU376)</f>
        <v xml:space="preserve">TRECE  </v>
      </c>
      <c r="AX376" s="68"/>
      <c r="AY376" s="13"/>
    </row>
    <row r="377" spans="39:51" x14ac:dyDescent="0.3">
      <c r="AM377" s="64" t="str">
        <f>RIGHT(AM389,AN377)</f>
        <v>13,865.03</v>
      </c>
      <c r="AN377" s="65">
        <v>9</v>
      </c>
      <c r="AO377" s="70" t="str">
        <f t="shared" si="4"/>
        <v>1</v>
      </c>
      <c r="AP377" s="79">
        <f>IF(VLOOKUP(AO377,AM391:AN402,2,FALSE)=0,0,VLOOKUP(AO377,AM391:AN402,2,FALSE))</f>
        <v>1</v>
      </c>
      <c r="AQ377" s="65"/>
      <c r="AR377" s="80" t="str">
        <f>IF(AP377=0,"",VLOOKUP(AP377,AN391:AR400,3,FALSE))</f>
        <v xml:space="preserve">DIEZ  </v>
      </c>
      <c r="AS377" s="69" t="str">
        <f>IF(AP377=1,"",AR377)</f>
        <v/>
      </c>
      <c r="AT377" s="69" t="str">
        <f>IF(AP377=2,AS389,AS377)</f>
        <v/>
      </c>
      <c r="AU377" s="81" t="str">
        <f>IF(AP376=0,AR377,AT377)</f>
        <v/>
      </c>
      <c r="AV377" s="69"/>
      <c r="AW377" s="69"/>
      <c r="AX377" s="68"/>
      <c r="AY377" s="13"/>
    </row>
    <row r="378" spans="39:51" ht="15" thickBot="1" x14ac:dyDescent="0.35">
      <c r="AM378" s="82" t="str">
        <f>RIGHT(AM389,AN378)</f>
        <v>13,865.03</v>
      </c>
      <c r="AN378" s="83">
        <v>10</v>
      </c>
      <c r="AO378" s="84" t="str">
        <f t="shared" si="4"/>
        <v>0</v>
      </c>
      <c r="AP378" s="85">
        <f>IF(VLOOKUP(AO378,AM391:AN402,2,FALSE)=0,0,VLOOKUP(AO378,AM391:AN402,2,FALSE))</f>
        <v>0</v>
      </c>
      <c r="AQ378" s="65"/>
      <c r="AR378" s="86" t="str">
        <f>IF(AP378=0,"",VLOOKUP(AP378,AN391:AR402,2,FALSE))</f>
        <v/>
      </c>
      <c r="AS378" s="87"/>
      <c r="AT378" s="88" t="str">
        <f>IF(AP378=1,AO388,AR378)</f>
        <v/>
      </c>
      <c r="AU378" s="89" t="str">
        <f>IF(AP376+AP377=0,AR378,AT378)</f>
        <v/>
      </c>
      <c r="AV378" s="69"/>
      <c r="AW378" s="69"/>
      <c r="AX378" s="68"/>
      <c r="AY378" s="13"/>
    </row>
    <row r="379" spans="39:51" ht="15" thickBot="1" x14ac:dyDescent="0.35">
      <c r="AM379" s="64" t="str">
        <f>RIGHT(AM389,AN379)</f>
        <v>13,865.03</v>
      </c>
      <c r="AN379" s="65">
        <v>11</v>
      </c>
      <c r="AO379" s="70" t="str">
        <f t="shared" si="4"/>
        <v>0</v>
      </c>
      <c r="AP379" s="65">
        <f>IF(VLOOKUP(AO379,AM391:AN402,2,FALSE)=0,0,VLOOKUP(AO379,AM391:AN402,2,FALSE))</f>
        <v>0</v>
      </c>
      <c r="AQ379" s="65"/>
      <c r="AR379" s="69" t="str">
        <f>IF(AM364&gt;1999999.99,"MILLONES","MILLON")</f>
        <v>MILLON</v>
      </c>
      <c r="AS379" s="69"/>
      <c r="AT379" s="69"/>
      <c r="AU379" s="69"/>
      <c r="AV379" s="69" t="str">
        <f>IF(SUM(AP380:AP382)&gt;0,AR379,"")</f>
        <v/>
      </c>
      <c r="AW379" s="65" t="str">
        <f>CONCATENATE(AV379," ",AV381)</f>
        <v xml:space="preserve">  </v>
      </c>
      <c r="AX379" s="68"/>
      <c r="AY379" s="13"/>
    </row>
    <row r="380" spans="39:51" x14ac:dyDescent="0.3">
      <c r="AM380" s="72" t="str">
        <f>RIGHT(AM389,AN380)</f>
        <v>13,865.03</v>
      </c>
      <c r="AN380" s="73">
        <v>12</v>
      </c>
      <c r="AO380" s="74" t="str">
        <f t="shared" si="4"/>
        <v>0</v>
      </c>
      <c r="AP380" s="75">
        <f>IF(VLOOKUP(AO380,AM391:AN402,2,FALSE)=0,0,VLOOKUP(AO380,AM391:AN402,2,FALSE))</f>
        <v>0</v>
      </c>
      <c r="AQ380" s="65"/>
      <c r="AR380" s="76" t="str">
        <f>IF(AP380=0,"",VLOOKUP(AP380,AN391:AR400,4,FALSE))</f>
        <v/>
      </c>
      <c r="AS380" s="77" t="e">
        <f>IF(AP381=1,VLOOKUP(AP380,AN391:AR400,5,FALSE),VLOOKUP(AP380,AN391:AR400,4,FALSE))</f>
        <v>#N/A</v>
      </c>
      <c r="AT380" s="77" t="str">
        <f>IF(AP381=1,AS380,AR380)</f>
        <v/>
      </c>
      <c r="AU380" s="78" t="str">
        <f>IF(AP380=0,AR380,AT380)</f>
        <v/>
      </c>
      <c r="AV380" s="65" t="str">
        <f>IF(AND(AP381&gt;2,AP380&gt;0),"Y ","")</f>
        <v/>
      </c>
      <c r="AW380" s="65" t="str">
        <f>CONCATENATE(AU382,AU381,AV380,AU380)</f>
        <v/>
      </c>
      <c r="AX380" s="68"/>
      <c r="AY380" s="13"/>
    </row>
    <row r="381" spans="39:51" x14ac:dyDescent="0.3">
      <c r="AM381" s="64" t="str">
        <f>RIGHT(AM389,AN381)</f>
        <v>13,865.03</v>
      </c>
      <c r="AN381" s="65">
        <v>13</v>
      </c>
      <c r="AO381" s="70" t="str">
        <f t="shared" si="4"/>
        <v>0</v>
      </c>
      <c r="AP381" s="79">
        <f>IF(VLOOKUP(AO381,AM391:AN402,2,FALSE)=0,0,VLOOKUP(AO381,AM391:AN402,2,FALSE))</f>
        <v>0</v>
      </c>
      <c r="AQ381" s="65"/>
      <c r="AR381" s="80" t="str">
        <f>IF(AP381=0,"",VLOOKUP(AP381,AN391:AR400,3,FALSE))</f>
        <v/>
      </c>
      <c r="AS381" s="69" t="str">
        <f>IF(AP381=1,"",AR381)</f>
        <v/>
      </c>
      <c r="AT381" s="69" t="str">
        <f>IF(AP381=2,AS389,AS381)</f>
        <v/>
      </c>
      <c r="AU381" s="81" t="str">
        <f>IF(AP380=0,AR381,AT381)</f>
        <v/>
      </c>
      <c r="AV381" s="65" t="str">
        <f>IF(AND(AM364&gt;0.99,SUM(AP380:AP382)&gt;0),IF(SUM(AP372:AP378)&gt;0," ","DE ")," ")</f>
        <v xml:space="preserve"> </v>
      </c>
      <c r="AW381" s="69"/>
      <c r="AX381" s="68"/>
      <c r="AY381" s="13"/>
    </row>
    <row r="382" spans="39:51" ht="15" thickBot="1" x14ac:dyDescent="0.35">
      <c r="AM382" s="82" t="str">
        <f>RIGHT(AM389,AN382)</f>
        <v>13,865.03</v>
      </c>
      <c r="AN382" s="83">
        <v>14</v>
      </c>
      <c r="AO382" s="84" t="str">
        <f t="shared" si="4"/>
        <v>0</v>
      </c>
      <c r="AP382" s="85">
        <f>IF(VLOOKUP(AO382,AM391:AN402,2,FALSE)=0,0,VLOOKUP(AO382,AM391:AN402,2,FALSE))</f>
        <v>0</v>
      </c>
      <c r="AQ382" s="65"/>
      <c r="AR382" s="86" t="str">
        <f>IF(AP382=0,"",VLOOKUP(AP382,AN391:AR403,2,FALSE))</f>
        <v/>
      </c>
      <c r="AS382" s="87"/>
      <c r="AT382" s="88" t="str">
        <f>IF(AP382=1,AO388,AR382)</f>
        <v/>
      </c>
      <c r="AU382" s="89" t="str">
        <f>IF(AP380+AP381=0,AR382,AT382)</f>
        <v/>
      </c>
      <c r="AV382" s="65"/>
      <c r="AW382" s="69"/>
      <c r="AX382" s="68"/>
      <c r="AY382" s="13"/>
    </row>
    <row r="383" spans="39:51" x14ac:dyDescent="0.3">
      <c r="AM383" s="64"/>
      <c r="AN383" s="65"/>
      <c r="AO383" s="65"/>
      <c r="AP383" s="65"/>
      <c r="AQ383" s="65"/>
      <c r="AR383" s="65"/>
      <c r="AS383" s="65"/>
      <c r="AT383" s="65"/>
      <c r="AU383" s="65"/>
      <c r="AV383" s="65"/>
      <c r="AW383" s="65"/>
      <c r="AX383" s="68"/>
      <c r="AY383" s="13"/>
    </row>
    <row r="384" spans="39:51" x14ac:dyDescent="0.3">
      <c r="AM384" s="64"/>
      <c r="AN384" s="65"/>
      <c r="AO384" s="65"/>
      <c r="AP384" s="67" t="s">
        <v>8</v>
      </c>
      <c r="AQ384" s="65"/>
      <c r="AR384" s="65"/>
      <c r="AS384" s="65"/>
      <c r="AT384" s="66" t="s">
        <v>9</v>
      </c>
      <c r="AU384" s="67" t="s">
        <v>6</v>
      </c>
      <c r="AV384" s="65"/>
      <c r="AW384" s="65"/>
      <c r="AX384" s="68"/>
      <c r="AY384" s="13"/>
    </row>
    <row r="385" spans="39:51" x14ac:dyDescent="0.3">
      <c r="AM385" s="64"/>
      <c r="AN385" s="65"/>
      <c r="AO385" s="65"/>
      <c r="AP385" s="65"/>
      <c r="AQ385" s="65"/>
      <c r="AR385" s="65"/>
      <c r="AS385" s="65"/>
      <c r="AT385" s="65"/>
      <c r="AU385" s="69" t="str">
        <f>CONCATENATE(AP370,AP369,AP384)</f>
        <v>03/100 U.S. Cy</v>
      </c>
      <c r="AV385" s="65"/>
      <c r="AW385" s="65"/>
      <c r="AX385" s="68"/>
      <c r="AY385" s="13"/>
    </row>
    <row r="386" spans="39:51" x14ac:dyDescent="0.3">
      <c r="AM386" s="90" t="str">
        <f>CONCATENATE(AO382,AO381,AO380,AO379,AO378,AO377,AO376,AO375,AO374,AO373,AO372,AO371,AO370,AO369)</f>
        <v>0000013,865.03</v>
      </c>
      <c r="AN386" s="65"/>
      <c r="AO386" s="65"/>
      <c r="AP386" s="65"/>
      <c r="AQ386" s="65"/>
      <c r="AR386" s="65"/>
      <c r="AS386" s="65"/>
      <c r="AT386" s="71"/>
      <c r="AU386" s="69" t="str">
        <f>IF(AM364&lt;&gt;1,"DOLARES,  ","PESO  ")</f>
        <v xml:space="preserve">DOLARES,  </v>
      </c>
      <c r="AV386" s="65"/>
      <c r="AW386" s="65"/>
      <c r="AX386" s="68"/>
      <c r="AY386" s="13"/>
    </row>
    <row r="387" spans="39:51" ht="15" thickBot="1" x14ac:dyDescent="0.35">
      <c r="AM387" s="64"/>
      <c r="AN387" s="65"/>
      <c r="AO387" s="65"/>
      <c r="AP387" s="65"/>
      <c r="AQ387" s="65"/>
      <c r="AR387" s="65"/>
      <c r="AS387" s="65"/>
      <c r="AT387" s="65"/>
      <c r="AU387" s="65"/>
      <c r="AV387" s="65"/>
      <c r="AW387" s="65"/>
      <c r="AX387" s="68"/>
      <c r="AY387" s="13"/>
    </row>
    <row r="388" spans="39:51" x14ac:dyDescent="0.3">
      <c r="AM388" s="91"/>
      <c r="AN388" s="92"/>
      <c r="AO388" s="93" t="s">
        <v>10</v>
      </c>
      <c r="AP388" s="94"/>
      <c r="AQ388" s="93"/>
      <c r="AR388" s="94"/>
      <c r="AS388" s="95"/>
      <c r="AT388" s="65"/>
      <c r="AU388" s="65"/>
      <c r="AV388" s="65"/>
      <c r="AW388" s="65"/>
      <c r="AX388" s="68"/>
      <c r="AY388" s="13"/>
    </row>
    <row r="389" spans="39:51" x14ac:dyDescent="0.3">
      <c r="AM389" s="96" t="str">
        <f>FIXED(AM364)</f>
        <v>13,865.03</v>
      </c>
      <c r="AN389" s="65"/>
      <c r="AO389" s="97" t="s">
        <v>11</v>
      </c>
      <c r="AP389" s="97" t="s">
        <v>12</v>
      </c>
      <c r="AQ389" s="97" t="s">
        <v>13</v>
      </c>
      <c r="AR389" s="98" t="s">
        <v>14</v>
      </c>
      <c r="AS389" s="99" t="s">
        <v>15</v>
      </c>
      <c r="AT389" s="65"/>
      <c r="AU389" s="65"/>
      <c r="AV389" s="65"/>
      <c r="AW389" s="65"/>
      <c r="AX389" s="68"/>
      <c r="AY389" s="13"/>
    </row>
    <row r="390" spans="39:51" x14ac:dyDescent="0.3">
      <c r="AM390" s="64"/>
      <c r="AN390" s="100">
        <v>1</v>
      </c>
      <c r="AO390" s="100">
        <v>8</v>
      </c>
      <c r="AP390" s="100">
        <v>9</v>
      </c>
      <c r="AQ390" s="100">
        <v>10</v>
      </c>
      <c r="AR390" s="100">
        <v>11</v>
      </c>
      <c r="AS390" s="99"/>
      <c r="AT390" s="65"/>
      <c r="AU390" s="65"/>
      <c r="AV390" s="65"/>
      <c r="AW390" s="65"/>
      <c r="AX390" s="68"/>
      <c r="AY390" s="13"/>
    </row>
    <row r="391" spans="39:51" x14ac:dyDescent="0.3">
      <c r="AM391" s="101" t="s">
        <v>16</v>
      </c>
      <c r="AN391" s="65">
        <v>1</v>
      </c>
      <c r="AO391" s="102" t="s">
        <v>17</v>
      </c>
      <c r="AP391" s="102" t="s">
        <v>18</v>
      </c>
      <c r="AQ391" s="102" t="s">
        <v>19</v>
      </c>
      <c r="AR391" s="102" t="s">
        <v>20</v>
      </c>
      <c r="AS391" s="99"/>
      <c r="AT391" s="65"/>
      <c r="AU391" s="65"/>
      <c r="AV391" s="65"/>
      <c r="AW391" s="65"/>
      <c r="AX391" s="68"/>
      <c r="AY391" s="13"/>
    </row>
    <row r="392" spans="39:51" x14ac:dyDescent="0.3">
      <c r="AM392" s="101" t="s">
        <v>21</v>
      </c>
      <c r="AN392" s="65">
        <v>2</v>
      </c>
      <c r="AO392" s="102" t="s">
        <v>22</v>
      </c>
      <c r="AP392" s="102" t="s">
        <v>23</v>
      </c>
      <c r="AQ392" s="102" t="s">
        <v>24</v>
      </c>
      <c r="AR392" s="102" t="s">
        <v>25</v>
      </c>
      <c r="AS392" s="99"/>
      <c r="AT392" s="65"/>
      <c r="AU392" s="65"/>
      <c r="AV392" s="65"/>
      <c r="AW392" s="65"/>
      <c r="AX392" s="68"/>
      <c r="AY392" s="13"/>
    </row>
    <row r="393" spans="39:51" x14ac:dyDescent="0.3">
      <c r="AM393" s="101" t="s">
        <v>26</v>
      </c>
      <c r="AN393" s="65">
        <v>3</v>
      </c>
      <c r="AO393" s="102" t="s">
        <v>27</v>
      </c>
      <c r="AP393" s="102" t="s">
        <v>28</v>
      </c>
      <c r="AQ393" s="102" t="s">
        <v>29</v>
      </c>
      <c r="AR393" s="102" t="s">
        <v>30</v>
      </c>
      <c r="AS393" s="99"/>
      <c r="AT393" s="65"/>
      <c r="AU393" s="65"/>
      <c r="AV393" s="65"/>
      <c r="AW393" s="65"/>
      <c r="AX393" s="68"/>
      <c r="AY393" s="13"/>
    </row>
    <row r="394" spans="39:51" x14ac:dyDescent="0.3">
      <c r="AM394" s="101" t="s">
        <v>31</v>
      </c>
      <c r="AN394" s="65">
        <v>4</v>
      </c>
      <c r="AO394" s="102" t="s">
        <v>32</v>
      </c>
      <c r="AP394" s="102" t="s">
        <v>33</v>
      </c>
      <c r="AQ394" s="102" t="s">
        <v>34</v>
      </c>
      <c r="AR394" s="102" t="s">
        <v>35</v>
      </c>
      <c r="AS394" s="99"/>
      <c r="AT394" s="65"/>
      <c r="AU394" s="65"/>
      <c r="AV394" s="65"/>
      <c r="AW394" s="65"/>
      <c r="AX394" s="68"/>
      <c r="AY394" s="13"/>
    </row>
    <row r="395" spans="39:51" x14ac:dyDescent="0.3">
      <c r="AM395" s="101" t="s">
        <v>36</v>
      </c>
      <c r="AN395" s="65">
        <v>5</v>
      </c>
      <c r="AO395" s="102" t="s">
        <v>37</v>
      </c>
      <c r="AP395" s="102" t="s">
        <v>38</v>
      </c>
      <c r="AQ395" s="102" t="s">
        <v>39</v>
      </c>
      <c r="AR395" s="102" t="s">
        <v>40</v>
      </c>
      <c r="AS395" s="99"/>
      <c r="AT395" s="65"/>
      <c r="AU395" s="65"/>
      <c r="AV395" s="65"/>
      <c r="AW395" s="65"/>
      <c r="AX395" s="68"/>
      <c r="AY395" s="13"/>
    </row>
    <row r="396" spans="39:51" x14ac:dyDescent="0.3">
      <c r="AM396" s="101" t="s">
        <v>41</v>
      </c>
      <c r="AN396" s="65">
        <v>6</v>
      </c>
      <c r="AO396" s="102" t="s">
        <v>42</v>
      </c>
      <c r="AP396" s="102" t="s">
        <v>43</v>
      </c>
      <c r="AQ396" s="102" t="s">
        <v>44</v>
      </c>
      <c r="AR396" s="102" t="s">
        <v>45</v>
      </c>
      <c r="AS396" s="99"/>
      <c r="AT396" s="65"/>
      <c r="AU396" s="65"/>
      <c r="AV396" s="65"/>
      <c r="AW396" s="65"/>
      <c r="AX396" s="68"/>
      <c r="AY396" s="13"/>
    </row>
    <row r="397" spans="39:51" x14ac:dyDescent="0.3">
      <c r="AM397" s="101" t="s">
        <v>46</v>
      </c>
      <c r="AN397" s="65">
        <v>7</v>
      </c>
      <c r="AO397" s="102" t="s">
        <v>47</v>
      </c>
      <c r="AP397" s="102" t="s">
        <v>48</v>
      </c>
      <c r="AQ397" s="102" t="s">
        <v>49</v>
      </c>
      <c r="AR397" s="102" t="s">
        <v>50</v>
      </c>
      <c r="AS397" s="99"/>
      <c r="AT397" s="65"/>
      <c r="AU397" s="65"/>
      <c r="AV397" s="65"/>
      <c r="AW397" s="65"/>
      <c r="AX397" s="68"/>
      <c r="AY397" s="13"/>
    </row>
    <row r="398" spans="39:51" x14ac:dyDescent="0.3">
      <c r="AM398" s="101" t="s">
        <v>51</v>
      </c>
      <c r="AN398" s="65">
        <v>8</v>
      </c>
      <c r="AO398" s="102" t="s">
        <v>52</v>
      </c>
      <c r="AP398" s="102" t="s">
        <v>53</v>
      </c>
      <c r="AQ398" s="102" t="s">
        <v>54</v>
      </c>
      <c r="AR398" s="102" t="s">
        <v>55</v>
      </c>
      <c r="AS398" s="99"/>
      <c r="AT398" s="65"/>
      <c r="AU398" s="65"/>
      <c r="AV398" s="65"/>
      <c r="AW398" s="65"/>
      <c r="AX398" s="68"/>
      <c r="AY398" s="13"/>
    </row>
    <row r="399" spans="39:51" x14ac:dyDescent="0.3">
      <c r="AM399" s="101" t="s">
        <v>56</v>
      </c>
      <c r="AN399" s="65">
        <v>9</v>
      </c>
      <c r="AO399" s="102" t="s">
        <v>57</v>
      </c>
      <c r="AP399" s="102" t="s">
        <v>58</v>
      </c>
      <c r="AQ399" s="102" t="s">
        <v>59</v>
      </c>
      <c r="AR399" s="102" t="s">
        <v>60</v>
      </c>
      <c r="AS399" s="99"/>
      <c r="AT399" s="65"/>
      <c r="AU399" s="65"/>
      <c r="AV399" s="65"/>
      <c r="AW399" s="65"/>
      <c r="AX399" s="68"/>
      <c r="AY399" s="13"/>
    </row>
    <row r="400" spans="39:51" x14ac:dyDescent="0.3">
      <c r="AM400" s="101" t="s">
        <v>61</v>
      </c>
      <c r="AN400" s="65"/>
      <c r="AO400" s="65"/>
      <c r="AP400" s="65"/>
      <c r="AQ400" s="65"/>
      <c r="AR400" s="65"/>
      <c r="AS400" s="99"/>
      <c r="AT400" s="65"/>
      <c r="AU400" s="65"/>
      <c r="AV400" s="65"/>
      <c r="AW400" s="65"/>
      <c r="AX400" s="68"/>
      <c r="AY400" s="13"/>
    </row>
    <row r="401" spans="39:51" x14ac:dyDescent="0.3">
      <c r="AM401" s="101" t="s">
        <v>62</v>
      </c>
      <c r="AN401" s="65">
        <v>1</v>
      </c>
      <c r="AO401" s="65">
        <v>2</v>
      </c>
      <c r="AP401" s="65">
        <v>3</v>
      </c>
      <c r="AQ401" s="65">
        <v>4</v>
      </c>
      <c r="AR401" s="65">
        <v>5</v>
      </c>
      <c r="AS401" s="99"/>
      <c r="AT401" s="65"/>
      <c r="AU401" s="65"/>
      <c r="AV401" s="65"/>
      <c r="AW401" s="65"/>
      <c r="AX401" s="68"/>
      <c r="AY401" s="13"/>
    </row>
    <row r="402" spans="39:51" x14ac:dyDescent="0.3">
      <c r="AM402" s="101" t="s">
        <v>63</v>
      </c>
      <c r="AN402" s="65"/>
      <c r="AO402" s="65"/>
      <c r="AP402" s="65"/>
      <c r="AQ402" s="65"/>
      <c r="AR402" s="65"/>
      <c r="AS402" s="99"/>
      <c r="AT402" s="65"/>
      <c r="AU402" s="65"/>
      <c r="AV402" s="65"/>
      <c r="AW402" s="65"/>
      <c r="AX402" s="68"/>
      <c r="AY402" s="13"/>
    </row>
    <row r="403" spans="39:51" ht="15" thickBot="1" x14ac:dyDescent="0.35">
      <c r="AM403" s="103"/>
      <c r="AN403" s="87"/>
      <c r="AO403" s="87"/>
      <c r="AP403" s="87"/>
      <c r="AQ403" s="87"/>
      <c r="AR403" s="87"/>
      <c r="AS403" s="104"/>
      <c r="AT403" s="65"/>
      <c r="AU403" s="65"/>
      <c r="AV403" s="65"/>
      <c r="AW403" s="65"/>
      <c r="AX403" s="68"/>
      <c r="AY403" s="13"/>
    </row>
    <row r="404" spans="39:51" ht="15" thickBot="1" x14ac:dyDescent="0.35">
      <c r="AM404" s="105"/>
      <c r="AN404" s="106"/>
      <c r="AO404" s="106"/>
      <c r="AP404" s="106"/>
      <c r="AQ404" s="106"/>
      <c r="AR404" s="106"/>
      <c r="AS404" s="106"/>
      <c r="AT404" s="106"/>
      <c r="AU404" s="106"/>
      <c r="AV404" s="106"/>
      <c r="AW404" s="106"/>
      <c r="AX404" s="107"/>
      <c r="AY404" s="13"/>
    </row>
    <row r="405" spans="39:51" ht="15" thickTop="1" x14ac:dyDescent="0.3"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</row>
    <row r="406" spans="39:51" x14ac:dyDescent="0.3"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</row>
    <row r="407" spans="39:51" x14ac:dyDescent="0.3"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</row>
    <row r="408" spans="39:51" x14ac:dyDescent="0.3">
      <c r="AM408" s="57" t="s">
        <v>3</v>
      </c>
      <c r="AN408" s="57"/>
      <c r="AO408" s="57" t="s">
        <v>4</v>
      </c>
      <c r="AP408" s="57"/>
      <c r="AQ408" s="57"/>
      <c r="AR408" s="57"/>
      <c r="AS408" s="57"/>
      <c r="AT408" s="57"/>
      <c r="AU408" s="57"/>
      <c r="AV408" s="57"/>
      <c r="AW408" s="57"/>
      <c r="AX408" s="57"/>
      <c r="AY408" s="2"/>
    </row>
    <row r="409" spans="39:51" x14ac:dyDescent="0.3">
      <c r="AM409" s="58">
        <f>+J6</f>
        <v>16083.43074</v>
      </c>
      <c r="AN409" s="57"/>
      <c r="AO409" s="59" t="str">
        <f>CONCATENATE(AT412,AW425,AW424,AW421,AW420,AW417,AU415,AU414,AU413,AU412)</f>
        <v>(  DIECISEIS  MIL OCHENTA  Y TRES  PESOS,  43/100 M.N.  )</v>
      </c>
      <c r="AP409" s="59"/>
      <c r="AQ409" s="59"/>
      <c r="AR409" s="59"/>
      <c r="AS409" s="59"/>
      <c r="AT409" s="59"/>
      <c r="AU409" s="59"/>
      <c r="AV409" s="59"/>
      <c r="AW409" s="59"/>
      <c r="AX409" s="59"/>
      <c r="AY409" s="2"/>
    </row>
    <row r="410" spans="39:51" ht="15" thickBot="1" x14ac:dyDescent="0.35">
      <c r="AM410" s="60">
        <v>53</v>
      </c>
      <c r="AN410" s="57"/>
      <c r="AO410" s="59" t="str">
        <f>CONCATENATE(AT412,AW425,AW424,AW421,AW420,AW417,AU415,AU431,AU430,AU412)</f>
        <v>(  DIECISEIS  MIL OCHENTA  Y TRES  DOLARES,  43/100 U.S. Cy  )</v>
      </c>
      <c r="AP410" s="57"/>
      <c r="AQ410" s="57"/>
      <c r="AR410" s="57"/>
      <c r="AS410" s="57"/>
      <c r="AT410" s="57"/>
      <c r="AU410" s="57"/>
      <c r="AV410" s="57"/>
      <c r="AW410" s="57"/>
      <c r="AX410" s="57"/>
      <c r="AY410" s="4"/>
    </row>
    <row r="411" spans="39:51" ht="15" thickTop="1" x14ac:dyDescent="0.3">
      <c r="AM411" s="61"/>
      <c r="AN411" s="62"/>
      <c r="AO411" s="62"/>
      <c r="AP411" s="62"/>
      <c r="AQ411" s="62"/>
      <c r="AR411" s="62"/>
      <c r="AS411" s="62"/>
      <c r="AT411" s="62"/>
      <c r="AU411" s="62"/>
      <c r="AV411" s="62"/>
      <c r="AW411" s="62"/>
      <c r="AX411" s="63"/>
      <c r="AY411" s="7"/>
    </row>
    <row r="412" spans="39:51" x14ac:dyDescent="0.3">
      <c r="AM412" s="64" t="str">
        <f>RIGHT(AM414)</f>
        <v>3</v>
      </c>
      <c r="AN412" s="65"/>
      <c r="AO412" s="65"/>
      <c r="AP412" s="65"/>
      <c r="AQ412" s="65"/>
      <c r="AR412" s="65"/>
      <c r="AS412" s="65"/>
      <c r="AT412" s="66" t="s">
        <v>5</v>
      </c>
      <c r="AU412" s="67" t="s">
        <v>6</v>
      </c>
      <c r="AV412" s="65"/>
      <c r="AW412" s="65"/>
      <c r="AX412" s="68"/>
      <c r="AY412" s="4"/>
    </row>
    <row r="413" spans="39:51" x14ac:dyDescent="0.3">
      <c r="AM413" s="64"/>
      <c r="AN413" s="65"/>
      <c r="AO413" s="65"/>
      <c r="AP413" s="67" t="s">
        <v>7</v>
      </c>
      <c r="AQ413" s="65"/>
      <c r="AR413" s="65"/>
      <c r="AS413" s="65"/>
      <c r="AT413" s="65"/>
      <c r="AU413" s="69" t="str">
        <f>CONCATENATE(AP415,AP414,AP413)</f>
        <v>43/100 M.N.</v>
      </c>
      <c r="AV413" s="65"/>
      <c r="AW413" s="65"/>
      <c r="AX413" s="68"/>
      <c r="AY413" s="13"/>
    </row>
    <row r="414" spans="39:51" x14ac:dyDescent="0.3">
      <c r="AM414" s="64" t="str">
        <f>RIGHT(AM434,AN414)</f>
        <v>3</v>
      </c>
      <c r="AN414" s="65">
        <v>1</v>
      </c>
      <c r="AO414" s="70" t="str">
        <f>MID(AM414,1,1)</f>
        <v>3</v>
      </c>
      <c r="AP414" s="65">
        <f>IF(VLOOKUP(AO414,AM436:AN447,2,FALSE)=0,0,VLOOKUP(AO414,AM436:AN447,2,FALSE))</f>
        <v>3</v>
      </c>
      <c r="AQ414" s="65"/>
      <c r="AR414" s="65"/>
      <c r="AS414" s="71"/>
      <c r="AT414" s="71"/>
      <c r="AU414" s="69" t="str">
        <f>IF(AM409&lt;&gt;1,"PESOS,  ","PESO  ")</f>
        <v xml:space="preserve">PESOS,  </v>
      </c>
      <c r="AV414" s="69"/>
      <c r="AW414" s="65"/>
      <c r="AX414" s="68"/>
      <c r="AY414" s="13"/>
    </row>
    <row r="415" spans="39:51" x14ac:dyDescent="0.3">
      <c r="AM415" s="64" t="str">
        <f>RIGHT(AM434,AN415)</f>
        <v>43</v>
      </c>
      <c r="AN415" s="65">
        <v>2</v>
      </c>
      <c r="AO415" s="70" t="str">
        <f>MID(AM415,1,1)</f>
        <v>4</v>
      </c>
      <c r="AP415" s="65">
        <f>IF(VLOOKUP(AO415,AM436:AN447,2,FALSE)=0,0,VLOOKUP(AO415,AM436:AN447,2,FALSE))</f>
        <v>4</v>
      </c>
      <c r="AQ415" s="65"/>
      <c r="AR415" s="65"/>
      <c r="AS415" s="69" t="str">
        <f>IF(SUM(AP417:AP427)=0,"CERO  ","")</f>
        <v/>
      </c>
      <c r="AT415" s="69" t="str">
        <f>IF(AP417&gt;2,"Y ","")</f>
        <v xml:space="preserve">Y </v>
      </c>
      <c r="AU415" s="69" t="str">
        <f>IF(SUM(AP417:AP427)=0,AS415,"")</f>
        <v/>
      </c>
      <c r="AV415" s="65"/>
      <c r="AW415" s="65"/>
      <c r="AX415" s="68"/>
      <c r="AY415" s="13"/>
    </row>
    <row r="416" spans="39:51" ht="15" thickBot="1" x14ac:dyDescent="0.35">
      <c r="AM416" s="64" t="str">
        <f>RIGHT(AM434,AN416)</f>
        <v>.43</v>
      </c>
      <c r="AN416" s="65">
        <v>3</v>
      </c>
      <c r="AO416" s="70" t="str">
        <f>MID(AM416,1,1)</f>
        <v>.</v>
      </c>
      <c r="AP416" s="65">
        <f>IF(VLOOKUP(AO416,AM436:AN447,2,FALSE)=0,0,VLOOKUP(AO416,AM436:AN447,2,FALSE))</f>
        <v>1</v>
      </c>
      <c r="AQ416" s="65"/>
      <c r="AR416" s="70">
        <v>1</v>
      </c>
      <c r="AS416" s="70">
        <v>2</v>
      </c>
      <c r="AT416" s="70">
        <v>3</v>
      </c>
      <c r="AU416" s="70">
        <v>4</v>
      </c>
      <c r="AV416" s="70"/>
      <c r="AW416" s="65"/>
      <c r="AX416" s="68"/>
      <c r="AY416" s="13"/>
    </row>
    <row r="417" spans="39:51" x14ac:dyDescent="0.3">
      <c r="AM417" s="72" t="str">
        <f>RIGHT(AM434,AN417)</f>
        <v>3.43</v>
      </c>
      <c r="AN417" s="73">
        <v>4</v>
      </c>
      <c r="AO417" s="74" t="str">
        <f t="shared" ref="AO417:AO427" si="5">IF(AM417=AM416,"0",MID(AM417,1,1))</f>
        <v>3</v>
      </c>
      <c r="AP417" s="75">
        <f>IF(VLOOKUP(AO417,AM436:AN447,2,FALSE)=0,0,VLOOKUP(AO417,AM436:AN447,2,FALSE))</f>
        <v>3</v>
      </c>
      <c r="AQ417" s="65"/>
      <c r="AR417" s="76" t="str">
        <f>IF(AP417=0,"",VLOOKUP(AP417,AN436:AR445,4,FALSE))</f>
        <v xml:space="preserve">TRES  </v>
      </c>
      <c r="AS417" s="77" t="str">
        <f>IF(AP418=1,VLOOKUP(AP417,AN436:AR445,5,FALSE),VLOOKUP(AP417,AN436:AR445,4,FALSE))</f>
        <v xml:space="preserve">TRES  </v>
      </c>
      <c r="AT417" s="77" t="str">
        <f>IF(AP418=1,AS417,AR417)</f>
        <v xml:space="preserve">TRES  </v>
      </c>
      <c r="AU417" s="78" t="str">
        <f>IF(AP417=0,AR417,AT417)</f>
        <v xml:space="preserve">TRES  </v>
      </c>
      <c r="AV417" s="65" t="str">
        <f>IF(AND(AP418&gt;2,AP417&gt;0),"Y ","")</f>
        <v xml:space="preserve">Y </v>
      </c>
      <c r="AW417" s="65" t="str">
        <f>CONCATENATE(AU419,AU418,AV417,AU417)</f>
        <v xml:space="preserve">OCHENTA  Y TRES  </v>
      </c>
      <c r="AX417" s="68"/>
      <c r="AY417" s="13"/>
    </row>
    <row r="418" spans="39:51" x14ac:dyDescent="0.3">
      <c r="AM418" s="64" t="str">
        <f>RIGHT(AM434,AN418)</f>
        <v>83.43</v>
      </c>
      <c r="AN418" s="65">
        <v>5</v>
      </c>
      <c r="AO418" s="70" t="str">
        <f t="shared" si="5"/>
        <v>8</v>
      </c>
      <c r="AP418" s="79">
        <f>IF(VLOOKUP(AO418,AM436:AN447,2,FALSE)=0,0,VLOOKUP(AO418,AM436:AN447,2,FALSE))</f>
        <v>8</v>
      </c>
      <c r="AQ418" s="65"/>
      <c r="AR418" s="80" t="str">
        <f>IF(AP418=0,"",VLOOKUP(AP418,AN436:AR445,3,FALSE))</f>
        <v xml:space="preserve">OCHENTA  </v>
      </c>
      <c r="AS418" s="69" t="str">
        <f>IF(AP418=1,"",AR418)</f>
        <v xml:space="preserve">OCHENTA  </v>
      </c>
      <c r="AT418" s="69" t="str">
        <f>IF(AP418=2,AS434,AS418)</f>
        <v xml:space="preserve">OCHENTA  </v>
      </c>
      <c r="AU418" s="81" t="str">
        <f>IF(AP417=0,AR418,AT418)</f>
        <v xml:space="preserve">OCHENTA  </v>
      </c>
      <c r="AV418" s="69"/>
      <c r="AW418" s="69"/>
      <c r="AX418" s="68"/>
      <c r="AY418" s="13"/>
    </row>
    <row r="419" spans="39:51" ht="15" thickBot="1" x14ac:dyDescent="0.35">
      <c r="AM419" s="82" t="str">
        <f>RIGHT(AM434,AN419)</f>
        <v>083.43</v>
      </c>
      <c r="AN419" s="83">
        <v>6</v>
      </c>
      <c r="AO419" s="84" t="str">
        <f t="shared" si="5"/>
        <v>0</v>
      </c>
      <c r="AP419" s="85">
        <f>IF(VLOOKUP(AO419,AM436:AN447,2,FALSE)=0,0,VLOOKUP(AO419,AM436:AN447,2,FALSE))</f>
        <v>0</v>
      </c>
      <c r="AQ419" s="65"/>
      <c r="AR419" s="86" t="str">
        <f>IF(AP419=0,"",VLOOKUP(AP419,AN436:AR445,2,FALSE))</f>
        <v/>
      </c>
      <c r="AS419" s="87"/>
      <c r="AT419" s="88" t="str">
        <f>IF(AP419=1,AO433,AR419)</f>
        <v/>
      </c>
      <c r="AU419" s="89" t="str">
        <f>IF(AP417+AP418=0,AR419,AT419)</f>
        <v/>
      </c>
      <c r="AV419" s="69"/>
      <c r="AW419" s="69"/>
      <c r="AX419" s="68"/>
      <c r="AY419" s="13"/>
    </row>
    <row r="420" spans="39:51" ht="15" thickBot="1" x14ac:dyDescent="0.35">
      <c r="AM420" s="64" t="str">
        <f>RIGHT(AM434,AN420)</f>
        <v>,083.43</v>
      </c>
      <c r="AN420" s="65">
        <v>7</v>
      </c>
      <c r="AO420" s="70" t="str">
        <f t="shared" si="5"/>
        <v>,</v>
      </c>
      <c r="AP420" s="65">
        <f>IF(VLOOKUP(AO420,AM436:AN447,2,FALSE)=0,0,VLOOKUP(AO420,AM436:AN447,2,FALSE))</f>
        <v>0</v>
      </c>
      <c r="AQ420" s="65"/>
      <c r="AR420" s="69" t="str">
        <f>IF(SUM(AP421:AP423)=0,"","MIL ")</f>
        <v xml:space="preserve">MIL </v>
      </c>
      <c r="AS420" s="69"/>
      <c r="AT420" s="69"/>
      <c r="AU420" s="69"/>
      <c r="AV420" s="69"/>
      <c r="AW420" s="69" t="str">
        <f>AR420</f>
        <v xml:space="preserve">MIL </v>
      </c>
      <c r="AX420" s="68"/>
      <c r="AY420" s="13"/>
    </row>
    <row r="421" spans="39:51" x14ac:dyDescent="0.3">
      <c r="AM421" s="72" t="str">
        <f>RIGHT(AM434,AN421)</f>
        <v>6,083.43</v>
      </c>
      <c r="AN421" s="73">
        <v>8</v>
      </c>
      <c r="AO421" s="74" t="str">
        <f t="shared" si="5"/>
        <v>6</v>
      </c>
      <c r="AP421" s="75">
        <f>IF(VLOOKUP(AO421,AM436:AN447,2,FALSE)=0,0,VLOOKUP(AO421,AM436:AN447,2,FALSE))</f>
        <v>6</v>
      </c>
      <c r="AQ421" s="65"/>
      <c r="AR421" s="76" t="str">
        <f>IF(AP421=0,"",VLOOKUP(AP421,AN436:AR445,4,FALSE))</f>
        <v xml:space="preserve">SEIS  </v>
      </c>
      <c r="AS421" s="77" t="str">
        <f>IF(AP422=1,VLOOKUP(AP421,AN436:AR445,5,FALSE),VLOOKUP(AP421,AN436:AR445,4,FALSE))</f>
        <v xml:space="preserve">DIECISEIS  </v>
      </c>
      <c r="AT421" s="77" t="str">
        <f>IF(AP422=1,AS421,AR421)</f>
        <v xml:space="preserve">DIECISEIS  </v>
      </c>
      <c r="AU421" s="78" t="str">
        <f>IF(AP421=0,AR421,AT421)</f>
        <v xml:space="preserve">DIECISEIS  </v>
      </c>
      <c r="AV421" s="65" t="str">
        <f>IF(AND(AP422&gt;2,AP421&gt;0),"Y ","")</f>
        <v/>
      </c>
      <c r="AW421" s="65" t="str">
        <f>CONCATENATE(AU423,AU422,AV421,AU421)</f>
        <v xml:space="preserve">DIECISEIS  </v>
      </c>
      <c r="AX421" s="68"/>
      <c r="AY421" s="13"/>
    </row>
    <row r="422" spans="39:51" x14ac:dyDescent="0.3">
      <c r="AM422" s="64" t="str">
        <f>RIGHT(AM434,AN422)</f>
        <v>16,083.43</v>
      </c>
      <c r="AN422" s="65">
        <v>9</v>
      </c>
      <c r="AO422" s="70" t="str">
        <f t="shared" si="5"/>
        <v>1</v>
      </c>
      <c r="AP422" s="79">
        <f>IF(VLOOKUP(AO422,AM436:AN447,2,FALSE)=0,0,VLOOKUP(AO422,AM436:AN447,2,FALSE))</f>
        <v>1</v>
      </c>
      <c r="AQ422" s="65"/>
      <c r="AR422" s="80" t="str">
        <f>IF(AP422=0,"",VLOOKUP(AP422,AN436:AR445,3,FALSE))</f>
        <v xml:space="preserve">DIEZ  </v>
      </c>
      <c r="AS422" s="69" t="str">
        <f>IF(AP422=1,"",AR422)</f>
        <v/>
      </c>
      <c r="AT422" s="69" t="str">
        <f>IF(AP422=2,AS434,AS422)</f>
        <v/>
      </c>
      <c r="AU422" s="81" t="str">
        <f>IF(AP421=0,AR422,AT422)</f>
        <v/>
      </c>
      <c r="AV422" s="69"/>
      <c r="AW422" s="69"/>
      <c r="AX422" s="68"/>
      <c r="AY422" s="13"/>
    </row>
    <row r="423" spans="39:51" ht="15" thickBot="1" x14ac:dyDescent="0.35">
      <c r="AM423" s="82" t="str">
        <f>RIGHT(AM434,AN423)</f>
        <v>16,083.43</v>
      </c>
      <c r="AN423" s="83">
        <v>10</v>
      </c>
      <c r="AO423" s="84" t="str">
        <f t="shared" si="5"/>
        <v>0</v>
      </c>
      <c r="AP423" s="85">
        <f>IF(VLOOKUP(AO423,AM436:AN447,2,FALSE)=0,0,VLOOKUP(AO423,AM436:AN447,2,FALSE))</f>
        <v>0</v>
      </c>
      <c r="AQ423" s="65"/>
      <c r="AR423" s="86" t="str">
        <f>IF(AP423=0,"",VLOOKUP(AP423,AN436:AR447,2,FALSE))</f>
        <v/>
      </c>
      <c r="AS423" s="87"/>
      <c r="AT423" s="88" t="str">
        <f>IF(AP423=1,AO433,AR423)</f>
        <v/>
      </c>
      <c r="AU423" s="89" t="str">
        <f>IF(AP421+AP422=0,AR423,AT423)</f>
        <v/>
      </c>
      <c r="AV423" s="69"/>
      <c r="AW423" s="69"/>
      <c r="AX423" s="68"/>
      <c r="AY423" s="13"/>
    </row>
    <row r="424" spans="39:51" ht="15" thickBot="1" x14ac:dyDescent="0.35">
      <c r="AM424" s="64" t="str">
        <f>RIGHT(AM434,AN424)</f>
        <v>16,083.43</v>
      </c>
      <c r="AN424" s="65">
        <v>11</v>
      </c>
      <c r="AO424" s="70" t="str">
        <f t="shared" si="5"/>
        <v>0</v>
      </c>
      <c r="AP424" s="65">
        <f>IF(VLOOKUP(AO424,AM436:AN447,2,FALSE)=0,0,VLOOKUP(AO424,AM436:AN447,2,FALSE))</f>
        <v>0</v>
      </c>
      <c r="AQ424" s="65"/>
      <c r="AR424" s="69" t="str">
        <f>IF(AM409&gt;1999999.99,"MILLONES","MILLON")</f>
        <v>MILLON</v>
      </c>
      <c r="AS424" s="69"/>
      <c r="AT424" s="69"/>
      <c r="AU424" s="69"/>
      <c r="AV424" s="69" t="str">
        <f>IF(SUM(AP425:AP427)&gt;0,AR424,"")</f>
        <v/>
      </c>
      <c r="AW424" s="65" t="str">
        <f>CONCATENATE(AV424," ",AV426)</f>
        <v xml:space="preserve">  </v>
      </c>
      <c r="AX424" s="68"/>
      <c r="AY424" s="13"/>
    </row>
    <row r="425" spans="39:51" x14ac:dyDescent="0.3">
      <c r="AM425" s="72" t="str">
        <f>RIGHT(AM434,AN425)</f>
        <v>16,083.43</v>
      </c>
      <c r="AN425" s="73">
        <v>12</v>
      </c>
      <c r="AO425" s="74" t="str">
        <f t="shared" si="5"/>
        <v>0</v>
      </c>
      <c r="AP425" s="75">
        <f>IF(VLOOKUP(AO425,AM436:AN447,2,FALSE)=0,0,VLOOKUP(AO425,AM436:AN447,2,FALSE))</f>
        <v>0</v>
      </c>
      <c r="AQ425" s="65"/>
      <c r="AR425" s="76" t="str">
        <f>IF(AP425=0,"",VLOOKUP(AP425,AN436:AR445,4,FALSE))</f>
        <v/>
      </c>
      <c r="AS425" s="77" t="e">
        <f>IF(AP426=1,VLOOKUP(AP425,AN436:AR445,5,FALSE),VLOOKUP(AP425,AN436:AR445,4,FALSE))</f>
        <v>#N/A</v>
      </c>
      <c r="AT425" s="77" t="str">
        <f>IF(AP426=1,AS425,AR425)</f>
        <v/>
      </c>
      <c r="AU425" s="78" t="str">
        <f>IF(AP425=0,AR425,AT425)</f>
        <v/>
      </c>
      <c r="AV425" s="65" t="str">
        <f>IF(AND(AP426&gt;2,AP425&gt;0),"Y ","")</f>
        <v/>
      </c>
      <c r="AW425" s="65" t="str">
        <f>CONCATENATE(AU427,AU426,AV425,AU425)</f>
        <v/>
      </c>
      <c r="AX425" s="68"/>
      <c r="AY425" s="13"/>
    </row>
    <row r="426" spans="39:51" x14ac:dyDescent="0.3">
      <c r="AM426" s="64" t="str">
        <f>RIGHT(AM434,AN426)</f>
        <v>16,083.43</v>
      </c>
      <c r="AN426" s="65">
        <v>13</v>
      </c>
      <c r="AO426" s="70" t="str">
        <f t="shared" si="5"/>
        <v>0</v>
      </c>
      <c r="AP426" s="79">
        <f>IF(VLOOKUP(AO426,AM436:AN447,2,FALSE)=0,0,VLOOKUP(AO426,AM436:AN447,2,FALSE))</f>
        <v>0</v>
      </c>
      <c r="AQ426" s="65"/>
      <c r="AR426" s="80" t="str">
        <f>IF(AP426=0,"",VLOOKUP(AP426,AN436:AR445,3,FALSE))</f>
        <v/>
      </c>
      <c r="AS426" s="69" t="str">
        <f>IF(AP426=1,"",AR426)</f>
        <v/>
      </c>
      <c r="AT426" s="69" t="str">
        <f>IF(AP426=2,AS434,AS426)</f>
        <v/>
      </c>
      <c r="AU426" s="81" t="str">
        <f>IF(AP425=0,AR426,AT426)</f>
        <v/>
      </c>
      <c r="AV426" s="65" t="str">
        <f>IF(AND(AM409&gt;0.99,SUM(AP425:AP427)&gt;0),IF(SUM(AP417:AP423)&gt;0," ","DE ")," ")</f>
        <v xml:space="preserve"> </v>
      </c>
      <c r="AW426" s="69"/>
      <c r="AX426" s="68"/>
      <c r="AY426" s="13"/>
    </row>
    <row r="427" spans="39:51" ht="15" thickBot="1" x14ac:dyDescent="0.35">
      <c r="AM427" s="82" t="str">
        <f>RIGHT(AM434,AN427)</f>
        <v>16,083.43</v>
      </c>
      <c r="AN427" s="83">
        <v>14</v>
      </c>
      <c r="AO427" s="84" t="str">
        <f t="shared" si="5"/>
        <v>0</v>
      </c>
      <c r="AP427" s="85">
        <f>IF(VLOOKUP(AO427,AM436:AN447,2,FALSE)=0,0,VLOOKUP(AO427,AM436:AN447,2,FALSE))</f>
        <v>0</v>
      </c>
      <c r="AQ427" s="65"/>
      <c r="AR427" s="86" t="str">
        <f>IF(AP427=0,"",VLOOKUP(AP427,AN436:AR448,2,FALSE))</f>
        <v/>
      </c>
      <c r="AS427" s="87"/>
      <c r="AT427" s="88" t="str">
        <f>IF(AP427=1,AO433,AR427)</f>
        <v/>
      </c>
      <c r="AU427" s="89" t="str">
        <f>IF(AP425+AP426=0,AR427,AT427)</f>
        <v/>
      </c>
      <c r="AV427" s="65"/>
      <c r="AW427" s="69"/>
      <c r="AX427" s="68"/>
      <c r="AY427" s="13"/>
    </row>
    <row r="428" spans="39:51" x14ac:dyDescent="0.3">
      <c r="AM428" s="64"/>
      <c r="AN428" s="65"/>
      <c r="AO428" s="65"/>
      <c r="AP428" s="65"/>
      <c r="AQ428" s="65"/>
      <c r="AR428" s="65"/>
      <c r="AS428" s="65"/>
      <c r="AT428" s="65"/>
      <c r="AU428" s="65"/>
      <c r="AV428" s="65"/>
      <c r="AW428" s="65"/>
      <c r="AX428" s="68"/>
      <c r="AY428" s="13"/>
    </row>
    <row r="429" spans="39:51" x14ac:dyDescent="0.3">
      <c r="AM429" s="64"/>
      <c r="AN429" s="65"/>
      <c r="AO429" s="65"/>
      <c r="AP429" s="67" t="s">
        <v>8</v>
      </c>
      <c r="AQ429" s="65"/>
      <c r="AR429" s="65"/>
      <c r="AS429" s="65"/>
      <c r="AT429" s="66" t="s">
        <v>9</v>
      </c>
      <c r="AU429" s="67" t="s">
        <v>6</v>
      </c>
      <c r="AV429" s="65"/>
      <c r="AW429" s="65"/>
      <c r="AX429" s="68"/>
      <c r="AY429" s="13"/>
    </row>
    <row r="430" spans="39:51" x14ac:dyDescent="0.3">
      <c r="AM430" s="64"/>
      <c r="AN430" s="65"/>
      <c r="AO430" s="65"/>
      <c r="AP430" s="65"/>
      <c r="AQ430" s="65"/>
      <c r="AR430" s="65"/>
      <c r="AS430" s="65"/>
      <c r="AT430" s="65"/>
      <c r="AU430" s="69" t="str">
        <f>CONCATENATE(AP415,AP414,AP429)</f>
        <v>43/100 U.S. Cy</v>
      </c>
      <c r="AV430" s="65"/>
      <c r="AW430" s="65"/>
      <c r="AX430" s="68"/>
      <c r="AY430" s="13"/>
    </row>
    <row r="431" spans="39:51" x14ac:dyDescent="0.3">
      <c r="AM431" s="90" t="str">
        <f>CONCATENATE(AO427,AO426,AO425,AO424,AO423,AO422,AO421,AO420,AO419,AO418,AO417,AO416,AO415,AO414)</f>
        <v>0000016,083.43</v>
      </c>
      <c r="AN431" s="65"/>
      <c r="AO431" s="65"/>
      <c r="AP431" s="65"/>
      <c r="AQ431" s="65"/>
      <c r="AR431" s="65"/>
      <c r="AS431" s="65"/>
      <c r="AT431" s="71"/>
      <c r="AU431" s="69" t="str">
        <f>IF(AM409&lt;&gt;1,"DOLARES,  ","PESO  ")</f>
        <v xml:space="preserve">DOLARES,  </v>
      </c>
      <c r="AV431" s="65"/>
      <c r="AW431" s="65"/>
      <c r="AX431" s="68"/>
      <c r="AY431" s="13"/>
    </row>
    <row r="432" spans="39:51" ht="15" thickBot="1" x14ac:dyDescent="0.35">
      <c r="AM432" s="64"/>
      <c r="AN432" s="65"/>
      <c r="AO432" s="65"/>
      <c r="AP432" s="65"/>
      <c r="AQ432" s="65"/>
      <c r="AR432" s="65"/>
      <c r="AS432" s="65"/>
      <c r="AT432" s="65"/>
      <c r="AU432" s="65"/>
      <c r="AV432" s="65"/>
      <c r="AW432" s="65"/>
      <c r="AX432" s="68"/>
      <c r="AY432" s="13"/>
    </row>
    <row r="433" spans="39:51" x14ac:dyDescent="0.3">
      <c r="AM433" s="91"/>
      <c r="AN433" s="92"/>
      <c r="AO433" s="93" t="s">
        <v>10</v>
      </c>
      <c r="AP433" s="94"/>
      <c r="AQ433" s="93"/>
      <c r="AR433" s="94"/>
      <c r="AS433" s="95"/>
      <c r="AT433" s="65"/>
      <c r="AU433" s="65"/>
      <c r="AV433" s="65"/>
      <c r="AW433" s="65"/>
      <c r="AX433" s="68"/>
      <c r="AY433" s="13"/>
    </row>
    <row r="434" spans="39:51" x14ac:dyDescent="0.3">
      <c r="AM434" s="96" t="str">
        <f>FIXED(AM409)</f>
        <v>16,083.43</v>
      </c>
      <c r="AN434" s="65"/>
      <c r="AO434" s="97" t="s">
        <v>11</v>
      </c>
      <c r="AP434" s="97" t="s">
        <v>12</v>
      </c>
      <c r="AQ434" s="97" t="s">
        <v>13</v>
      </c>
      <c r="AR434" s="98" t="s">
        <v>14</v>
      </c>
      <c r="AS434" s="99" t="s">
        <v>15</v>
      </c>
      <c r="AT434" s="65"/>
      <c r="AU434" s="65"/>
      <c r="AV434" s="65"/>
      <c r="AW434" s="65"/>
      <c r="AX434" s="68"/>
      <c r="AY434" s="13"/>
    </row>
    <row r="435" spans="39:51" x14ac:dyDescent="0.3">
      <c r="AM435" s="64"/>
      <c r="AN435" s="100">
        <v>1</v>
      </c>
      <c r="AO435" s="100">
        <v>8</v>
      </c>
      <c r="AP435" s="100">
        <v>9</v>
      </c>
      <c r="AQ435" s="100">
        <v>10</v>
      </c>
      <c r="AR435" s="100">
        <v>11</v>
      </c>
      <c r="AS435" s="99"/>
      <c r="AT435" s="65"/>
      <c r="AU435" s="65"/>
      <c r="AV435" s="65"/>
      <c r="AW435" s="65"/>
      <c r="AX435" s="68"/>
      <c r="AY435" s="13"/>
    </row>
    <row r="436" spans="39:51" x14ac:dyDescent="0.3">
      <c r="AM436" s="101" t="s">
        <v>16</v>
      </c>
      <c r="AN436" s="65">
        <v>1</v>
      </c>
      <c r="AO436" s="102" t="s">
        <v>17</v>
      </c>
      <c r="AP436" s="102" t="s">
        <v>18</v>
      </c>
      <c r="AQ436" s="102" t="s">
        <v>19</v>
      </c>
      <c r="AR436" s="102" t="s">
        <v>20</v>
      </c>
      <c r="AS436" s="99"/>
      <c r="AT436" s="65"/>
      <c r="AU436" s="65"/>
      <c r="AV436" s="65"/>
      <c r="AW436" s="65"/>
      <c r="AX436" s="68"/>
      <c r="AY436" s="13"/>
    </row>
    <row r="437" spans="39:51" x14ac:dyDescent="0.3">
      <c r="AM437" s="101" t="s">
        <v>21</v>
      </c>
      <c r="AN437" s="65">
        <v>2</v>
      </c>
      <c r="AO437" s="102" t="s">
        <v>22</v>
      </c>
      <c r="AP437" s="102" t="s">
        <v>23</v>
      </c>
      <c r="AQ437" s="102" t="s">
        <v>24</v>
      </c>
      <c r="AR437" s="102" t="s">
        <v>25</v>
      </c>
      <c r="AS437" s="99"/>
      <c r="AT437" s="65"/>
      <c r="AU437" s="65"/>
      <c r="AV437" s="65"/>
      <c r="AW437" s="65"/>
      <c r="AX437" s="68"/>
      <c r="AY437" s="13"/>
    </row>
    <row r="438" spans="39:51" x14ac:dyDescent="0.3">
      <c r="AM438" s="101" t="s">
        <v>26</v>
      </c>
      <c r="AN438" s="65">
        <v>3</v>
      </c>
      <c r="AO438" s="102" t="s">
        <v>27</v>
      </c>
      <c r="AP438" s="102" t="s">
        <v>28</v>
      </c>
      <c r="AQ438" s="102" t="s">
        <v>29</v>
      </c>
      <c r="AR438" s="102" t="s">
        <v>30</v>
      </c>
      <c r="AS438" s="99"/>
      <c r="AT438" s="65"/>
      <c r="AU438" s="65"/>
      <c r="AV438" s="65"/>
      <c r="AW438" s="65"/>
      <c r="AX438" s="68"/>
      <c r="AY438" s="13"/>
    </row>
    <row r="439" spans="39:51" x14ac:dyDescent="0.3">
      <c r="AM439" s="101" t="s">
        <v>31</v>
      </c>
      <c r="AN439" s="65">
        <v>4</v>
      </c>
      <c r="AO439" s="102" t="s">
        <v>32</v>
      </c>
      <c r="AP439" s="102" t="s">
        <v>33</v>
      </c>
      <c r="AQ439" s="102" t="s">
        <v>34</v>
      </c>
      <c r="AR439" s="102" t="s">
        <v>35</v>
      </c>
      <c r="AS439" s="99"/>
      <c r="AT439" s="65"/>
      <c r="AU439" s="65"/>
      <c r="AV439" s="65"/>
      <c r="AW439" s="65"/>
      <c r="AX439" s="68"/>
      <c r="AY439" s="13"/>
    </row>
    <row r="440" spans="39:51" x14ac:dyDescent="0.3">
      <c r="AM440" s="101" t="s">
        <v>36</v>
      </c>
      <c r="AN440" s="65">
        <v>5</v>
      </c>
      <c r="AO440" s="102" t="s">
        <v>37</v>
      </c>
      <c r="AP440" s="102" t="s">
        <v>38</v>
      </c>
      <c r="AQ440" s="102" t="s">
        <v>39</v>
      </c>
      <c r="AR440" s="102" t="s">
        <v>40</v>
      </c>
      <c r="AS440" s="99"/>
      <c r="AT440" s="65"/>
      <c r="AU440" s="65"/>
      <c r="AV440" s="65"/>
      <c r="AW440" s="65"/>
      <c r="AX440" s="68"/>
      <c r="AY440" s="13"/>
    </row>
    <row r="441" spans="39:51" x14ac:dyDescent="0.3">
      <c r="AM441" s="101" t="s">
        <v>41</v>
      </c>
      <c r="AN441" s="65">
        <v>6</v>
      </c>
      <c r="AO441" s="102" t="s">
        <v>42</v>
      </c>
      <c r="AP441" s="102" t="s">
        <v>43</v>
      </c>
      <c r="AQ441" s="102" t="s">
        <v>44</v>
      </c>
      <c r="AR441" s="102" t="s">
        <v>45</v>
      </c>
      <c r="AS441" s="99"/>
      <c r="AT441" s="65"/>
      <c r="AU441" s="65"/>
      <c r="AV441" s="65"/>
      <c r="AW441" s="65"/>
      <c r="AX441" s="68"/>
      <c r="AY441" s="13"/>
    </row>
    <row r="442" spans="39:51" x14ac:dyDescent="0.3">
      <c r="AM442" s="101" t="s">
        <v>46</v>
      </c>
      <c r="AN442" s="65">
        <v>7</v>
      </c>
      <c r="AO442" s="102" t="s">
        <v>47</v>
      </c>
      <c r="AP442" s="102" t="s">
        <v>48</v>
      </c>
      <c r="AQ442" s="102" t="s">
        <v>49</v>
      </c>
      <c r="AR442" s="102" t="s">
        <v>50</v>
      </c>
      <c r="AS442" s="99"/>
      <c r="AT442" s="65"/>
      <c r="AU442" s="65"/>
      <c r="AV442" s="65"/>
      <c r="AW442" s="65"/>
      <c r="AX442" s="68"/>
      <c r="AY442" s="13"/>
    </row>
    <row r="443" spans="39:51" x14ac:dyDescent="0.3">
      <c r="AM443" s="101" t="s">
        <v>51</v>
      </c>
      <c r="AN443" s="65">
        <v>8</v>
      </c>
      <c r="AO443" s="102" t="s">
        <v>52</v>
      </c>
      <c r="AP443" s="102" t="s">
        <v>53</v>
      </c>
      <c r="AQ443" s="102" t="s">
        <v>54</v>
      </c>
      <c r="AR443" s="102" t="s">
        <v>55</v>
      </c>
      <c r="AS443" s="99"/>
      <c r="AT443" s="65"/>
      <c r="AU443" s="65"/>
      <c r="AV443" s="65"/>
      <c r="AW443" s="65"/>
      <c r="AX443" s="68"/>
      <c r="AY443" s="13"/>
    </row>
    <row r="444" spans="39:51" x14ac:dyDescent="0.3">
      <c r="AM444" s="101" t="s">
        <v>56</v>
      </c>
      <c r="AN444" s="65">
        <v>9</v>
      </c>
      <c r="AO444" s="102" t="s">
        <v>57</v>
      </c>
      <c r="AP444" s="102" t="s">
        <v>58</v>
      </c>
      <c r="AQ444" s="102" t="s">
        <v>59</v>
      </c>
      <c r="AR444" s="102" t="s">
        <v>60</v>
      </c>
      <c r="AS444" s="99"/>
      <c r="AT444" s="65"/>
      <c r="AU444" s="65"/>
      <c r="AV444" s="65"/>
      <c r="AW444" s="65"/>
      <c r="AX444" s="68"/>
      <c r="AY444" s="13"/>
    </row>
    <row r="445" spans="39:51" x14ac:dyDescent="0.3">
      <c r="AM445" s="101" t="s">
        <v>61</v>
      </c>
      <c r="AN445" s="65"/>
      <c r="AO445" s="65"/>
      <c r="AP445" s="65"/>
      <c r="AQ445" s="65"/>
      <c r="AR445" s="65"/>
      <c r="AS445" s="99"/>
      <c r="AT445" s="65"/>
      <c r="AU445" s="65"/>
      <c r="AV445" s="65"/>
      <c r="AW445" s="65"/>
      <c r="AX445" s="68"/>
      <c r="AY445" s="13"/>
    </row>
    <row r="446" spans="39:51" x14ac:dyDescent="0.3">
      <c r="AM446" s="101" t="s">
        <v>62</v>
      </c>
      <c r="AN446" s="65">
        <v>1</v>
      </c>
      <c r="AO446" s="65">
        <v>2</v>
      </c>
      <c r="AP446" s="65">
        <v>3</v>
      </c>
      <c r="AQ446" s="65">
        <v>4</v>
      </c>
      <c r="AR446" s="65">
        <v>5</v>
      </c>
      <c r="AS446" s="99"/>
      <c r="AT446" s="65"/>
      <c r="AU446" s="65"/>
      <c r="AV446" s="65"/>
      <c r="AW446" s="65"/>
      <c r="AX446" s="68"/>
      <c r="AY446" s="13"/>
    </row>
    <row r="447" spans="39:51" x14ac:dyDescent="0.3">
      <c r="AM447" s="101" t="s">
        <v>63</v>
      </c>
      <c r="AN447" s="65"/>
      <c r="AO447" s="65"/>
      <c r="AP447" s="65"/>
      <c r="AQ447" s="65"/>
      <c r="AR447" s="65"/>
      <c r="AS447" s="99"/>
      <c r="AT447" s="65"/>
      <c r="AU447" s="65"/>
      <c r="AV447" s="65"/>
      <c r="AW447" s="65"/>
      <c r="AX447" s="68"/>
      <c r="AY447" s="13"/>
    </row>
    <row r="448" spans="39:51" ht="15" thickBot="1" x14ac:dyDescent="0.35">
      <c r="AM448" s="103"/>
      <c r="AN448" s="87"/>
      <c r="AO448" s="87"/>
      <c r="AP448" s="87"/>
      <c r="AQ448" s="87"/>
      <c r="AR448" s="87"/>
      <c r="AS448" s="104"/>
      <c r="AT448" s="65"/>
      <c r="AU448" s="65"/>
      <c r="AV448" s="65"/>
      <c r="AW448" s="65"/>
      <c r="AX448" s="68"/>
      <c r="AY448" s="13"/>
    </row>
    <row r="449" spans="39:51" ht="15" thickBot="1" x14ac:dyDescent="0.35">
      <c r="AM449" s="105"/>
      <c r="AN449" s="106"/>
      <c r="AO449" s="106"/>
      <c r="AP449" s="106"/>
      <c r="AQ449" s="106"/>
      <c r="AR449" s="106"/>
      <c r="AS449" s="106"/>
      <c r="AT449" s="106"/>
      <c r="AU449" s="106"/>
      <c r="AV449" s="106"/>
      <c r="AW449" s="106"/>
      <c r="AX449" s="107"/>
      <c r="AY449" s="13"/>
    </row>
    <row r="450" spans="39:51" ht="15" thickTop="1" x14ac:dyDescent="0.3">
      <c r="AM450" s="2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</row>
    <row r="451" spans="39:51" x14ac:dyDescent="0.3">
      <c r="AM451" s="2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</row>
    <row r="452" spans="39:51" x14ac:dyDescent="0.3"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</row>
    <row r="453" spans="39:51" x14ac:dyDescent="0.3"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</row>
    <row r="454" spans="39:51" x14ac:dyDescent="0.3"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</row>
    <row r="455" spans="39:51" x14ac:dyDescent="0.3"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</row>
    <row r="456" spans="39:51" x14ac:dyDescent="0.3">
      <c r="AM456" s="57" t="s">
        <v>3</v>
      </c>
      <c r="AN456" s="57"/>
      <c r="AO456" s="57" t="s">
        <v>4</v>
      </c>
      <c r="AP456" s="57"/>
      <c r="AQ456" s="57"/>
      <c r="AR456" s="57"/>
      <c r="AS456" s="57"/>
      <c r="AT456" s="57"/>
      <c r="AU456" s="57"/>
      <c r="AV456" s="57"/>
      <c r="AW456" s="57"/>
      <c r="AX456" s="57"/>
      <c r="AY456" s="2"/>
    </row>
    <row r="457" spans="39:51" x14ac:dyDescent="0.3">
      <c r="AM457" s="58">
        <f>+I52</f>
        <v>0</v>
      </c>
      <c r="AN457" s="57"/>
      <c r="AO457" s="59" t="str">
        <f>CONCATENATE(AT460,AW473,AW472,AW469,AW468,AW465,AU463,AU462,AU461,AU460)</f>
        <v>(  CERO  PESOS,  00/100 M.N.  )</v>
      </c>
      <c r="AP457" s="59"/>
      <c r="AQ457" s="59"/>
      <c r="AR457" s="59"/>
      <c r="AS457" s="59"/>
      <c r="AT457" s="59"/>
      <c r="AU457" s="59"/>
      <c r="AV457" s="59"/>
      <c r="AW457" s="59"/>
      <c r="AX457" s="59"/>
      <c r="AY457" s="2"/>
    </row>
    <row r="458" spans="39:51" ht="15" thickBot="1" x14ac:dyDescent="0.35">
      <c r="AM458" s="60">
        <v>53</v>
      </c>
      <c r="AN458" s="57"/>
      <c r="AO458" s="59" t="str">
        <f>CONCATENATE(AT460,AW473,AW472,AW469,AW468,AW465,AU463,AU479,AU478,AU460)</f>
        <v>(  CERO  DOLARES,  00/100 U.S. Cy  )</v>
      </c>
      <c r="AP458" s="57"/>
      <c r="AQ458" s="57"/>
      <c r="AR458" s="57"/>
      <c r="AS458" s="57"/>
      <c r="AT458" s="57"/>
      <c r="AU458" s="57"/>
      <c r="AV458" s="57"/>
      <c r="AW458" s="57"/>
      <c r="AX458" s="57"/>
      <c r="AY458" s="2"/>
    </row>
    <row r="459" spans="39:51" ht="15" thickTop="1" x14ac:dyDescent="0.3">
      <c r="AM459" s="61"/>
      <c r="AN459" s="62"/>
      <c r="AO459" s="62"/>
      <c r="AP459" s="62"/>
      <c r="AQ459" s="62"/>
      <c r="AR459" s="62"/>
      <c r="AS459" s="62"/>
      <c r="AT459" s="62"/>
      <c r="AU459" s="62"/>
      <c r="AV459" s="62"/>
      <c r="AW459" s="62"/>
      <c r="AX459" s="63"/>
      <c r="AY459" s="2"/>
    </row>
    <row r="460" spans="39:51" x14ac:dyDescent="0.3">
      <c r="AM460" s="64" t="str">
        <f>RIGHT(AM462)</f>
        <v>0</v>
      </c>
      <c r="AN460" s="65"/>
      <c r="AO460" s="65"/>
      <c r="AP460" s="65"/>
      <c r="AQ460" s="65"/>
      <c r="AR460" s="65"/>
      <c r="AS460" s="65"/>
      <c r="AT460" s="66" t="s">
        <v>5</v>
      </c>
      <c r="AU460" s="67" t="s">
        <v>6</v>
      </c>
      <c r="AV460" s="65"/>
      <c r="AW460" s="65"/>
      <c r="AX460" s="68"/>
      <c r="AY460" s="2"/>
    </row>
    <row r="461" spans="39:51" x14ac:dyDescent="0.3">
      <c r="AM461" s="64"/>
      <c r="AN461" s="65"/>
      <c r="AO461" s="65"/>
      <c r="AP461" s="67" t="s">
        <v>7</v>
      </c>
      <c r="AQ461" s="65"/>
      <c r="AR461" s="65"/>
      <c r="AS461" s="65"/>
      <c r="AT461" s="65"/>
      <c r="AU461" s="69" t="str">
        <f>CONCATENATE(AP463,AP462,AP461)</f>
        <v>00/100 M.N.</v>
      </c>
      <c r="AV461" s="65"/>
      <c r="AW461" s="65"/>
      <c r="AX461" s="68"/>
      <c r="AY461" s="2"/>
    </row>
    <row r="462" spans="39:51" x14ac:dyDescent="0.3">
      <c r="AM462" s="64" t="str">
        <f>RIGHT(AM482,AN462)</f>
        <v>0</v>
      </c>
      <c r="AN462" s="65">
        <v>1</v>
      </c>
      <c r="AO462" s="70" t="str">
        <f>MID(AM462,1,1)</f>
        <v>0</v>
      </c>
      <c r="AP462" s="65">
        <f>IF(VLOOKUP(AO462,AM484:AN495,2,FALSE)=0,0,VLOOKUP(AO462,AM484:AN495,2,FALSE))</f>
        <v>0</v>
      </c>
      <c r="AQ462" s="65"/>
      <c r="AR462" s="65"/>
      <c r="AS462" s="71"/>
      <c r="AT462" s="71"/>
      <c r="AU462" s="69" t="str">
        <f>IF(AM457&lt;&gt;1,"PESOS,  ","PESO  ")</f>
        <v xml:space="preserve">PESOS,  </v>
      </c>
      <c r="AV462" s="69"/>
      <c r="AW462" s="65"/>
      <c r="AX462" s="68"/>
      <c r="AY462" s="2"/>
    </row>
    <row r="463" spans="39:51" x14ac:dyDescent="0.3">
      <c r="AM463" s="64" t="str">
        <f>RIGHT(AM482,AN463)</f>
        <v>00</v>
      </c>
      <c r="AN463" s="65">
        <v>2</v>
      </c>
      <c r="AO463" s="70" t="str">
        <f>MID(AM463,1,1)</f>
        <v>0</v>
      </c>
      <c r="AP463" s="65">
        <f>IF(VLOOKUP(AO463,AM484:AN495,2,FALSE)=0,0,VLOOKUP(AO463,AM484:AN495,2,FALSE))</f>
        <v>0</v>
      </c>
      <c r="AQ463" s="65"/>
      <c r="AR463" s="65"/>
      <c r="AS463" s="69" t="str">
        <f>IF(SUM(AP465:AP475)=0,"CERO  ","")</f>
        <v xml:space="preserve">CERO  </v>
      </c>
      <c r="AT463" s="69" t="str">
        <f>IF(AP465&gt;2,"Y ","")</f>
        <v/>
      </c>
      <c r="AU463" s="69" t="str">
        <f>IF(SUM(AP465:AP475)=0,AS463,"")</f>
        <v xml:space="preserve">CERO  </v>
      </c>
      <c r="AV463" s="65"/>
      <c r="AW463" s="65"/>
      <c r="AX463" s="68"/>
      <c r="AY463" s="2"/>
    </row>
    <row r="464" spans="39:51" ht="15" thickBot="1" x14ac:dyDescent="0.35">
      <c r="AM464" s="64" t="str">
        <f>RIGHT(AM482,AN464)</f>
        <v>.00</v>
      </c>
      <c r="AN464" s="65">
        <v>3</v>
      </c>
      <c r="AO464" s="70" t="str">
        <f>MID(AM464,1,1)</f>
        <v>.</v>
      </c>
      <c r="AP464" s="65">
        <f>IF(VLOOKUP(AO464,AM484:AN495,2,FALSE)=0,0,VLOOKUP(AO464,AM484:AN495,2,FALSE))</f>
        <v>1</v>
      </c>
      <c r="AQ464" s="65"/>
      <c r="AR464" s="70">
        <v>1</v>
      </c>
      <c r="AS464" s="70">
        <v>2</v>
      </c>
      <c r="AT464" s="70">
        <v>3</v>
      </c>
      <c r="AU464" s="70">
        <v>4</v>
      </c>
      <c r="AV464" s="70"/>
      <c r="AW464" s="65"/>
      <c r="AX464" s="68"/>
      <c r="AY464" s="2"/>
    </row>
    <row r="465" spans="39:51" x14ac:dyDescent="0.3">
      <c r="AM465" s="72" t="str">
        <f>RIGHT(AM482,AN465)</f>
        <v>0.00</v>
      </c>
      <c r="AN465" s="73">
        <v>4</v>
      </c>
      <c r="AO465" s="74" t="str">
        <f t="shared" ref="AO465:AO475" si="6">IF(AM465=AM464,"0",MID(AM465,1,1))</f>
        <v>0</v>
      </c>
      <c r="AP465" s="75">
        <f>IF(VLOOKUP(AO465,AM484:AN495,2,FALSE)=0,0,VLOOKUP(AO465,AM484:AN495,2,FALSE))</f>
        <v>0</v>
      </c>
      <c r="AQ465" s="65"/>
      <c r="AR465" s="76" t="str">
        <f>IF(AP465=0,"",VLOOKUP(AP465,AN484:AR493,4,FALSE))</f>
        <v/>
      </c>
      <c r="AS465" s="77" t="e">
        <f>IF(AP466=1,VLOOKUP(AP465,AN484:AR493,5,FALSE),VLOOKUP(AP465,AN484:AR493,4,FALSE))</f>
        <v>#N/A</v>
      </c>
      <c r="AT465" s="77" t="str">
        <f>IF(AP466=1,AS465,AR465)</f>
        <v/>
      </c>
      <c r="AU465" s="78" t="str">
        <f>IF(AP465=0,AR465,AT465)</f>
        <v/>
      </c>
      <c r="AV465" s="65" t="str">
        <f>IF(AND(AP466&gt;2,AP465&gt;0),"Y ","")</f>
        <v/>
      </c>
      <c r="AW465" s="65" t="str">
        <f>CONCATENATE(AU467,AU466,AV465,AU465)</f>
        <v/>
      </c>
      <c r="AX465" s="68"/>
      <c r="AY465" s="2"/>
    </row>
    <row r="466" spans="39:51" x14ac:dyDescent="0.3">
      <c r="AM466" s="64" t="str">
        <f>RIGHT(AM482,AN466)</f>
        <v>0.00</v>
      </c>
      <c r="AN466" s="65">
        <v>5</v>
      </c>
      <c r="AO466" s="70" t="str">
        <f t="shared" si="6"/>
        <v>0</v>
      </c>
      <c r="AP466" s="79">
        <f>IF(VLOOKUP(AO466,AM484:AN495,2,FALSE)=0,0,VLOOKUP(AO466,AM484:AN495,2,FALSE))</f>
        <v>0</v>
      </c>
      <c r="AQ466" s="65"/>
      <c r="AR466" s="80" t="str">
        <f>IF(AP466=0,"",VLOOKUP(AP466,AN484:AR493,3,FALSE))</f>
        <v/>
      </c>
      <c r="AS466" s="69" t="str">
        <f>IF(AP466=1,"",AR466)</f>
        <v/>
      </c>
      <c r="AT466" s="69" t="str">
        <f>IF(AP466=2,AS482,AS466)</f>
        <v/>
      </c>
      <c r="AU466" s="81" t="str">
        <f>IF(AP465=0,AR466,AT466)</f>
        <v/>
      </c>
      <c r="AV466" s="69"/>
      <c r="AW466" s="69"/>
      <c r="AX466" s="68"/>
      <c r="AY466" s="2"/>
    </row>
    <row r="467" spans="39:51" ht="15" thickBot="1" x14ac:dyDescent="0.35">
      <c r="AM467" s="82" t="str">
        <f>RIGHT(AM482,AN467)</f>
        <v>0.00</v>
      </c>
      <c r="AN467" s="83">
        <v>6</v>
      </c>
      <c r="AO467" s="84" t="str">
        <f t="shared" si="6"/>
        <v>0</v>
      </c>
      <c r="AP467" s="85">
        <f>IF(VLOOKUP(AO467,AM484:AN495,2,FALSE)=0,0,VLOOKUP(AO467,AM484:AN495,2,FALSE))</f>
        <v>0</v>
      </c>
      <c r="AQ467" s="65"/>
      <c r="AR467" s="86" t="str">
        <f>IF(AP467=0,"",VLOOKUP(AP467,AN484:AR493,2,FALSE))</f>
        <v/>
      </c>
      <c r="AS467" s="87"/>
      <c r="AT467" s="88" t="str">
        <f>IF(AP467=1,AO481,AR467)</f>
        <v/>
      </c>
      <c r="AU467" s="89" t="str">
        <f>IF(AP465+AP466=0,AR467,AT467)</f>
        <v/>
      </c>
      <c r="AV467" s="69"/>
      <c r="AW467" s="69"/>
      <c r="AX467" s="68"/>
      <c r="AY467" s="2"/>
    </row>
    <row r="468" spans="39:51" ht="15" thickBot="1" x14ac:dyDescent="0.35">
      <c r="AM468" s="64" t="str">
        <f>RIGHT(AM482,AN468)</f>
        <v>0.00</v>
      </c>
      <c r="AN468" s="65">
        <v>7</v>
      </c>
      <c r="AO468" s="70" t="str">
        <f t="shared" si="6"/>
        <v>0</v>
      </c>
      <c r="AP468" s="65">
        <f>IF(VLOOKUP(AO468,AM484:AN495,2,FALSE)=0,0,VLOOKUP(AO468,AM484:AN495,2,FALSE))</f>
        <v>0</v>
      </c>
      <c r="AQ468" s="65"/>
      <c r="AR468" s="69" t="str">
        <f>IF(SUM(AP469:AP471)=0,"","MIL ")</f>
        <v/>
      </c>
      <c r="AS468" s="69"/>
      <c r="AT468" s="69"/>
      <c r="AU468" s="69"/>
      <c r="AV468" s="69"/>
      <c r="AW468" s="69" t="str">
        <f>AR468</f>
        <v/>
      </c>
      <c r="AX468" s="68"/>
      <c r="AY468" s="2"/>
    </row>
    <row r="469" spans="39:51" x14ac:dyDescent="0.3">
      <c r="AM469" s="72" t="str">
        <f>RIGHT(AM482,AN469)</f>
        <v>0.00</v>
      </c>
      <c r="AN469" s="73">
        <v>8</v>
      </c>
      <c r="AO469" s="74" t="str">
        <f t="shared" si="6"/>
        <v>0</v>
      </c>
      <c r="AP469" s="75">
        <f>IF(VLOOKUP(AO469,AM484:AN495,2,FALSE)=0,0,VLOOKUP(AO469,AM484:AN495,2,FALSE))</f>
        <v>0</v>
      </c>
      <c r="AQ469" s="65"/>
      <c r="AR469" s="76" t="str">
        <f>IF(AP469=0,"",VLOOKUP(AP469,AN484:AR493,4,FALSE))</f>
        <v/>
      </c>
      <c r="AS469" s="77" t="e">
        <f>IF(AP470=1,VLOOKUP(AP469,AN484:AR493,5,FALSE),VLOOKUP(AP469,AN484:AR493,4,FALSE))</f>
        <v>#N/A</v>
      </c>
      <c r="AT469" s="77" t="str">
        <f>IF(AP470=1,AS469,AR469)</f>
        <v/>
      </c>
      <c r="AU469" s="78" t="str">
        <f>IF(AP469=0,AR469,AT469)</f>
        <v/>
      </c>
      <c r="AV469" s="65" t="str">
        <f>IF(AND(AP470&gt;2,AP469&gt;0),"Y ","")</f>
        <v/>
      </c>
      <c r="AW469" s="65" t="str">
        <f>CONCATENATE(AU471,AU470,AV469,AU469)</f>
        <v/>
      </c>
      <c r="AX469" s="68"/>
      <c r="AY469" s="2"/>
    </row>
    <row r="470" spans="39:51" x14ac:dyDescent="0.3">
      <c r="AM470" s="64" t="str">
        <f>RIGHT(AM482,AN470)</f>
        <v>0.00</v>
      </c>
      <c r="AN470" s="65">
        <v>9</v>
      </c>
      <c r="AO470" s="70" t="str">
        <f t="shared" si="6"/>
        <v>0</v>
      </c>
      <c r="AP470" s="79">
        <f>IF(VLOOKUP(AO470,AM484:AN495,2,FALSE)=0,0,VLOOKUP(AO470,AM484:AN495,2,FALSE))</f>
        <v>0</v>
      </c>
      <c r="AQ470" s="65"/>
      <c r="AR470" s="80" t="str">
        <f>IF(AP470=0,"",VLOOKUP(AP470,AN484:AR493,3,FALSE))</f>
        <v/>
      </c>
      <c r="AS470" s="69" t="str">
        <f>IF(AP470=1,"",AR470)</f>
        <v/>
      </c>
      <c r="AT470" s="69" t="str">
        <f>IF(AP470=2,AS482,AS470)</f>
        <v/>
      </c>
      <c r="AU470" s="81" t="str">
        <f>IF(AP469=0,AR470,AT470)</f>
        <v/>
      </c>
      <c r="AV470" s="69"/>
      <c r="AW470" s="69"/>
      <c r="AX470" s="68"/>
      <c r="AY470" s="2"/>
    </row>
    <row r="471" spans="39:51" ht="15" thickBot="1" x14ac:dyDescent="0.35">
      <c r="AM471" s="82" t="str">
        <f>RIGHT(AM482,AN471)</f>
        <v>0.00</v>
      </c>
      <c r="AN471" s="83">
        <v>10</v>
      </c>
      <c r="AO471" s="84" t="str">
        <f t="shared" si="6"/>
        <v>0</v>
      </c>
      <c r="AP471" s="85">
        <f>IF(VLOOKUP(AO471,AM484:AN495,2,FALSE)=0,0,VLOOKUP(AO471,AM484:AN495,2,FALSE))</f>
        <v>0</v>
      </c>
      <c r="AQ471" s="65"/>
      <c r="AR471" s="86" t="str">
        <f>IF(AP471=0,"",VLOOKUP(AP471,AN484:AR495,2,FALSE))</f>
        <v/>
      </c>
      <c r="AS471" s="87"/>
      <c r="AT471" s="88" t="str">
        <f>IF(AP471=1,AO481,AR471)</f>
        <v/>
      </c>
      <c r="AU471" s="89" t="str">
        <f>IF(AP469+AP470=0,AR471,AT471)</f>
        <v/>
      </c>
      <c r="AV471" s="69"/>
      <c r="AW471" s="69"/>
      <c r="AX471" s="68"/>
      <c r="AY471" s="2"/>
    </row>
    <row r="472" spans="39:51" ht="15" thickBot="1" x14ac:dyDescent="0.35">
      <c r="AM472" s="64" t="str">
        <f>RIGHT(AM482,AN472)</f>
        <v>0.00</v>
      </c>
      <c r="AN472" s="65">
        <v>11</v>
      </c>
      <c r="AO472" s="70" t="str">
        <f t="shared" si="6"/>
        <v>0</v>
      </c>
      <c r="AP472" s="65">
        <f>IF(VLOOKUP(AO472,AM484:AN495,2,FALSE)=0,0,VLOOKUP(AO472,AM484:AN495,2,FALSE))</f>
        <v>0</v>
      </c>
      <c r="AQ472" s="65"/>
      <c r="AR472" s="69" t="str">
        <f>IF(AM457&gt;1999999.99,"MILLONES","MILLON")</f>
        <v>MILLON</v>
      </c>
      <c r="AS472" s="69"/>
      <c r="AT472" s="69"/>
      <c r="AU472" s="69"/>
      <c r="AV472" s="69" t="str">
        <f>IF(SUM(AP473:AP475)&gt;0,AR472,"")</f>
        <v/>
      </c>
      <c r="AW472" s="65" t="str">
        <f>CONCATENATE(AV472," ",AV474)</f>
        <v xml:space="preserve">  </v>
      </c>
      <c r="AX472" s="68"/>
      <c r="AY472" s="2"/>
    </row>
    <row r="473" spans="39:51" x14ac:dyDescent="0.3">
      <c r="AM473" s="72" t="str">
        <f>RIGHT(AM482,AN473)</f>
        <v>0.00</v>
      </c>
      <c r="AN473" s="73">
        <v>12</v>
      </c>
      <c r="AO473" s="74" t="str">
        <f t="shared" si="6"/>
        <v>0</v>
      </c>
      <c r="AP473" s="75">
        <f>IF(VLOOKUP(AO473,AM484:AN495,2,FALSE)=0,0,VLOOKUP(AO473,AM484:AN495,2,FALSE))</f>
        <v>0</v>
      </c>
      <c r="AQ473" s="65"/>
      <c r="AR473" s="76" t="str">
        <f>IF(AP473=0,"",VLOOKUP(AP473,AN484:AR493,4,FALSE))</f>
        <v/>
      </c>
      <c r="AS473" s="77" t="e">
        <f>IF(AP474=1,VLOOKUP(AP473,AN484:AR493,5,FALSE),VLOOKUP(AP473,AN484:AR493,4,FALSE))</f>
        <v>#N/A</v>
      </c>
      <c r="AT473" s="77" t="str">
        <f>IF(AP474=1,AS473,AR473)</f>
        <v/>
      </c>
      <c r="AU473" s="78" t="str">
        <f>IF(AP473=0,AR473,AT473)</f>
        <v/>
      </c>
      <c r="AV473" s="65" t="str">
        <f>IF(AND(AP474&gt;2,AP473&gt;0),"Y ","")</f>
        <v/>
      </c>
      <c r="AW473" s="65" t="str">
        <f>CONCATENATE(AU475,AU474,AV473,AU473)</f>
        <v/>
      </c>
      <c r="AX473" s="68"/>
      <c r="AY473" s="2"/>
    </row>
    <row r="474" spans="39:51" x14ac:dyDescent="0.3">
      <c r="AM474" s="64" t="str">
        <f>RIGHT(AM482,AN474)</f>
        <v>0.00</v>
      </c>
      <c r="AN474" s="65">
        <v>13</v>
      </c>
      <c r="AO474" s="70" t="str">
        <f t="shared" si="6"/>
        <v>0</v>
      </c>
      <c r="AP474" s="79">
        <f>IF(VLOOKUP(AO474,AM484:AN495,2,FALSE)=0,0,VLOOKUP(AO474,AM484:AN495,2,FALSE))</f>
        <v>0</v>
      </c>
      <c r="AQ474" s="65"/>
      <c r="AR474" s="80" t="str">
        <f>IF(AP474=0,"",VLOOKUP(AP474,AN484:AR493,3,FALSE))</f>
        <v/>
      </c>
      <c r="AS474" s="69" t="str">
        <f>IF(AP474=1,"",AR474)</f>
        <v/>
      </c>
      <c r="AT474" s="69" t="str">
        <f>IF(AP474=2,AS482,AS474)</f>
        <v/>
      </c>
      <c r="AU474" s="81" t="str">
        <f>IF(AP473=0,AR474,AT474)</f>
        <v/>
      </c>
      <c r="AV474" s="65" t="str">
        <f>IF(AND(AM457&gt;0.99,SUM(AP473:AP475)&gt;0),IF(SUM(AP465:AP471)&gt;0," ","DE ")," ")</f>
        <v xml:space="preserve"> </v>
      </c>
      <c r="AW474" s="69"/>
      <c r="AX474" s="68"/>
      <c r="AY474" s="2"/>
    </row>
    <row r="475" spans="39:51" ht="15" thickBot="1" x14ac:dyDescent="0.35">
      <c r="AM475" s="82" t="str">
        <f>RIGHT(AM482,AN475)</f>
        <v>0.00</v>
      </c>
      <c r="AN475" s="83">
        <v>14</v>
      </c>
      <c r="AO475" s="84" t="str">
        <f t="shared" si="6"/>
        <v>0</v>
      </c>
      <c r="AP475" s="85">
        <f>IF(VLOOKUP(AO475,AM484:AN495,2,FALSE)=0,0,VLOOKUP(AO475,AM484:AN495,2,FALSE))</f>
        <v>0</v>
      </c>
      <c r="AQ475" s="65"/>
      <c r="AR475" s="86" t="str">
        <f>IF(AP475=0,"",VLOOKUP(AP475,AN484:AR496,2,FALSE))</f>
        <v/>
      </c>
      <c r="AS475" s="87"/>
      <c r="AT475" s="88" t="str">
        <f>IF(AP475=1,AO481,AR475)</f>
        <v/>
      </c>
      <c r="AU475" s="89" t="str">
        <f>IF(AP473+AP474=0,AR475,AT475)</f>
        <v/>
      </c>
      <c r="AV475" s="65"/>
      <c r="AW475" s="69"/>
      <c r="AX475" s="68"/>
      <c r="AY475" s="2"/>
    </row>
    <row r="476" spans="39:51" x14ac:dyDescent="0.3">
      <c r="AM476" s="64"/>
      <c r="AN476" s="65"/>
      <c r="AO476" s="65"/>
      <c r="AP476" s="65"/>
      <c r="AQ476" s="65"/>
      <c r="AR476" s="65"/>
      <c r="AS476" s="65"/>
      <c r="AT476" s="65"/>
      <c r="AU476" s="65"/>
      <c r="AV476" s="65"/>
      <c r="AW476" s="65"/>
      <c r="AX476" s="68"/>
      <c r="AY476" s="2"/>
    </row>
    <row r="477" spans="39:51" x14ac:dyDescent="0.3">
      <c r="AM477" s="64"/>
      <c r="AN477" s="65"/>
      <c r="AO477" s="65"/>
      <c r="AP477" s="67" t="s">
        <v>8</v>
      </c>
      <c r="AQ477" s="65"/>
      <c r="AR477" s="65"/>
      <c r="AS477" s="65"/>
      <c r="AT477" s="66" t="s">
        <v>9</v>
      </c>
      <c r="AU477" s="67" t="s">
        <v>6</v>
      </c>
      <c r="AV477" s="65"/>
      <c r="AW477" s="65"/>
      <c r="AX477" s="68"/>
      <c r="AY477" s="2"/>
    </row>
    <row r="478" spans="39:51" x14ac:dyDescent="0.3">
      <c r="AM478" s="64"/>
      <c r="AN478" s="65"/>
      <c r="AO478" s="65"/>
      <c r="AP478" s="65"/>
      <c r="AQ478" s="65"/>
      <c r="AR478" s="65"/>
      <c r="AS478" s="65"/>
      <c r="AT478" s="65"/>
      <c r="AU478" s="69" t="str">
        <f>CONCATENATE(AP463,AP462,AP477)</f>
        <v>00/100 U.S. Cy</v>
      </c>
      <c r="AV478" s="65"/>
      <c r="AW478" s="65"/>
      <c r="AX478" s="68"/>
      <c r="AY478" s="2"/>
    </row>
    <row r="479" spans="39:51" x14ac:dyDescent="0.3">
      <c r="AM479" s="90" t="str">
        <f>CONCATENATE(AO475,AO474,AO473,AO472,AO471,AO470,AO469,AO468,AO467,AO466,AO465,AO464,AO463,AO462)</f>
        <v>00000000000.00</v>
      </c>
      <c r="AN479" s="65"/>
      <c r="AO479" s="65"/>
      <c r="AP479" s="65"/>
      <c r="AQ479" s="65"/>
      <c r="AR479" s="65"/>
      <c r="AS479" s="65"/>
      <c r="AT479" s="71"/>
      <c r="AU479" s="69" t="str">
        <f>IF(AM457&lt;&gt;1,"DOLARES,  ","PESO  ")</f>
        <v xml:space="preserve">DOLARES,  </v>
      </c>
      <c r="AV479" s="65"/>
      <c r="AW479" s="65"/>
      <c r="AX479" s="68"/>
      <c r="AY479" s="2"/>
    </row>
    <row r="480" spans="39:51" ht="15" thickBot="1" x14ac:dyDescent="0.35">
      <c r="AM480" s="64"/>
      <c r="AN480" s="65"/>
      <c r="AO480" s="65"/>
      <c r="AP480" s="65"/>
      <c r="AQ480" s="65"/>
      <c r="AR480" s="65"/>
      <c r="AS480" s="65"/>
      <c r="AT480" s="65"/>
      <c r="AU480" s="65"/>
      <c r="AV480" s="65"/>
      <c r="AW480" s="65"/>
      <c r="AX480" s="68"/>
      <c r="AY480" s="2"/>
    </row>
    <row r="481" spans="39:51" x14ac:dyDescent="0.3">
      <c r="AM481" s="91"/>
      <c r="AN481" s="92"/>
      <c r="AO481" s="93" t="s">
        <v>10</v>
      </c>
      <c r="AP481" s="94"/>
      <c r="AQ481" s="93"/>
      <c r="AR481" s="94"/>
      <c r="AS481" s="95"/>
      <c r="AT481" s="65"/>
      <c r="AU481" s="65"/>
      <c r="AV481" s="65"/>
      <c r="AW481" s="65"/>
      <c r="AX481" s="68"/>
      <c r="AY481" s="2"/>
    </row>
    <row r="482" spans="39:51" x14ac:dyDescent="0.3">
      <c r="AM482" s="96" t="str">
        <f>FIXED(AM457)</f>
        <v>0.00</v>
      </c>
      <c r="AN482" s="65"/>
      <c r="AO482" s="97" t="s">
        <v>11</v>
      </c>
      <c r="AP482" s="97" t="s">
        <v>12</v>
      </c>
      <c r="AQ482" s="97" t="s">
        <v>13</v>
      </c>
      <c r="AR482" s="98" t="s">
        <v>14</v>
      </c>
      <c r="AS482" s="99" t="s">
        <v>15</v>
      </c>
      <c r="AT482" s="65"/>
      <c r="AU482" s="65"/>
      <c r="AV482" s="65"/>
      <c r="AW482" s="65"/>
      <c r="AX482" s="68"/>
      <c r="AY482" s="2"/>
    </row>
    <row r="483" spans="39:51" x14ac:dyDescent="0.3">
      <c r="AM483" s="64"/>
      <c r="AN483" s="100">
        <v>1</v>
      </c>
      <c r="AO483" s="100">
        <v>8</v>
      </c>
      <c r="AP483" s="100">
        <v>9</v>
      </c>
      <c r="AQ483" s="100">
        <v>10</v>
      </c>
      <c r="AR483" s="100">
        <v>11</v>
      </c>
      <c r="AS483" s="99"/>
      <c r="AT483" s="65"/>
      <c r="AU483" s="65"/>
      <c r="AV483" s="65"/>
      <c r="AW483" s="65"/>
      <c r="AX483" s="68"/>
      <c r="AY483" s="2"/>
    </row>
    <row r="484" spans="39:51" x14ac:dyDescent="0.3">
      <c r="AM484" s="101" t="s">
        <v>16</v>
      </c>
      <c r="AN484" s="65">
        <v>1</v>
      </c>
      <c r="AO484" s="102" t="s">
        <v>17</v>
      </c>
      <c r="AP484" s="102" t="s">
        <v>18</v>
      </c>
      <c r="AQ484" s="102" t="s">
        <v>19</v>
      </c>
      <c r="AR484" s="102" t="s">
        <v>20</v>
      </c>
      <c r="AS484" s="99"/>
      <c r="AT484" s="65"/>
      <c r="AU484" s="65"/>
      <c r="AV484" s="65"/>
      <c r="AW484" s="65"/>
      <c r="AX484" s="68"/>
      <c r="AY484" s="2"/>
    </row>
    <row r="485" spans="39:51" x14ac:dyDescent="0.3">
      <c r="AM485" s="101" t="s">
        <v>21</v>
      </c>
      <c r="AN485" s="65">
        <v>2</v>
      </c>
      <c r="AO485" s="102" t="s">
        <v>22</v>
      </c>
      <c r="AP485" s="102" t="s">
        <v>23</v>
      </c>
      <c r="AQ485" s="102" t="s">
        <v>24</v>
      </c>
      <c r="AR485" s="102" t="s">
        <v>25</v>
      </c>
      <c r="AS485" s="99"/>
      <c r="AT485" s="65"/>
      <c r="AU485" s="65"/>
      <c r="AV485" s="65"/>
      <c r="AW485" s="65"/>
      <c r="AX485" s="68"/>
      <c r="AY485" s="2"/>
    </row>
    <row r="486" spans="39:51" x14ac:dyDescent="0.3">
      <c r="AM486" s="101" t="s">
        <v>26</v>
      </c>
      <c r="AN486" s="65">
        <v>3</v>
      </c>
      <c r="AO486" s="102" t="s">
        <v>27</v>
      </c>
      <c r="AP486" s="102" t="s">
        <v>28</v>
      </c>
      <c r="AQ486" s="102" t="s">
        <v>29</v>
      </c>
      <c r="AR486" s="102" t="s">
        <v>30</v>
      </c>
      <c r="AS486" s="99"/>
      <c r="AT486" s="65"/>
      <c r="AU486" s="65"/>
      <c r="AV486" s="65"/>
      <c r="AW486" s="65"/>
      <c r="AX486" s="68"/>
      <c r="AY486" s="2"/>
    </row>
    <row r="487" spans="39:51" x14ac:dyDescent="0.3">
      <c r="AM487" s="101" t="s">
        <v>31</v>
      </c>
      <c r="AN487" s="65">
        <v>4</v>
      </c>
      <c r="AO487" s="102" t="s">
        <v>32</v>
      </c>
      <c r="AP487" s="102" t="s">
        <v>33</v>
      </c>
      <c r="AQ487" s="102" t="s">
        <v>34</v>
      </c>
      <c r="AR487" s="102" t="s">
        <v>35</v>
      </c>
      <c r="AS487" s="99"/>
      <c r="AT487" s="65"/>
      <c r="AU487" s="65"/>
      <c r="AV487" s="65"/>
      <c r="AW487" s="65"/>
      <c r="AX487" s="68"/>
      <c r="AY487" s="2"/>
    </row>
    <row r="488" spans="39:51" x14ac:dyDescent="0.3">
      <c r="AM488" s="101" t="s">
        <v>36</v>
      </c>
      <c r="AN488" s="65">
        <v>5</v>
      </c>
      <c r="AO488" s="102" t="s">
        <v>37</v>
      </c>
      <c r="AP488" s="102" t="s">
        <v>38</v>
      </c>
      <c r="AQ488" s="102" t="s">
        <v>39</v>
      </c>
      <c r="AR488" s="102" t="s">
        <v>40</v>
      </c>
      <c r="AS488" s="99"/>
      <c r="AT488" s="65"/>
      <c r="AU488" s="65"/>
      <c r="AV488" s="65"/>
      <c r="AW488" s="65"/>
      <c r="AX488" s="68"/>
      <c r="AY488" s="2"/>
    </row>
    <row r="489" spans="39:51" x14ac:dyDescent="0.3">
      <c r="AM489" s="101" t="s">
        <v>41</v>
      </c>
      <c r="AN489" s="65">
        <v>6</v>
      </c>
      <c r="AO489" s="102" t="s">
        <v>42</v>
      </c>
      <c r="AP489" s="102" t="s">
        <v>43</v>
      </c>
      <c r="AQ489" s="102" t="s">
        <v>44</v>
      </c>
      <c r="AR489" s="102" t="s">
        <v>45</v>
      </c>
      <c r="AS489" s="99"/>
      <c r="AT489" s="65"/>
      <c r="AU489" s="65"/>
      <c r="AV489" s="65"/>
      <c r="AW489" s="65"/>
      <c r="AX489" s="68"/>
      <c r="AY489" s="2"/>
    </row>
    <row r="490" spans="39:51" x14ac:dyDescent="0.3">
      <c r="AM490" s="101" t="s">
        <v>46</v>
      </c>
      <c r="AN490" s="65">
        <v>7</v>
      </c>
      <c r="AO490" s="102" t="s">
        <v>47</v>
      </c>
      <c r="AP490" s="102" t="s">
        <v>48</v>
      </c>
      <c r="AQ490" s="102" t="s">
        <v>49</v>
      </c>
      <c r="AR490" s="102" t="s">
        <v>50</v>
      </c>
      <c r="AS490" s="99"/>
      <c r="AT490" s="65"/>
      <c r="AU490" s="65"/>
      <c r="AV490" s="65"/>
      <c r="AW490" s="65"/>
      <c r="AX490" s="68"/>
      <c r="AY490" s="2"/>
    </row>
    <row r="491" spans="39:51" x14ac:dyDescent="0.3">
      <c r="AM491" s="101" t="s">
        <v>51</v>
      </c>
      <c r="AN491" s="65">
        <v>8</v>
      </c>
      <c r="AO491" s="102" t="s">
        <v>52</v>
      </c>
      <c r="AP491" s="102" t="s">
        <v>53</v>
      </c>
      <c r="AQ491" s="102" t="s">
        <v>54</v>
      </c>
      <c r="AR491" s="102" t="s">
        <v>55</v>
      </c>
      <c r="AS491" s="99"/>
      <c r="AT491" s="65"/>
      <c r="AU491" s="65"/>
      <c r="AV491" s="65"/>
      <c r="AW491" s="65"/>
      <c r="AX491" s="68"/>
      <c r="AY491" s="2"/>
    </row>
    <row r="492" spans="39:51" x14ac:dyDescent="0.3">
      <c r="AM492" s="101" t="s">
        <v>56</v>
      </c>
      <c r="AN492" s="65">
        <v>9</v>
      </c>
      <c r="AO492" s="102" t="s">
        <v>57</v>
      </c>
      <c r="AP492" s="102" t="s">
        <v>58</v>
      </c>
      <c r="AQ492" s="102" t="s">
        <v>59</v>
      </c>
      <c r="AR492" s="102" t="s">
        <v>60</v>
      </c>
      <c r="AS492" s="99"/>
      <c r="AT492" s="65"/>
      <c r="AU492" s="65"/>
      <c r="AV492" s="65"/>
      <c r="AW492" s="65"/>
      <c r="AX492" s="68"/>
      <c r="AY492" s="2"/>
    </row>
    <row r="493" spans="39:51" x14ac:dyDescent="0.3">
      <c r="AM493" s="101" t="s">
        <v>61</v>
      </c>
      <c r="AN493" s="65"/>
      <c r="AO493" s="65"/>
      <c r="AP493" s="65"/>
      <c r="AQ493" s="65"/>
      <c r="AR493" s="65"/>
      <c r="AS493" s="99"/>
      <c r="AT493" s="65"/>
      <c r="AU493" s="65"/>
      <c r="AV493" s="65"/>
      <c r="AW493" s="65"/>
      <c r="AX493" s="68"/>
      <c r="AY493" s="2"/>
    </row>
    <row r="494" spans="39:51" x14ac:dyDescent="0.3">
      <c r="AM494" s="101" t="s">
        <v>62</v>
      </c>
      <c r="AN494" s="65">
        <v>1</v>
      </c>
      <c r="AO494" s="65">
        <v>2</v>
      </c>
      <c r="AP494" s="65">
        <v>3</v>
      </c>
      <c r="AQ494" s="65">
        <v>4</v>
      </c>
      <c r="AR494" s="65">
        <v>5</v>
      </c>
      <c r="AS494" s="99"/>
      <c r="AT494" s="65"/>
      <c r="AU494" s="65"/>
      <c r="AV494" s="65"/>
      <c r="AW494" s="65"/>
      <c r="AX494" s="68"/>
      <c r="AY494" s="2"/>
    </row>
    <row r="495" spans="39:51" x14ac:dyDescent="0.3">
      <c r="AM495" s="101" t="s">
        <v>63</v>
      </c>
      <c r="AN495" s="65"/>
      <c r="AO495" s="65"/>
      <c r="AP495" s="65"/>
      <c r="AQ495" s="65"/>
      <c r="AR495" s="65"/>
      <c r="AS495" s="99"/>
      <c r="AT495" s="65"/>
      <c r="AU495" s="65"/>
      <c r="AV495" s="65"/>
      <c r="AW495" s="65"/>
      <c r="AX495" s="68"/>
      <c r="AY495" s="2"/>
    </row>
    <row r="496" spans="39:51" ht="15" thickBot="1" x14ac:dyDescent="0.35">
      <c r="AM496" s="103"/>
      <c r="AN496" s="87"/>
      <c r="AO496" s="87"/>
      <c r="AP496" s="87"/>
      <c r="AQ496" s="87"/>
      <c r="AR496" s="87"/>
      <c r="AS496" s="104"/>
      <c r="AT496" s="65"/>
      <c r="AU496" s="65"/>
      <c r="AV496" s="65"/>
      <c r="AW496" s="65"/>
      <c r="AX496" s="68"/>
      <c r="AY496" s="2"/>
    </row>
    <row r="497" spans="39:51" ht="15" thickBot="1" x14ac:dyDescent="0.35">
      <c r="AM497" s="105"/>
      <c r="AN497" s="106"/>
      <c r="AO497" s="106"/>
      <c r="AP497" s="106"/>
      <c r="AQ497" s="106"/>
      <c r="AR497" s="106"/>
      <c r="AS497" s="106"/>
      <c r="AT497" s="106"/>
      <c r="AU497" s="106"/>
      <c r="AV497" s="106"/>
      <c r="AW497" s="106"/>
      <c r="AX497" s="107"/>
      <c r="AY497" s="2"/>
    </row>
    <row r="498" spans="39:51" ht="15" thickTop="1" x14ac:dyDescent="0.3">
      <c r="AM498" s="65"/>
      <c r="AN498" s="65"/>
      <c r="AO498" s="65"/>
      <c r="AP498" s="65"/>
      <c r="AQ498" s="65"/>
      <c r="AR498" s="65"/>
      <c r="AS498" s="65"/>
      <c r="AT498" s="65"/>
      <c r="AU498" s="65"/>
      <c r="AV498" s="65"/>
      <c r="AW498" s="65"/>
      <c r="AX498" s="65"/>
      <c r="AY498" s="2"/>
    </row>
    <row r="499" spans="39:51" x14ac:dyDescent="0.3"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</row>
    <row r="500" spans="39:51" x14ac:dyDescent="0.3">
      <c r="AM500" s="108" t="s">
        <v>3</v>
      </c>
      <c r="AN500" s="108"/>
      <c r="AO500" s="108" t="s">
        <v>4</v>
      </c>
      <c r="AP500" s="108"/>
      <c r="AQ500" s="108"/>
      <c r="AR500" s="108"/>
      <c r="AS500" s="108"/>
      <c r="AT500" s="108"/>
      <c r="AU500" s="108"/>
      <c r="AV500" s="108"/>
      <c r="AW500" s="108"/>
      <c r="AX500" s="108"/>
      <c r="AY500" s="2"/>
    </row>
    <row r="501" spans="39:51" x14ac:dyDescent="0.3">
      <c r="AM501" s="109" t="e">
        <f>+#REF!</f>
        <v>#REF!</v>
      </c>
      <c r="AN501" s="108"/>
      <c r="AO501" s="110" t="e">
        <f>CONCATENATE(AT504,AW517,AW516,AW513,AW512,AW509,AU507,AU506,AU505,AU504)</f>
        <v>#REF!</v>
      </c>
      <c r="AP501" s="110"/>
      <c r="AQ501" s="110"/>
      <c r="AR501" s="110"/>
      <c r="AS501" s="110"/>
      <c r="AT501" s="110"/>
      <c r="AU501" s="110"/>
      <c r="AV501" s="110"/>
      <c r="AW501" s="110"/>
      <c r="AX501" s="110"/>
      <c r="AY501" s="2"/>
    </row>
    <row r="502" spans="39:51" ht="15" thickBot="1" x14ac:dyDescent="0.35">
      <c r="AM502" s="111">
        <v>53</v>
      </c>
      <c r="AN502" s="108"/>
      <c r="AO502" s="110" t="e">
        <f>CONCATENATE(AT504,AW517,AW516,AW513,AW512,AW509,AU507,AU523,AU522,AU504)</f>
        <v>#REF!</v>
      </c>
      <c r="AP502" s="108"/>
      <c r="AQ502" s="108"/>
      <c r="AR502" s="108"/>
      <c r="AS502" s="108"/>
      <c r="AT502" s="108"/>
      <c r="AU502" s="108"/>
      <c r="AV502" s="108"/>
      <c r="AW502" s="108"/>
      <c r="AX502" s="108"/>
      <c r="AY502" s="2"/>
    </row>
    <row r="503" spans="39:51" ht="15" thickTop="1" x14ac:dyDescent="0.3">
      <c r="AM503" s="112"/>
      <c r="AN503" s="113"/>
      <c r="AO503" s="113"/>
      <c r="AP503" s="113"/>
      <c r="AQ503" s="113"/>
      <c r="AR503" s="113"/>
      <c r="AS503" s="113"/>
      <c r="AT503" s="113"/>
      <c r="AU503" s="113"/>
      <c r="AV503" s="113"/>
      <c r="AW503" s="113"/>
      <c r="AX503" s="114"/>
      <c r="AY503" s="2"/>
    </row>
    <row r="504" spans="39:51" x14ac:dyDescent="0.3">
      <c r="AM504" s="115" t="e">
        <f>RIGHT(AM506)</f>
        <v>#REF!</v>
      </c>
      <c r="AN504" s="116"/>
      <c r="AO504" s="116"/>
      <c r="AP504" s="116"/>
      <c r="AQ504" s="116"/>
      <c r="AR504" s="116"/>
      <c r="AS504" s="116"/>
      <c r="AT504" s="117" t="s">
        <v>5</v>
      </c>
      <c r="AU504" s="118" t="s">
        <v>6</v>
      </c>
      <c r="AV504" s="116"/>
      <c r="AW504" s="116"/>
      <c r="AX504" s="119"/>
      <c r="AY504" s="2"/>
    </row>
    <row r="505" spans="39:51" x14ac:dyDescent="0.3">
      <c r="AM505" s="115"/>
      <c r="AN505" s="116"/>
      <c r="AO505" s="116"/>
      <c r="AP505" s="118" t="s">
        <v>7</v>
      </c>
      <c r="AQ505" s="116"/>
      <c r="AR505" s="116"/>
      <c r="AS505" s="116"/>
      <c r="AT505" s="116"/>
      <c r="AU505" s="120" t="e">
        <f>CONCATENATE(AP507,AP506,AP505)</f>
        <v>#REF!</v>
      </c>
      <c r="AV505" s="116"/>
      <c r="AW505" s="116"/>
      <c r="AX505" s="119"/>
      <c r="AY505" s="2"/>
    </row>
    <row r="506" spans="39:51" x14ac:dyDescent="0.3">
      <c r="AM506" s="115" t="e">
        <f>RIGHT(AM526,AN506)</f>
        <v>#REF!</v>
      </c>
      <c r="AN506" s="116">
        <v>1</v>
      </c>
      <c r="AO506" s="121" t="e">
        <f>MID(AM506,1,1)</f>
        <v>#REF!</v>
      </c>
      <c r="AP506" s="116" t="e">
        <f>IF(VLOOKUP(AO506,AM528:AN539,2,FALSE)=0,0,VLOOKUP(AO506,AM528:AN539,2,FALSE))</f>
        <v>#REF!</v>
      </c>
      <c r="AQ506" s="116"/>
      <c r="AR506" s="116"/>
      <c r="AS506" s="122"/>
      <c r="AT506" s="122"/>
      <c r="AU506" s="120" t="e">
        <f>IF(AM501&lt;&gt;1,"PESOS,  ","PESO  ")</f>
        <v>#REF!</v>
      </c>
      <c r="AV506" s="120"/>
      <c r="AW506" s="116"/>
      <c r="AX506" s="119"/>
      <c r="AY506" s="2"/>
    </row>
    <row r="507" spans="39:51" x14ac:dyDescent="0.3">
      <c r="AM507" s="115" t="e">
        <f>RIGHT(AM526,AN507)</f>
        <v>#REF!</v>
      </c>
      <c r="AN507" s="116">
        <v>2</v>
      </c>
      <c r="AO507" s="121" t="e">
        <f>MID(AM507,1,1)</f>
        <v>#REF!</v>
      </c>
      <c r="AP507" s="116" t="e">
        <f>IF(VLOOKUP(AO507,AM528:AN539,2,FALSE)=0,0,VLOOKUP(AO507,AM528:AN539,2,FALSE))</f>
        <v>#REF!</v>
      </c>
      <c r="AQ507" s="116"/>
      <c r="AR507" s="116"/>
      <c r="AS507" s="120" t="e">
        <f>IF(SUM(AP509:AP519)=0,"CERO  ","")</f>
        <v>#REF!</v>
      </c>
      <c r="AT507" s="120" t="e">
        <f>IF(AP509&gt;2,"Y ","")</f>
        <v>#REF!</v>
      </c>
      <c r="AU507" s="120" t="e">
        <f>IF(SUM(AP509:AP519)=0,AS507,"")</f>
        <v>#REF!</v>
      </c>
      <c r="AV507" s="116"/>
      <c r="AW507" s="116"/>
      <c r="AX507" s="119"/>
      <c r="AY507" s="2"/>
    </row>
    <row r="508" spans="39:51" ht="15" thickBot="1" x14ac:dyDescent="0.35">
      <c r="AM508" s="115" t="e">
        <f>RIGHT(AM526,AN508)</f>
        <v>#REF!</v>
      </c>
      <c r="AN508" s="116">
        <v>3</v>
      </c>
      <c r="AO508" s="121" t="e">
        <f>MID(AM508,1,1)</f>
        <v>#REF!</v>
      </c>
      <c r="AP508" s="116" t="e">
        <f>IF(VLOOKUP(AO508,AM528:AN539,2,FALSE)=0,0,VLOOKUP(AO508,AM528:AN539,2,FALSE))</f>
        <v>#REF!</v>
      </c>
      <c r="AQ508" s="116"/>
      <c r="AR508" s="121">
        <v>1</v>
      </c>
      <c r="AS508" s="121">
        <v>2</v>
      </c>
      <c r="AT508" s="121">
        <v>3</v>
      </c>
      <c r="AU508" s="121">
        <v>4</v>
      </c>
      <c r="AV508" s="121"/>
      <c r="AW508" s="116"/>
      <c r="AX508" s="119"/>
      <c r="AY508" s="2"/>
    </row>
    <row r="509" spans="39:51" x14ac:dyDescent="0.3">
      <c r="AM509" s="123" t="e">
        <f>RIGHT(AM526,AN509)</f>
        <v>#REF!</v>
      </c>
      <c r="AN509" s="124">
        <v>4</v>
      </c>
      <c r="AO509" s="125" t="e">
        <f t="shared" ref="AO509:AO519" si="7">IF(AM509=AM508,"0",MID(AM509,1,1))</f>
        <v>#REF!</v>
      </c>
      <c r="AP509" s="126" t="e">
        <f>IF(VLOOKUP(AO509,AM528:AN539,2,FALSE)=0,0,VLOOKUP(AO509,AM528:AN539,2,FALSE))</f>
        <v>#REF!</v>
      </c>
      <c r="AQ509" s="116"/>
      <c r="AR509" s="127" t="e">
        <f>IF(AP509=0,"",VLOOKUP(AP509,AN528:AR537,4,FALSE))</f>
        <v>#REF!</v>
      </c>
      <c r="AS509" s="128" t="e">
        <f>IF(AP510=1,VLOOKUP(AP509,AN528:AR537,5,FALSE),VLOOKUP(AP509,AN528:AR537,4,FALSE))</f>
        <v>#REF!</v>
      </c>
      <c r="AT509" s="128" t="e">
        <f>IF(AP510=1,AS509,AR509)</f>
        <v>#REF!</v>
      </c>
      <c r="AU509" s="129" t="e">
        <f>IF(AP509=0,AR509,AT509)</f>
        <v>#REF!</v>
      </c>
      <c r="AV509" s="116" t="e">
        <f>IF(AND(AP510&gt;2,AP509&gt;0),"Y ","")</f>
        <v>#REF!</v>
      </c>
      <c r="AW509" s="116" t="e">
        <f>CONCATENATE(AU511,AU510,AV509,AU509)</f>
        <v>#REF!</v>
      </c>
      <c r="AX509" s="119"/>
      <c r="AY509" s="2"/>
    </row>
    <row r="510" spans="39:51" x14ac:dyDescent="0.3">
      <c r="AM510" s="115" t="e">
        <f>RIGHT(AM526,AN510)</f>
        <v>#REF!</v>
      </c>
      <c r="AN510" s="116">
        <v>5</v>
      </c>
      <c r="AO510" s="121" t="e">
        <f t="shared" si="7"/>
        <v>#REF!</v>
      </c>
      <c r="AP510" s="130" t="e">
        <f>IF(VLOOKUP(AO510,AM528:AN539,2,FALSE)=0,0,VLOOKUP(AO510,AM528:AN539,2,FALSE))</f>
        <v>#REF!</v>
      </c>
      <c r="AQ510" s="116"/>
      <c r="AR510" s="131" t="e">
        <f>IF(AP510=0,"",VLOOKUP(AP510,AN528:AR537,3,FALSE))</f>
        <v>#REF!</v>
      </c>
      <c r="AS510" s="120" t="e">
        <f>IF(AP510=1,"",AR510)</f>
        <v>#REF!</v>
      </c>
      <c r="AT510" s="120" t="e">
        <f>IF(AP510=2,AS526,AS510)</f>
        <v>#REF!</v>
      </c>
      <c r="AU510" s="132" t="e">
        <f>IF(AP509=0,AR510,AT510)</f>
        <v>#REF!</v>
      </c>
      <c r="AV510" s="120"/>
      <c r="AW510" s="120"/>
      <c r="AX510" s="119"/>
      <c r="AY510" s="2"/>
    </row>
    <row r="511" spans="39:51" ht="15" thickBot="1" x14ac:dyDescent="0.35">
      <c r="AM511" s="133" t="e">
        <f>RIGHT(AM526,AN511)</f>
        <v>#REF!</v>
      </c>
      <c r="AN511" s="134">
        <v>6</v>
      </c>
      <c r="AO511" s="135" t="e">
        <f t="shared" si="7"/>
        <v>#REF!</v>
      </c>
      <c r="AP511" s="136" t="e">
        <f>IF(VLOOKUP(AO511,AM528:AN539,2,FALSE)=0,0,VLOOKUP(AO511,AM528:AN539,2,FALSE))</f>
        <v>#REF!</v>
      </c>
      <c r="AQ511" s="116"/>
      <c r="AR511" s="137" t="e">
        <f>IF(AP511=0,"",VLOOKUP(AP511,AN528:AR537,2,FALSE))</f>
        <v>#REF!</v>
      </c>
      <c r="AS511" s="138"/>
      <c r="AT511" s="139" t="e">
        <f>IF(AP511=1,AO525,AR511)</f>
        <v>#REF!</v>
      </c>
      <c r="AU511" s="140" t="e">
        <f>IF(AP509+AP510=0,AR511,AT511)</f>
        <v>#REF!</v>
      </c>
      <c r="AV511" s="120"/>
      <c r="AW511" s="120"/>
      <c r="AX511" s="119"/>
      <c r="AY511" s="2"/>
    </row>
    <row r="512" spans="39:51" ht="15" thickBot="1" x14ac:dyDescent="0.35">
      <c r="AM512" s="115" t="e">
        <f>RIGHT(AM526,AN512)</f>
        <v>#REF!</v>
      </c>
      <c r="AN512" s="116">
        <v>7</v>
      </c>
      <c r="AO512" s="121" t="e">
        <f t="shared" si="7"/>
        <v>#REF!</v>
      </c>
      <c r="AP512" s="116" t="e">
        <f>IF(VLOOKUP(AO512,AM528:AN539,2,FALSE)=0,0,VLOOKUP(AO512,AM528:AN539,2,FALSE))</f>
        <v>#REF!</v>
      </c>
      <c r="AQ512" s="116"/>
      <c r="AR512" s="120" t="e">
        <f>IF(SUM(AP513:AP515)=0,"","MIL ")</f>
        <v>#REF!</v>
      </c>
      <c r="AS512" s="120"/>
      <c r="AT512" s="120"/>
      <c r="AU512" s="120"/>
      <c r="AV512" s="120"/>
      <c r="AW512" s="120" t="e">
        <f>AR512</f>
        <v>#REF!</v>
      </c>
      <c r="AX512" s="119"/>
      <c r="AY512" s="2"/>
    </row>
    <row r="513" spans="39:51" x14ac:dyDescent="0.3">
      <c r="AM513" s="123" t="e">
        <f>RIGHT(AM526,AN513)</f>
        <v>#REF!</v>
      </c>
      <c r="AN513" s="124">
        <v>8</v>
      </c>
      <c r="AO513" s="125" t="e">
        <f t="shared" si="7"/>
        <v>#REF!</v>
      </c>
      <c r="AP513" s="126" t="e">
        <f>IF(VLOOKUP(AO513,AM528:AN539,2,FALSE)=0,0,VLOOKUP(AO513,AM528:AN539,2,FALSE))</f>
        <v>#REF!</v>
      </c>
      <c r="AQ513" s="116"/>
      <c r="AR513" s="127" t="e">
        <f>IF(AP513=0,"",VLOOKUP(AP513,AN528:AR537,4,FALSE))</f>
        <v>#REF!</v>
      </c>
      <c r="AS513" s="128" t="e">
        <f>IF(AP514=1,VLOOKUP(AP513,AN528:AR537,5,FALSE),VLOOKUP(AP513,AN528:AR537,4,FALSE))</f>
        <v>#REF!</v>
      </c>
      <c r="AT513" s="128" t="e">
        <f>IF(AP514=1,AS513,AR513)</f>
        <v>#REF!</v>
      </c>
      <c r="AU513" s="129" t="e">
        <f>IF(AP513=0,AR513,AT513)</f>
        <v>#REF!</v>
      </c>
      <c r="AV513" s="116" t="e">
        <f>IF(AND(AP514&gt;2,AP513&gt;0),"Y ","")</f>
        <v>#REF!</v>
      </c>
      <c r="AW513" s="116" t="e">
        <f>CONCATENATE(AU515,AU514,AV513,AU513)</f>
        <v>#REF!</v>
      </c>
      <c r="AX513" s="119"/>
      <c r="AY513" s="2"/>
    </row>
    <row r="514" spans="39:51" x14ac:dyDescent="0.3">
      <c r="AM514" s="115" t="e">
        <f>RIGHT(AM526,AN514)</f>
        <v>#REF!</v>
      </c>
      <c r="AN514" s="116">
        <v>9</v>
      </c>
      <c r="AO514" s="121" t="e">
        <f t="shared" si="7"/>
        <v>#REF!</v>
      </c>
      <c r="AP514" s="130" t="e">
        <f>IF(VLOOKUP(AO514,AM528:AN539,2,FALSE)=0,0,VLOOKUP(AO514,AM528:AN539,2,FALSE))</f>
        <v>#REF!</v>
      </c>
      <c r="AQ514" s="116"/>
      <c r="AR514" s="131" t="e">
        <f>IF(AP514=0,"",VLOOKUP(AP514,AN528:AR537,3,FALSE))</f>
        <v>#REF!</v>
      </c>
      <c r="AS514" s="120" t="e">
        <f>IF(AP514=1,"",AR514)</f>
        <v>#REF!</v>
      </c>
      <c r="AT514" s="120" t="e">
        <f>IF(AP514=2,AS526,AS514)</f>
        <v>#REF!</v>
      </c>
      <c r="AU514" s="132" t="e">
        <f>IF(AP513=0,AR514,AT514)</f>
        <v>#REF!</v>
      </c>
      <c r="AV514" s="120"/>
      <c r="AW514" s="120"/>
      <c r="AX514" s="119"/>
      <c r="AY514" s="2"/>
    </row>
    <row r="515" spans="39:51" ht="15" thickBot="1" x14ac:dyDescent="0.35">
      <c r="AM515" s="133" t="e">
        <f>RIGHT(AM526,AN515)</f>
        <v>#REF!</v>
      </c>
      <c r="AN515" s="134">
        <v>10</v>
      </c>
      <c r="AO515" s="135" t="e">
        <f t="shared" si="7"/>
        <v>#REF!</v>
      </c>
      <c r="AP515" s="136" t="e">
        <f>IF(VLOOKUP(AO515,AM528:AN539,2,FALSE)=0,0,VLOOKUP(AO515,AM528:AN539,2,FALSE))</f>
        <v>#REF!</v>
      </c>
      <c r="AQ515" s="116"/>
      <c r="AR515" s="137" t="e">
        <f>IF(AP515=0,"",VLOOKUP(AP515,AN528:AR539,2,FALSE))</f>
        <v>#REF!</v>
      </c>
      <c r="AS515" s="138"/>
      <c r="AT515" s="139" t="e">
        <f>IF(AP515=1,AO525,AR515)</f>
        <v>#REF!</v>
      </c>
      <c r="AU515" s="140" t="e">
        <f>IF(AP513+AP514=0,AR515,AT515)</f>
        <v>#REF!</v>
      </c>
      <c r="AV515" s="120"/>
      <c r="AW515" s="120"/>
      <c r="AX515" s="119"/>
      <c r="AY515" s="2"/>
    </row>
    <row r="516" spans="39:51" ht="15" thickBot="1" x14ac:dyDescent="0.35">
      <c r="AM516" s="115" t="e">
        <f>RIGHT(AM526,AN516)</f>
        <v>#REF!</v>
      </c>
      <c r="AN516" s="116">
        <v>11</v>
      </c>
      <c r="AO516" s="121" t="e">
        <f t="shared" si="7"/>
        <v>#REF!</v>
      </c>
      <c r="AP516" s="116" t="e">
        <f>IF(VLOOKUP(AO516,AM528:AN539,2,FALSE)=0,0,VLOOKUP(AO516,AM528:AN539,2,FALSE))</f>
        <v>#REF!</v>
      </c>
      <c r="AQ516" s="116"/>
      <c r="AR516" s="120" t="e">
        <f>IF(AM501&gt;1999999.99,"MILLONES","MILLON")</f>
        <v>#REF!</v>
      </c>
      <c r="AS516" s="120"/>
      <c r="AT516" s="120"/>
      <c r="AU516" s="120"/>
      <c r="AV516" s="120" t="e">
        <f>IF(SUM(AP517:AP519)&gt;0,AR516,"")</f>
        <v>#REF!</v>
      </c>
      <c r="AW516" s="116" t="e">
        <f>CONCATENATE(AV516," ",AV518)</f>
        <v>#REF!</v>
      </c>
      <c r="AX516" s="119"/>
      <c r="AY516" s="2"/>
    </row>
    <row r="517" spans="39:51" x14ac:dyDescent="0.3">
      <c r="AM517" s="123" t="e">
        <f>RIGHT(AM526,AN517)</f>
        <v>#REF!</v>
      </c>
      <c r="AN517" s="124">
        <v>12</v>
      </c>
      <c r="AO517" s="125" t="e">
        <f t="shared" si="7"/>
        <v>#REF!</v>
      </c>
      <c r="AP517" s="126" t="e">
        <f>IF(VLOOKUP(AO517,AM528:AN539,2,FALSE)=0,0,VLOOKUP(AO517,AM528:AN539,2,FALSE))</f>
        <v>#REF!</v>
      </c>
      <c r="AQ517" s="116"/>
      <c r="AR517" s="127" t="e">
        <f>IF(AP517=0,"",VLOOKUP(AP517,AN528:AR537,4,FALSE))</f>
        <v>#REF!</v>
      </c>
      <c r="AS517" s="128" t="e">
        <f>IF(AP518=1,VLOOKUP(AP517,AN528:AR537,5,FALSE),VLOOKUP(AP517,AN528:AR537,4,FALSE))</f>
        <v>#REF!</v>
      </c>
      <c r="AT517" s="128" t="e">
        <f>IF(AP518=1,AS517,AR517)</f>
        <v>#REF!</v>
      </c>
      <c r="AU517" s="129" t="e">
        <f>IF(AP517=0,AR517,AT517)</f>
        <v>#REF!</v>
      </c>
      <c r="AV517" s="116" t="e">
        <f>IF(AND(AP518&gt;2,AP517&gt;0),"Y ","")</f>
        <v>#REF!</v>
      </c>
      <c r="AW517" s="116" t="e">
        <f>CONCATENATE(AU519,AU518,AV517,AU517)</f>
        <v>#REF!</v>
      </c>
      <c r="AX517" s="119"/>
      <c r="AY517" s="2"/>
    </row>
    <row r="518" spans="39:51" x14ac:dyDescent="0.3">
      <c r="AM518" s="115" t="e">
        <f>RIGHT(AM526,AN518)</f>
        <v>#REF!</v>
      </c>
      <c r="AN518" s="116">
        <v>13</v>
      </c>
      <c r="AO518" s="121" t="e">
        <f t="shared" si="7"/>
        <v>#REF!</v>
      </c>
      <c r="AP518" s="130" t="e">
        <f>IF(VLOOKUP(AO518,AM528:AN539,2,FALSE)=0,0,VLOOKUP(AO518,AM528:AN539,2,FALSE))</f>
        <v>#REF!</v>
      </c>
      <c r="AQ518" s="116"/>
      <c r="AR518" s="131" t="e">
        <f>IF(AP518=0,"",VLOOKUP(AP518,AN528:AR537,3,FALSE))</f>
        <v>#REF!</v>
      </c>
      <c r="AS518" s="120" t="e">
        <f>IF(AP518=1,"",AR518)</f>
        <v>#REF!</v>
      </c>
      <c r="AT518" s="120" t="e">
        <f>IF(AP518=2,AS526,AS518)</f>
        <v>#REF!</v>
      </c>
      <c r="AU518" s="132" t="e">
        <f>IF(AP517=0,AR518,AT518)</f>
        <v>#REF!</v>
      </c>
      <c r="AV518" s="116" t="e">
        <f>IF(AND(AM501&gt;0.99,SUM(AP517:AP519)&gt;0),IF(SUM(AP509:AP515)&gt;0," ","DE ")," ")</f>
        <v>#REF!</v>
      </c>
      <c r="AW518" s="120"/>
      <c r="AX518" s="119"/>
      <c r="AY518" s="2"/>
    </row>
    <row r="519" spans="39:51" ht="15" thickBot="1" x14ac:dyDescent="0.35">
      <c r="AM519" s="133" t="e">
        <f>RIGHT(AM526,AN519)</f>
        <v>#REF!</v>
      </c>
      <c r="AN519" s="134">
        <v>14</v>
      </c>
      <c r="AO519" s="135" t="e">
        <f t="shared" si="7"/>
        <v>#REF!</v>
      </c>
      <c r="AP519" s="136" t="e">
        <f>IF(VLOOKUP(AO519,AM528:AN539,2,FALSE)=0,0,VLOOKUP(AO519,AM528:AN539,2,FALSE))</f>
        <v>#REF!</v>
      </c>
      <c r="AQ519" s="116"/>
      <c r="AR519" s="137" t="e">
        <f>IF(AP519=0,"",VLOOKUP(AP519,AN528:AR540,2,FALSE))</f>
        <v>#REF!</v>
      </c>
      <c r="AS519" s="138"/>
      <c r="AT519" s="139" t="e">
        <f>IF(AP519=1,AO525,AR519)</f>
        <v>#REF!</v>
      </c>
      <c r="AU519" s="140" t="e">
        <f>IF(AP517+AP518=0,AR519,AT519)</f>
        <v>#REF!</v>
      </c>
      <c r="AV519" s="116"/>
      <c r="AW519" s="120"/>
      <c r="AX519" s="119"/>
      <c r="AY519" s="2"/>
    </row>
    <row r="520" spans="39:51" x14ac:dyDescent="0.3">
      <c r="AM520" s="115"/>
      <c r="AN520" s="116"/>
      <c r="AO520" s="116"/>
      <c r="AP520" s="116"/>
      <c r="AQ520" s="116"/>
      <c r="AR520" s="116"/>
      <c r="AS520" s="116"/>
      <c r="AT520" s="116"/>
      <c r="AU520" s="116"/>
      <c r="AV520" s="116"/>
      <c r="AW520" s="116"/>
      <c r="AX520" s="119"/>
      <c r="AY520" s="2"/>
    </row>
    <row r="521" spans="39:51" x14ac:dyDescent="0.3">
      <c r="AM521" s="115"/>
      <c r="AN521" s="116"/>
      <c r="AO521" s="116"/>
      <c r="AP521" s="118" t="s">
        <v>8</v>
      </c>
      <c r="AQ521" s="116"/>
      <c r="AR521" s="116"/>
      <c r="AS521" s="116"/>
      <c r="AT521" s="117" t="s">
        <v>9</v>
      </c>
      <c r="AU521" s="118" t="s">
        <v>6</v>
      </c>
      <c r="AV521" s="116"/>
      <c r="AW521" s="116"/>
      <c r="AX521" s="119"/>
      <c r="AY521" s="2"/>
    </row>
    <row r="522" spans="39:51" x14ac:dyDescent="0.3">
      <c r="AM522" s="115"/>
      <c r="AN522" s="116"/>
      <c r="AO522" s="116"/>
      <c r="AP522" s="116"/>
      <c r="AQ522" s="116"/>
      <c r="AR522" s="116"/>
      <c r="AS522" s="116"/>
      <c r="AT522" s="116"/>
      <c r="AU522" s="120" t="e">
        <f>CONCATENATE(AP507,AP506,AP521)</f>
        <v>#REF!</v>
      </c>
      <c r="AV522" s="116"/>
      <c r="AW522" s="116"/>
      <c r="AX522" s="119"/>
      <c r="AY522" s="2"/>
    </row>
    <row r="523" spans="39:51" x14ac:dyDescent="0.3">
      <c r="AM523" s="141" t="e">
        <f>CONCATENATE(AO519,AO518,AO517,AO516,AO515,AO514,AO513,AO512,AO511,AO510,AO509,AO508,AO507,AO506)</f>
        <v>#REF!</v>
      </c>
      <c r="AN523" s="116"/>
      <c r="AO523" s="116"/>
      <c r="AP523" s="116"/>
      <c r="AQ523" s="116"/>
      <c r="AR523" s="116"/>
      <c r="AS523" s="116"/>
      <c r="AT523" s="122"/>
      <c r="AU523" s="120" t="e">
        <f>IF(AM501&lt;&gt;1,"DOLARES,  ","PESO  ")</f>
        <v>#REF!</v>
      </c>
      <c r="AV523" s="116"/>
      <c r="AW523" s="116"/>
      <c r="AX523" s="119"/>
      <c r="AY523" s="2"/>
    </row>
    <row r="524" spans="39:51" ht="15" thickBot="1" x14ac:dyDescent="0.35">
      <c r="AM524" s="115"/>
      <c r="AN524" s="116"/>
      <c r="AO524" s="116"/>
      <c r="AP524" s="116"/>
      <c r="AQ524" s="116"/>
      <c r="AR524" s="116"/>
      <c r="AS524" s="116"/>
      <c r="AT524" s="116"/>
      <c r="AU524" s="116"/>
      <c r="AV524" s="116"/>
      <c r="AW524" s="116"/>
      <c r="AX524" s="119"/>
      <c r="AY524" s="1"/>
    </row>
    <row r="525" spans="39:51" x14ac:dyDescent="0.3">
      <c r="AM525" s="142"/>
      <c r="AN525" s="143"/>
      <c r="AO525" s="144" t="s">
        <v>10</v>
      </c>
      <c r="AP525" s="145"/>
      <c r="AQ525" s="144"/>
      <c r="AR525" s="145"/>
      <c r="AS525" s="146"/>
      <c r="AT525" s="116"/>
      <c r="AU525" s="116"/>
      <c r="AV525" s="116"/>
      <c r="AW525" s="116"/>
      <c r="AX525" s="119"/>
      <c r="AY525" s="1"/>
    </row>
    <row r="526" spans="39:51" x14ac:dyDescent="0.3">
      <c r="AM526" s="147" t="e">
        <f>FIXED(AM501)</f>
        <v>#REF!</v>
      </c>
      <c r="AN526" s="116"/>
      <c r="AO526" s="148" t="s">
        <v>11</v>
      </c>
      <c r="AP526" s="148" t="s">
        <v>12</v>
      </c>
      <c r="AQ526" s="148" t="s">
        <v>13</v>
      </c>
      <c r="AR526" s="149" t="s">
        <v>14</v>
      </c>
      <c r="AS526" s="150" t="s">
        <v>15</v>
      </c>
      <c r="AT526" s="116"/>
      <c r="AU526" s="116"/>
      <c r="AV526" s="116"/>
      <c r="AW526" s="116"/>
      <c r="AX526" s="119"/>
      <c r="AY526" s="1"/>
    </row>
    <row r="527" spans="39:51" x14ac:dyDescent="0.3">
      <c r="AM527" s="115"/>
      <c r="AN527" s="151">
        <v>1</v>
      </c>
      <c r="AO527" s="151">
        <v>8</v>
      </c>
      <c r="AP527" s="151">
        <v>9</v>
      </c>
      <c r="AQ527" s="151">
        <v>10</v>
      </c>
      <c r="AR527" s="151">
        <v>11</v>
      </c>
      <c r="AS527" s="150"/>
      <c r="AT527" s="116"/>
      <c r="AU527" s="116"/>
      <c r="AV527" s="116"/>
      <c r="AW527" s="116"/>
      <c r="AX527" s="119"/>
      <c r="AY527" s="1"/>
    </row>
    <row r="528" spans="39:51" x14ac:dyDescent="0.3">
      <c r="AM528" s="152" t="s">
        <v>16</v>
      </c>
      <c r="AN528" s="116">
        <v>1</v>
      </c>
      <c r="AO528" s="153" t="s">
        <v>17</v>
      </c>
      <c r="AP528" s="153" t="s">
        <v>18</v>
      </c>
      <c r="AQ528" s="153" t="s">
        <v>19</v>
      </c>
      <c r="AR528" s="153" t="s">
        <v>20</v>
      </c>
      <c r="AS528" s="150"/>
      <c r="AT528" s="116"/>
      <c r="AU528" s="116"/>
      <c r="AV528" s="116"/>
      <c r="AW528" s="116"/>
      <c r="AX528" s="119"/>
      <c r="AY528" s="1"/>
    </row>
    <row r="529" spans="39:51" x14ac:dyDescent="0.3">
      <c r="AM529" s="152" t="s">
        <v>21</v>
      </c>
      <c r="AN529" s="116">
        <v>2</v>
      </c>
      <c r="AO529" s="153" t="s">
        <v>22</v>
      </c>
      <c r="AP529" s="153" t="s">
        <v>23</v>
      </c>
      <c r="AQ529" s="153" t="s">
        <v>24</v>
      </c>
      <c r="AR529" s="153" t="s">
        <v>25</v>
      </c>
      <c r="AS529" s="150"/>
      <c r="AT529" s="116"/>
      <c r="AU529" s="116"/>
      <c r="AV529" s="116"/>
      <c r="AW529" s="116"/>
      <c r="AX529" s="119"/>
      <c r="AY529" s="1"/>
    </row>
    <row r="530" spans="39:51" x14ac:dyDescent="0.3">
      <c r="AM530" s="152" t="s">
        <v>26</v>
      </c>
      <c r="AN530" s="116">
        <v>3</v>
      </c>
      <c r="AO530" s="153" t="s">
        <v>27</v>
      </c>
      <c r="AP530" s="153" t="s">
        <v>28</v>
      </c>
      <c r="AQ530" s="153" t="s">
        <v>29</v>
      </c>
      <c r="AR530" s="153" t="s">
        <v>30</v>
      </c>
      <c r="AS530" s="150"/>
      <c r="AT530" s="116"/>
      <c r="AU530" s="116"/>
      <c r="AV530" s="116"/>
      <c r="AW530" s="116"/>
      <c r="AX530" s="119"/>
      <c r="AY530" s="1"/>
    </row>
    <row r="531" spans="39:51" x14ac:dyDescent="0.3">
      <c r="AM531" s="152" t="s">
        <v>31</v>
      </c>
      <c r="AN531" s="116">
        <v>4</v>
      </c>
      <c r="AO531" s="153" t="s">
        <v>32</v>
      </c>
      <c r="AP531" s="153" t="s">
        <v>33</v>
      </c>
      <c r="AQ531" s="153" t="s">
        <v>34</v>
      </c>
      <c r="AR531" s="153" t="s">
        <v>35</v>
      </c>
      <c r="AS531" s="150"/>
      <c r="AT531" s="116"/>
      <c r="AU531" s="116"/>
      <c r="AV531" s="116"/>
      <c r="AW531" s="116"/>
      <c r="AX531" s="119"/>
      <c r="AY531" s="1"/>
    </row>
    <row r="532" spans="39:51" x14ac:dyDescent="0.3">
      <c r="AM532" s="152" t="s">
        <v>36</v>
      </c>
      <c r="AN532" s="116">
        <v>5</v>
      </c>
      <c r="AO532" s="153" t="s">
        <v>37</v>
      </c>
      <c r="AP532" s="153" t="s">
        <v>38</v>
      </c>
      <c r="AQ532" s="153" t="s">
        <v>39</v>
      </c>
      <c r="AR532" s="153" t="s">
        <v>40</v>
      </c>
      <c r="AS532" s="150"/>
      <c r="AT532" s="116"/>
      <c r="AU532" s="116"/>
      <c r="AV532" s="116"/>
      <c r="AW532" s="116"/>
      <c r="AX532" s="119"/>
      <c r="AY532" s="1"/>
    </row>
    <row r="533" spans="39:51" x14ac:dyDescent="0.3">
      <c r="AM533" s="152" t="s">
        <v>41</v>
      </c>
      <c r="AN533" s="116">
        <v>6</v>
      </c>
      <c r="AO533" s="153" t="s">
        <v>42</v>
      </c>
      <c r="AP533" s="153" t="s">
        <v>43</v>
      </c>
      <c r="AQ533" s="153" t="s">
        <v>44</v>
      </c>
      <c r="AR533" s="153" t="s">
        <v>45</v>
      </c>
      <c r="AS533" s="150"/>
      <c r="AT533" s="116"/>
      <c r="AU533" s="116"/>
      <c r="AV533" s="116"/>
      <c r="AW533" s="116"/>
      <c r="AX533" s="119"/>
      <c r="AY533" s="1"/>
    </row>
    <row r="534" spans="39:51" x14ac:dyDescent="0.3">
      <c r="AM534" s="152" t="s">
        <v>46</v>
      </c>
      <c r="AN534" s="116">
        <v>7</v>
      </c>
      <c r="AO534" s="153" t="s">
        <v>47</v>
      </c>
      <c r="AP534" s="153" t="s">
        <v>48</v>
      </c>
      <c r="AQ534" s="153" t="s">
        <v>49</v>
      </c>
      <c r="AR534" s="153" t="s">
        <v>50</v>
      </c>
      <c r="AS534" s="150"/>
      <c r="AT534" s="116"/>
      <c r="AU534" s="116"/>
      <c r="AV534" s="116"/>
      <c r="AW534" s="116"/>
      <c r="AX534" s="119"/>
      <c r="AY534" s="1"/>
    </row>
    <row r="535" spans="39:51" x14ac:dyDescent="0.3">
      <c r="AM535" s="152" t="s">
        <v>51</v>
      </c>
      <c r="AN535" s="116">
        <v>8</v>
      </c>
      <c r="AO535" s="153" t="s">
        <v>52</v>
      </c>
      <c r="AP535" s="153" t="s">
        <v>53</v>
      </c>
      <c r="AQ535" s="153" t="s">
        <v>54</v>
      </c>
      <c r="AR535" s="153" t="s">
        <v>55</v>
      </c>
      <c r="AS535" s="150"/>
      <c r="AT535" s="116"/>
      <c r="AU535" s="116"/>
      <c r="AV535" s="116"/>
      <c r="AW535" s="116"/>
      <c r="AX535" s="119"/>
      <c r="AY535" s="1"/>
    </row>
    <row r="536" spans="39:51" x14ac:dyDescent="0.3">
      <c r="AM536" s="152" t="s">
        <v>56</v>
      </c>
      <c r="AN536" s="116">
        <v>9</v>
      </c>
      <c r="AO536" s="153" t="s">
        <v>57</v>
      </c>
      <c r="AP536" s="153" t="s">
        <v>58</v>
      </c>
      <c r="AQ536" s="153" t="s">
        <v>59</v>
      </c>
      <c r="AR536" s="153" t="s">
        <v>60</v>
      </c>
      <c r="AS536" s="150"/>
      <c r="AT536" s="116"/>
      <c r="AU536" s="116"/>
      <c r="AV536" s="116"/>
      <c r="AW536" s="116"/>
      <c r="AX536" s="119"/>
      <c r="AY536" s="1"/>
    </row>
    <row r="537" spans="39:51" x14ac:dyDescent="0.3">
      <c r="AM537" s="152" t="s">
        <v>61</v>
      </c>
      <c r="AN537" s="116"/>
      <c r="AO537" s="116"/>
      <c r="AP537" s="116"/>
      <c r="AQ537" s="116"/>
      <c r="AR537" s="116"/>
      <c r="AS537" s="150"/>
      <c r="AT537" s="116"/>
      <c r="AU537" s="116"/>
      <c r="AV537" s="116"/>
      <c r="AW537" s="116"/>
      <c r="AX537" s="119"/>
      <c r="AY537" s="1"/>
    </row>
    <row r="538" spans="39:51" x14ac:dyDescent="0.3">
      <c r="AM538" s="152" t="s">
        <v>62</v>
      </c>
      <c r="AN538" s="116">
        <v>1</v>
      </c>
      <c r="AO538" s="116">
        <v>2</v>
      </c>
      <c r="AP538" s="116">
        <v>3</v>
      </c>
      <c r="AQ538" s="116">
        <v>4</v>
      </c>
      <c r="AR538" s="116">
        <v>5</v>
      </c>
      <c r="AS538" s="150"/>
      <c r="AT538" s="116"/>
      <c r="AU538" s="116"/>
      <c r="AV538" s="116"/>
      <c r="AW538" s="116"/>
      <c r="AX538" s="119"/>
      <c r="AY538" s="1"/>
    </row>
    <row r="539" spans="39:51" x14ac:dyDescent="0.3">
      <c r="AM539" s="152" t="s">
        <v>63</v>
      </c>
      <c r="AN539" s="116"/>
      <c r="AO539" s="116"/>
      <c r="AP539" s="116"/>
      <c r="AQ539" s="116"/>
      <c r="AR539" s="116"/>
      <c r="AS539" s="150"/>
      <c r="AT539" s="116"/>
      <c r="AU539" s="116"/>
      <c r="AV539" s="116"/>
      <c r="AW539" s="116"/>
      <c r="AX539" s="119"/>
      <c r="AY539" s="1"/>
    </row>
    <row r="540" spans="39:51" ht="15" thickBot="1" x14ac:dyDescent="0.35">
      <c r="AM540" s="154"/>
      <c r="AN540" s="138"/>
      <c r="AO540" s="138"/>
      <c r="AP540" s="138"/>
      <c r="AQ540" s="138"/>
      <c r="AR540" s="138"/>
      <c r="AS540" s="155"/>
      <c r="AT540" s="116"/>
      <c r="AU540" s="116"/>
      <c r="AV540" s="116"/>
      <c r="AW540" s="116"/>
      <c r="AX540" s="119"/>
      <c r="AY540" s="1"/>
    </row>
    <row r="541" spans="39:51" ht="15" thickBot="1" x14ac:dyDescent="0.35">
      <c r="AM541" s="156"/>
      <c r="AN541" s="157"/>
      <c r="AO541" s="157"/>
      <c r="AP541" s="157"/>
      <c r="AQ541" s="157"/>
      <c r="AR541" s="157"/>
      <c r="AS541" s="157"/>
      <c r="AT541" s="157"/>
      <c r="AU541" s="157"/>
      <c r="AV541" s="157"/>
      <c r="AW541" s="157"/>
      <c r="AX541" s="158"/>
      <c r="AY541" s="1"/>
    </row>
    <row r="542" spans="39:51" ht="15" thickTop="1" x14ac:dyDescent="0.3">
      <c r="AM542" s="116"/>
      <c r="AN542" s="116"/>
      <c r="AO542" s="116"/>
      <c r="AP542" s="116"/>
      <c r="AQ542" s="116"/>
      <c r="AR542" s="116"/>
      <c r="AS542" s="116"/>
      <c r="AT542" s="116"/>
      <c r="AU542" s="116"/>
      <c r="AV542" s="116"/>
      <c r="AW542" s="116"/>
      <c r="AX542" s="116"/>
      <c r="AY542" s="1"/>
    </row>
  </sheetData>
  <mergeCells count="3">
    <mergeCell ref="A9:E9"/>
    <mergeCell ref="H9:K9"/>
    <mergeCell ref="M9:P9"/>
  </mergeCells>
  <pageMargins left="0.7" right="0.7" top="0.75" bottom="0.75" header="0.3" footer="0.3"/>
  <pageSetup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A069-68C6-49BB-8364-96B3C6D2AF71}">
  <dimension ref="A1"/>
  <sheetViews>
    <sheetView topLeftCell="A3" workbookViewId="0">
      <selection activeCell="A9" sqref="A9"/>
    </sheetView>
  </sheetViews>
  <sheetFormatPr baseColWidth="10" defaultRowHeight="13.2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CF-E253-45B2-BA2C-09FBE12A48C3}">
  <dimension ref="A1:AY453"/>
  <sheetViews>
    <sheetView showGridLines="0" showZeros="0" zoomScale="115" zoomScaleNormal="115" workbookViewId="0">
      <selection activeCell="B20" sqref="B20"/>
    </sheetView>
  </sheetViews>
  <sheetFormatPr baseColWidth="10" defaultRowHeight="13.2" x14ac:dyDescent="0.25"/>
  <cols>
    <col min="1" max="1" width="6" style="179" customWidth="1"/>
    <col min="2" max="2" width="44.88671875" style="179" customWidth="1"/>
    <col min="3" max="3" width="7.88671875" style="179" customWidth="1"/>
    <col min="4" max="4" width="8.33203125" style="179" customWidth="1"/>
    <col min="5" max="5" width="8.88671875" style="179" bestFit="1" customWidth="1"/>
    <col min="6" max="6" width="16.44140625" style="179" customWidth="1"/>
    <col min="7" max="8" width="11.44140625" style="179" customWidth="1"/>
    <col min="9" max="252" width="11.44140625" style="179"/>
    <col min="253" max="253" width="12" style="179" customWidth="1"/>
    <col min="254" max="254" width="39.109375" style="179" customWidth="1"/>
    <col min="255" max="255" width="6.6640625" style="179" customWidth="1"/>
    <col min="256" max="256" width="12.88671875" style="179" customWidth="1"/>
    <col min="257" max="257" width="11.33203125" style="179" customWidth="1"/>
    <col min="258" max="258" width="11.88671875" style="179" customWidth="1"/>
    <col min="259" max="259" width="7.6640625" style="179" customWidth="1"/>
    <col min="260" max="260" width="9" style="179" customWidth="1"/>
    <col min="261" max="508" width="11.44140625" style="179"/>
    <col min="509" max="509" width="12" style="179" customWidth="1"/>
    <col min="510" max="510" width="39.109375" style="179" customWidth="1"/>
    <col min="511" max="511" width="6.6640625" style="179" customWidth="1"/>
    <col min="512" max="512" width="12.88671875" style="179" customWidth="1"/>
    <col min="513" max="513" width="11.33203125" style="179" customWidth="1"/>
    <col min="514" max="514" width="11.88671875" style="179" customWidth="1"/>
    <col min="515" max="515" width="7.6640625" style="179" customWidth="1"/>
    <col min="516" max="516" width="9" style="179" customWidth="1"/>
    <col min="517" max="764" width="11.44140625" style="179"/>
    <col min="765" max="765" width="12" style="179" customWidth="1"/>
    <col min="766" max="766" width="39.109375" style="179" customWidth="1"/>
    <col min="767" max="767" width="6.6640625" style="179" customWidth="1"/>
    <col min="768" max="768" width="12.88671875" style="179" customWidth="1"/>
    <col min="769" max="769" width="11.33203125" style="179" customWidth="1"/>
    <col min="770" max="770" width="11.88671875" style="179" customWidth="1"/>
    <col min="771" max="771" width="7.6640625" style="179" customWidth="1"/>
    <col min="772" max="772" width="9" style="179" customWidth="1"/>
    <col min="773" max="1020" width="11.44140625" style="179"/>
    <col min="1021" max="1021" width="12" style="179" customWidth="1"/>
    <col min="1022" max="1022" width="39.109375" style="179" customWidth="1"/>
    <col min="1023" max="1023" width="6.6640625" style="179" customWidth="1"/>
    <col min="1024" max="1024" width="12.88671875" style="179" customWidth="1"/>
    <col min="1025" max="1025" width="11.33203125" style="179" customWidth="1"/>
    <col min="1026" max="1026" width="11.88671875" style="179" customWidth="1"/>
    <col min="1027" max="1027" width="7.6640625" style="179" customWidth="1"/>
    <col min="1028" max="1028" width="9" style="179" customWidth="1"/>
    <col min="1029" max="1276" width="11.44140625" style="179"/>
    <col min="1277" max="1277" width="12" style="179" customWidth="1"/>
    <col min="1278" max="1278" width="39.109375" style="179" customWidth="1"/>
    <col min="1279" max="1279" width="6.6640625" style="179" customWidth="1"/>
    <col min="1280" max="1280" width="12.88671875" style="179" customWidth="1"/>
    <col min="1281" max="1281" width="11.33203125" style="179" customWidth="1"/>
    <col min="1282" max="1282" width="11.88671875" style="179" customWidth="1"/>
    <col min="1283" max="1283" width="7.6640625" style="179" customWidth="1"/>
    <col min="1284" max="1284" width="9" style="179" customWidth="1"/>
    <col min="1285" max="1532" width="11.44140625" style="179"/>
    <col min="1533" max="1533" width="12" style="179" customWidth="1"/>
    <col min="1534" max="1534" width="39.109375" style="179" customWidth="1"/>
    <col min="1535" max="1535" width="6.6640625" style="179" customWidth="1"/>
    <col min="1536" max="1536" width="12.88671875" style="179" customWidth="1"/>
    <col min="1537" max="1537" width="11.33203125" style="179" customWidth="1"/>
    <col min="1538" max="1538" width="11.88671875" style="179" customWidth="1"/>
    <col min="1539" max="1539" width="7.6640625" style="179" customWidth="1"/>
    <col min="1540" max="1540" width="9" style="179" customWidth="1"/>
    <col min="1541" max="1788" width="11.44140625" style="179"/>
    <col min="1789" max="1789" width="12" style="179" customWidth="1"/>
    <col min="1790" max="1790" width="39.109375" style="179" customWidth="1"/>
    <col min="1791" max="1791" width="6.6640625" style="179" customWidth="1"/>
    <col min="1792" max="1792" width="12.88671875" style="179" customWidth="1"/>
    <col min="1793" max="1793" width="11.33203125" style="179" customWidth="1"/>
    <col min="1794" max="1794" width="11.88671875" style="179" customWidth="1"/>
    <col min="1795" max="1795" width="7.6640625" style="179" customWidth="1"/>
    <col min="1796" max="1796" width="9" style="179" customWidth="1"/>
    <col min="1797" max="2044" width="11.44140625" style="179"/>
    <col min="2045" max="2045" width="12" style="179" customWidth="1"/>
    <col min="2046" max="2046" width="39.109375" style="179" customWidth="1"/>
    <col min="2047" max="2047" width="6.6640625" style="179" customWidth="1"/>
    <col min="2048" max="2048" width="12.88671875" style="179" customWidth="1"/>
    <col min="2049" max="2049" width="11.33203125" style="179" customWidth="1"/>
    <col min="2050" max="2050" width="11.88671875" style="179" customWidth="1"/>
    <col min="2051" max="2051" width="7.6640625" style="179" customWidth="1"/>
    <col min="2052" max="2052" width="9" style="179" customWidth="1"/>
    <col min="2053" max="2300" width="11.44140625" style="179"/>
    <col min="2301" max="2301" width="12" style="179" customWidth="1"/>
    <col min="2302" max="2302" width="39.109375" style="179" customWidth="1"/>
    <col min="2303" max="2303" width="6.6640625" style="179" customWidth="1"/>
    <col min="2304" max="2304" width="12.88671875" style="179" customWidth="1"/>
    <col min="2305" max="2305" width="11.33203125" style="179" customWidth="1"/>
    <col min="2306" max="2306" width="11.88671875" style="179" customWidth="1"/>
    <col min="2307" max="2307" width="7.6640625" style="179" customWidth="1"/>
    <col min="2308" max="2308" width="9" style="179" customWidth="1"/>
    <col min="2309" max="2556" width="11.44140625" style="179"/>
    <col min="2557" max="2557" width="12" style="179" customWidth="1"/>
    <col min="2558" max="2558" width="39.109375" style="179" customWidth="1"/>
    <col min="2559" max="2559" width="6.6640625" style="179" customWidth="1"/>
    <col min="2560" max="2560" width="12.88671875" style="179" customWidth="1"/>
    <col min="2561" max="2561" width="11.33203125" style="179" customWidth="1"/>
    <col min="2562" max="2562" width="11.88671875" style="179" customWidth="1"/>
    <col min="2563" max="2563" width="7.6640625" style="179" customWidth="1"/>
    <col min="2564" max="2564" width="9" style="179" customWidth="1"/>
    <col min="2565" max="2812" width="11.44140625" style="179"/>
    <col min="2813" max="2813" width="12" style="179" customWidth="1"/>
    <col min="2814" max="2814" width="39.109375" style="179" customWidth="1"/>
    <col min="2815" max="2815" width="6.6640625" style="179" customWidth="1"/>
    <col min="2816" max="2816" width="12.88671875" style="179" customWidth="1"/>
    <col min="2817" max="2817" width="11.33203125" style="179" customWidth="1"/>
    <col min="2818" max="2818" width="11.88671875" style="179" customWidth="1"/>
    <col min="2819" max="2819" width="7.6640625" style="179" customWidth="1"/>
    <col min="2820" max="2820" width="9" style="179" customWidth="1"/>
    <col min="2821" max="3068" width="11.44140625" style="179"/>
    <col min="3069" max="3069" width="12" style="179" customWidth="1"/>
    <col min="3070" max="3070" width="39.109375" style="179" customWidth="1"/>
    <col min="3071" max="3071" width="6.6640625" style="179" customWidth="1"/>
    <col min="3072" max="3072" width="12.88671875" style="179" customWidth="1"/>
    <col min="3073" max="3073" width="11.33203125" style="179" customWidth="1"/>
    <col min="3074" max="3074" width="11.88671875" style="179" customWidth="1"/>
    <col min="3075" max="3075" width="7.6640625" style="179" customWidth="1"/>
    <col min="3076" max="3076" width="9" style="179" customWidth="1"/>
    <col min="3077" max="3324" width="11.44140625" style="179"/>
    <col min="3325" max="3325" width="12" style="179" customWidth="1"/>
    <col min="3326" max="3326" width="39.109375" style="179" customWidth="1"/>
    <col min="3327" max="3327" width="6.6640625" style="179" customWidth="1"/>
    <col min="3328" max="3328" width="12.88671875" style="179" customWidth="1"/>
    <col min="3329" max="3329" width="11.33203125" style="179" customWidth="1"/>
    <col min="3330" max="3330" width="11.88671875" style="179" customWidth="1"/>
    <col min="3331" max="3331" width="7.6640625" style="179" customWidth="1"/>
    <col min="3332" max="3332" width="9" style="179" customWidth="1"/>
    <col min="3333" max="3580" width="11.44140625" style="179"/>
    <col min="3581" max="3581" width="12" style="179" customWidth="1"/>
    <col min="3582" max="3582" width="39.109375" style="179" customWidth="1"/>
    <col min="3583" max="3583" width="6.6640625" style="179" customWidth="1"/>
    <col min="3584" max="3584" width="12.88671875" style="179" customWidth="1"/>
    <col min="3585" max="3585" width="11.33203125" style="179" customWidth="1"/>
    <col min="3586" max="3586" width="11.88671875" style="179" customWidth="1"/>
    <col min="3587" max="3587" width="7.6640625" style="179" customWidth="1"/>
    <col min="3588" max="3588" width="9" style="179" customWidth="1"/>
    <col min="3589" max="3836" width="11.44140625" style="179"/>
    <col min="3837" max="3837" width="12" style="179" customWidth="1"/>
    <col min="3838" max="3838" width="39.109375" style="179" customWidth="1"/>
    <col min="3839" max="3839" width="6.6640625" style="179" customWidth="1"/>
    <col min="3840" max="3840" width="12.88671875" style="179" customWidth="1"/>
    <col min="3841" max="3841" width="11.33203125" style="179" customWidth="1"/>
    <col min="3842" max="3842" width="11.88671875" style="179" customWidth="1"/>
    <col min="3843" max="3843" width="7.6640625" style="179" customWidth="1"/>
    <col min="3844" max="3844" width="9" style="179" customWidth="1"/>
    <col min="3845" max="4092" width="11.44140625" style="179"/>
    <col min="4093" max="4093" width="12" style="179" customWidth="1"/>
    <col min="4094" max="4094" width="39.109375" style="179" customWidth="1"/>
    <col min="4095" max="4095" width="6.6640625" style="179" customWidth="1"/>
    <col min="4096" max="4096" width="12.88671875" style="179" customWidth="1"/>
    <col min="4097" max="4097" width="11.33203125" style="179" customWidth="1"/>
    <col min="4098" max="4098" width="11.88671875" style="179" customWidth="1"/>
    <col min="4099" max="4099" width="7.6640625" style="179" customWidth="1"/>
    <col min="4100" max="4100" width="9" style="179" customWidth="1"/>
    <col min="4101" max="4348" width="11.44140625" style="179"/>
    <col min="4349" max="4349" width="12" style="179" customWidth="1"/>
    <col min="4350" max="4350" width="39.109375" style="179" customWidth="1"/>
    <col min="4351" max="4351" width="6.6640625" style="179" customWidth="1"/>
    <col min="4352" max="4352" width="12.88671875" style="179" customWidth="1"/>
    <col min="4353" max="4353" width="11.33203125" style="179" customWidth="1"/>
    <col min="4354" max="4354" width="11.88671875" style="179" customWidth="1"/>
    <col min="4355" max="4355" width="7.6640625" style="179" customWidth="1"/>
    <col min="4356" max="4356" width="9" style="179" customWidth="1"/>
    <col min="4357" max="4604" width="11.44140625" style="179"/>
    <col min="4605" max="4605" width="12" style="179" customWidth="1"/>
    <col min="4606" max="4606" width="39.109375" style="179" customWidth="1"/>
    <col min="4607" max="4607" width="6.6640625" style="179" customWidth="1"/>
    <col min="4608" max="4608" width="12.88671875" style="179" customWidth="1"/>
    <col min="4609" max="4609" width="11.33203125" style="179" customWidth="1"/>
    <col min="4610" max="4610" width="11.88671875" style="179" customWidth="1"/>
    <col min="4611" max="4611" width="7.6640625" style="179" customWidth="1"/>
    <col min="4612" max="4612" width="9" style="179" customWidth="1"/>
    <col min="4613" max="4860" width="11.44140625" style="179"/>
    <col min="4861" max="4861" width="12" style="179" customWidth="1"/>
    <col min="4862" max="4862" width="39.109375" style="179" customWidth="1"/>
    <col min="4863" max="4863" width="6.6640625" style="179" customWidth="1"/>
    <col min="4864" max="4864" width="12.88671875" style="179" customWidth="1"/>
    <col min="4865" max="4865" width="11.33203125" style="179" customWidth="1"/>
    <col min="4866" max="4866" width="11.88671875" style="179" customWidth="1"/>
    <col min="4867" max="4867" width="7.6640625" style="179" customWidth="1"/>
    <col min="4868" max="4868" width="9" style="179" customWidth="1"/>
    <col min="4869" max="5116" width="11.44140625" style="179"/>
    <col min="5117" max="5117" width="12" style="179" customWidth="1"/>
    <col min="5118" max="5118" width="39.109375" style="179" customWidth="1"/>
    <col min="5119" max="5119" width="6.6640625" style="179" customWidth="1"/>
    <col min="5120" max="5120" width="12.88671875" style="179" customWidth="1"/>
    <col min="5121" max="5121" width="11.33203125" style="179" customWidth="1"/>
    <col min="5122" max="5122" width="11.88671875" style="179" customWidth="1"/>
    <col min="5123" max="5123" width="7.6640625" style="179" customWidth="1"/>
    <col min="5124" max="5124" width="9" style="179" customWidth="1"/>
    <col min="5125" max="5372" width="11.44140625" style="179"/>
    <col min="5373" max="5373" width="12" style="179" customWidth="1"/>
    <col min="5374" max="5374" width="39.109375" style="179" customWidth="1"/>
    <col min="5375" max="5375" width="6.6640625" style="179" customWidth="1"/>
    <col min="5376" max="5376" width="12.88671875" style="179" customWidth="1"/>
    <col min="5377" max="5377" width="11.33203125" style="179" customWidth="1"/>
    <col min="5378" max="5378" width="11.88671875" style="179" customWidth="1"/>
    <col min="5379" max="5379" width="7.6640625" style="179" customWidth="1"/>
    <col min="5380" max="5380" width="9" style="179" customWidth="1"/>
    <col min="5381" max="5628" width="11.44140625" style="179"/>
    <col min="5629" max="5629" width="12" style="179" customWidth="1"/>
    <col min="5630" max="5630" width="39.109375" style="179" customWidth="1"/>
    <col min="5631" max="5631" width="6.6640625" style="179" customWidth="1"/>
    <col min="5632" max="5632" width="12.88671875" style="179" customWidth="1"/>
    <col min="5633" max="5633" width="11.33203125" style="179" customWidth="1"/>
    <col min="5634" max="5634" width="11.88671875" style="179" customWidth="1"/>
    <col min="5635" max="5635" width="7.6640625" style="179" customWidth="1"/>
    <col min="5636" max="5636" width="9" style="179" customWidth="1"/>
    <col min="5637" max="5884" width="11.44140625" style="179"/>
    <col min="5885" max="5885" width="12" style="179" customWidth="1"/>
    <col min="5886" max="5886" width="39.109375" style="179" customWidth="1"/>
    <col min="5887" max="5887" width="6.6640625" style="179" customWidth="1"/>
    <col min="5888" max="5888" width="12.88671875" style="179" customWidth="1"/>
    <col min="5889" max="5889" width="11.33203125" style="179" customWidth="1"/>
    <col min="5890" max="5890" width="11.88671875" style="179" customWidth="1"/>
    <col min="5891" max="5891" width="7.6640625" style="179" customWidth="1"/>
    <col min="5892" max="5892" width="9" style="179" customWidth="1"/>
    <col min="5893" max="6140" width="11.44140625" style="179"/>
    <col min="6141" max="6141" width="12" style="179" customWidth="1"/>
    <col min="6142" max="6142" width="39.109375" style="179" customWidth="1"/>
    <col min="6143" max="6143" width="6.6640625" style="179" customWidth="1"/>
    <col min="6144" max="6144" width="12.88671875" style="179" customWidth="1"/>
    <col min="6145" max="6145" width="11.33203125" style="179" customWidth="1"/>
    <col min="6146" max="6146" width="11.88671875" style="179" customWidth="1"/>
    <col min="6147" max="6147" width="7.6640625" style="179" customWidth="1"/>
    <col min="6148" max="6148" width="9" style="179" customWidth="1"/>
    <col min="6149" max="6396" width="11.44140625" style="179"/>
    <col min="6397" max="6397" width="12" style="179" customWidth="1"/>
    <col min="6398" max="6398" width="39.109375" style="179" customWidth="1"/>
    <col min="6399" max="6399" width="6.6640625" style="179" customWidth="1"/>
    <col min="6400" max="6400" width="12.88671875" style="179" customWidth="1"/>
    <col min="6401" max="6401" width="11.33203125" style="179" customWidth="1"/>
    <col min="6402" max="6402" width="11.88671875" style="179" customWidth="1"/>
    <col min="6403" max="6403" width="7.6640625" style="179" customWidth="1"/>
    <col min="6404" max="6404" width="9" style="179" customWidth="1"/>
    <col min="6405" max="6652" width="11.44140625" style="179"/>
    <col min="6653" max="6653" width="12" style="179" customWidth="1"/>
    <col min="6654" max="6654" width="39.109375" style="179" customWidth="1"/>
    <col min="6655" max="6655" width="6.6640625" style="179" customWidth="1"/>
    <col min="6656" max="6656" width="12.88671875" style="179" customWidth="1"/>
    <col min="6657" max="6657" width="11.33203125" style="179" customWidth="1"/>
    <col min="6658" max="6658" width="11.88671875" style="179" customWidth="1"/>
    <col min="6659" max="6659" width="7.6640625" style="179" customWidth="1"/>
    <col min="6660" max="6660" width="9" style="179" customWidth="1"/>
    <col min="6661" max="6908" width="11.44140625" style="179"/>
    <col min="6909" max="6909" width="12" style="179" customWidth="1"/>
    <col min="6910" max="6910" width="39.109375" style="179" customWidth="1"/>
    <col min="6911" max="6911" width="6.6640625" style="179" customWidth="1"/>
    <col min="6912" max="6912" width="12.88671875" style="179" customWidth="1"/>
    <col min="6913" max="6913" width="11.33203125" style="179" customWidth="1"/>
    <col min="6914" max="6914" width="11.88671875" style="179" customWidth="1"/>
    <col min="6915" max="6915" width="7.6640625" style="179" customWidth="1"/>
    <col min="6916" max="6916" width="9" style="179" customWidth="1"/>
    <col min="6917" max="7164" width="11.44140625" style="179"/>
    <col min="7165" max="7165" width="12" style="179" customWidth="1"/>
    <col min="7166" max="7166" width="39.109375" style="179" customWidth="1"/>
    <col min="7167" max="7167" width="6.6640625" style="179" customWidth="1"/>
    <col min="7168" max="7168" width="12.88671875" style="179" customWidth="1"/>
    <col min="7169" max="7169" width="11.33203125" style="179" customWidth="1"/>
    <col min="7170" max="7170" width="11.88671875" style="179" customWidth="1"/>
    <col min="7171" max="7171" width="7.6640625" style="179" customWidth="1"/>
    <col min="7172" max="7172" width="9" style="179" customWidth="1"/>
    <col min="7173" max="7420" width="11.44140625" style="179"/>
    <col min="7421" max="7421" width="12" style="179" customWidth="1"/>
    <col min="7422" max="7422" width="39.109375" style="179" customWidth="1"/>
    <col min="7423" max="7423" width="6.6640625" style="179" customWidth="1"/>
    <col min="7424" max="7424" width="12.88671875" style="179" customWidth="1"/>
    <col min="7425" max="7425" width="11.33203125" style="179" customWidth="1"/>
    <col min="7426" max="7426" width="11.88671875" style="179" customWidth="1"/>
    <col min="7427" max="7427" width="7.6640625" style="179" customWidth="1"/>
    <col min="7428" max="7428" width="9" style="179" customWidth="1"/>
    <col min="7429" max="7676" width="11.44140625" style="179"/>
    <col min="7677" max="7677" width="12" style="179" customWidth="1"/>
    <col min="7678" max="7678" width="39.109375" style="179" customWidth="1"/>
    <col min="7679" max="7679" width="6.6640625" style="179" customWidth="1"/>
    <col min="7680" max="7680" width="12.88671875" style="179" customWidth="1"/>
    <col min="7681" max="7681" width="11.33203125" style="179" customWidth="1"/>
    <col min="7682" max="7682" width="11.88671875" style="179" customWidth="1"/>
    <col min="7683" max="7683" width="7.6640625" style="179" customWidth="1"/>
    <col min="7684" max="7684" width="9" style="179" customWidth="1"/>
    <col min="7685" max="7932" width="11.44140625" style="179"/>
    <col min="7933" max="7933" width="12" style="179" customWidth="1"/>
    <col min="7934" max="7934" width="39.109375" style="179" customWidth="1"/>
    <col min="7935" max="7935" width="6.6640625" style="179" customWidth="1"/>
    <col min="7936" max="7936" width="12.88671875" style="179" customWidth="1"/>
    <col min="7937" max="7937" width="11.33203125" style="179" customWidth="1"/>
    <col min="7938" max="7938" width="11.88671875" style="179" customWidth="1"/>
    <col min="7939" max="7939" width="7.6640625" style="179" customWidth="1"/>
    <col min="7940" max="7940" width="9" style="179" customWidth="1"/>
    <col min="7941" max="8188" width="11.44140625" style="179"/>
    <col min="8189" max="8189" width="12" style="179" customWidth="1"/>
    <col min="8190" max="8190" width="39.109375" style="179" customWidth="1"/>
    <col min="8191" max="8191" width="6.6640625" style="179" customWidth="1"/>
    <col min="8192" max="8192" width="12.88671875" style="179" customWidth="1"/>
    <col min="8193" max="8193" width="11.33203125" style="179" customWidth="1"/>
    <col min="8194" max="8194" width="11.88671875" style="179" customWidth="1"/>
    <col min="8195" max="8195" width="7.6640625" style="179" customWidth="1"/>
    <col min="8196" max="8196" width="9" style="179" customWidth="1"/>
    <col min="8197" max="8444" width="11.44140625" style="179"/>
    <col min="8445" max="8445" width="12" style="179" customWidth="1"/>
    <col min="8446" max="8446" width="39.109375" style="179" customWidth="1"/>
    <col min="8447" max="8447" width="6.6640625" style="179" customWidth="1"/>
    <col min="8448" max="8448" width="12.88671875" style="179" customWidth="1"/>
    <col min="8449" max="8449" width="11.33203125" style="179" customWidth="1"/>
    <col min="8450" max="8450" width="11.88671875" style="179" customWidth="1"/>
    <col min="8451" max="8451" width="7.6640625" style="179" customWidth="1"/>
    <col min="8452" max="8452" width="9" style="179" customWidth="1"/>
    <col min="8453" max="8700" width="11.44140625" style="179"/>
    <col min="8701" max="8701" width="12" style="179" customWidth="1"/>
    <col min="8702" max="8702" width="39.109375" style="179" customWidth="1"/>
    <col min="8703" max="8703" width="6.6640625" style="179" customWidth="1"/>
    <col min="8704" max="8704" width="12.88671875" style="179" customWidth="1"/>
    <col min="8705" max="8705" width="11.33203125" style="179" customWidth="1"/>
    <col min="8706" max="8706" width="11.88671875" style="179" customWidth="1"/>
    <col min="8707" max="8707" width="7.6640625" style="179" customWidth="1"/>
    <col min="8708" max="8708" width="9" style="179" customWidth="1"/>
    <col min="8709" max="8956" width="11.44140625" style="179"/>
    <col min="8957" max="8957" width="12" style="179" customWidth="1"/>
    <col min="8958" max="8958" width="39.109375" style="179" customWidth="1"/>
    <col min="8959" max="8959" width="6.6640625" style="179" customWidth="1"/>
    <col min="8960" max="8960" width="12.88671875" style="179" customWidth="1"/>
    <col min="8961" max="8961" width="11.33203125" style="179" customWidth="1"/>
    <col min="8962" max="8962" width="11.88671875" style="179" customWidth="1"/>
    <col min="8963" max="8963" width="7.6640625" style="179" customWidth="1"/>
    <col min="8964" max="8964" width="9" style="179" customWidth="1"/>
    <col min="8965" max="9212" width="11.44140625" style="179"/>
    <col min="9213" max="9213" width="12" style="179" customWidth="1"/>
    <col min="9214" max="9214" width="39.109375" style="179" customWidth="1"/>
    <col min="9215" max="9215" width="6.6640625" style="179" customWidth="1"/>
    <col min="9216" max="9216" width="12.88671875" style="179" customWidth="1"/>
    <col min="9217" max="9217" width="11.33203125" style="179" customWidth="1"/>
    <col min="9218" max="9218" width="11.88671875" style="179" customWidth="1"/>
    <col min="9219" max="9219" width="7.6640625" style="179" customWidth="1"/>
    <col min="9220" max="9220" width="9" style="179" customWidth="1"/>
    <col min="9221" max="9468" width="11.44140625" style="179"/>
    <col min="9469" max="9469" width="12" style="179" customWidth="1"/>
    <col min="9470" max="9470" width="39.109375" style="179" customWidth="1"/>
    <col min="9471" max="9471" width="6.6640625" style="179" customWidth="1"/>
    <col min="9472" max="9472" width="12.88671875" style="179" customWidth="1"/>
    <col min="9473" max="9473" width="11.33203125" style="179" customWidth="1"/>
    <col min="9474" max="9474" width="11.88671875" style="179" customWidth="1"/>
    <col min="9475" max="9475" width="7.6640625" style="179" customWidth="1"/>
    <col min="9476" max="9476" width="9" style="179" customWidth="1"/>
    <col min="9477" max="9724" width="11.44140625" style="179"/>
    <col min="9725" max="9725" width="12" style="179" customWidth="1"/>
    <col min="9726" max="9726" width="39.109375" style="179" customWidth="1"/>
    <col min="9727" max="9727" width="6.6640625" style="179" customWidth="1"/>
    <col min="9728" max="9728" width="12.88671875" style="179" customWidth="1"/>
    <col min="9729" max="9729" width="11.33203125" style="179" customWidth="1"/>
    <col min="9730" max="9730" width="11.88671875" style="179" customWidth="1"/>
    <col min="9731" max="9731" width="7.6640625" style="179" customWidth="1"/>
    <col min="9732" max="9732" width="9" style="179" customWidth="1"/>
    <col min="9733" max="9980" width="11.44140625" style="179"/>
    <col min="9981" max="9981" width="12" style="179" customWidth="1"/>
    <col min="9982" max="9982" width="39.109375" style="179" customWidth="1"/>
    <col min="9983" max="9983" width="6.6640625" style="179" customWidth="1"/>
    <col min="9984" max="9984" width="12.88671875" style="179" customWidth="1"/>
    <col min="9985" max="9985" width="11.33203125" style="179" customWidth="1"/>
    <col min="9986" max="9986" width="11.88671875" style="179" customWidth="1"/>
    <col min="9987" max="9987" width="7.6640625" style="179" customWidth="1"/>
    <col min="9988" max="9988" width="9" style="179" customWidth="1"/>
    <col min="9989" max="10236" width="11.44140625" style="179"/>
    <col min="10237" max="10237" width="12" style="179" customWidth="1"/>
    <col min="10238" max="10238" width="39.109375" style="179" customWidth="1"/>
    <col min="10239" max="10239" width="6.6640625" style="179" customWidth="1"/>
    <col min="10240" max="10240" width="12.88671875" style="179" customWidth="1"/>
    <col min="10241" max="10241" width="11.33203125" style="179" customWidth="1"/>
    <col min="10242" max="10242" width="11.88671875" style="179" customWidth="1"/>
    <col min="10243" max="10243" width="7.6640625" style="179" customWidth="1"/>
    <col min="10244" max="10244" width="9" style="179" customWidth="1"/>
    <col min="10245" max="10492" width="11.44140625" style="179"/>
    <col min="10493" max="10493" width="12" style="179" customWidth="1"/>
    <col min="10494" max="10494" width="39.109375" style="179" customWidth="1"/>
    <col min="10495" max="10495" width="6.6640625" style="179" customWidth="1"/>
    <col min="10496" max="10496" width="12.88671875" style="179" customWidth="1"/>
    <col min="10497" max="10497" width="11.33203125" style="179" customWidth="1"/>
    <col min="10498" max="10498" width="11.88671875" style="179" customWidth="1"/>
    <col min="10499" max="10499" width="7.6640625" style="179" customWidth="1"/>
    <col min="10500" max="10500" width="9" style="179" customWidth="1"/>
    <col min="10501" max="10748" width="11.44140625" style="179"/>
    <col min="10749" max="10749" width="12" style="179" customWidth="1"/>
    <col min="10750" max="10750" width="39.109375" style="179" customWidth="1"/>
    <col min="10751" max="10751" width="6.6640625" style="179" customWidth="1"/>
    <col min="10752" max="10752" width="12.88671875" style="179" customWidth="1"/>
    <col min="10753" max="10753" width="11.33203125" style="179" customWidth="1"/>
    <col min="10754" max="10754" width="11.88671875" style="179" customWidth="1"/>
    <col min="10755" max="10755" width="7.6640625" style="179" customWidth="1"/>
    <col min="10756" max="10756" width="9" style="179" customWidth="1"/>
    <col min="10757" max="11004" width="11.44140625" style="179"/>
    <col min="11005" max="11005" width="12" style="179" customWidth="1"/>
    <col min="11006" max="11006" width="39.109375" style="179" customWidth="1"/>
    <col min="11007" max="11007" width="6.6640625" style="179" customWidth="1"/>
    <col min="11008" max="11008" width="12.88671875" style="179" customWidth="1"/>
    <col min="11009" max="11009" width="11.33203125" style="179" customWidth="1"/>
    <col min="11010" max="11010" width="11.88671875" style="179" customWidth="1"/>
    <col min="11011" max="11011" width="7.6640625" style="179" customWidth="1"/>
    <col min="11012" max="11012" width="9" style="179" customWidth="1"/>
    <col min="11013" max="11260" width="11.44140625" style="179"/>
    <col min="11261" max="11261" width="12" style="179" customWidth="1"/>
    <col min="11262" max="11262" width="39.109375" style="179" customWidth="1"/>
    <col min="11263" max="11263" width="6.6640625" style="179" customWidth="1"/>
    <col min="11264" max="11264" width="12.88671875" style="179" customWidth="1"/>
    <col min="11265" max="11265" width="11.33203125" style="179" customWidth="1"/>
    <col min="11266" max="11266" width="11.88671875" style="179" customWidth="1"/>
    <col min="11267" max="11267" width="7.6640625" style="179" customWidth="1"/>
    <col min="11268" max="11268" width="9" style="179" customWidth="1"/>
    <col min="11269" max="11516" width="11.44140625" style="179"/>
    <col min="11517" max="11517" width="12" style="179" customWidth="1"/>
    <col min="11518" max="11518" width="39.109375" style="179" customWidth="1"/>
    <col min="11519" max="11519" width="6.6640625" style="179" customWidth="1"/>
    <col min="11520" max="11520" width="12.88671875" style="179" customWidth="1"/>
    <col min="11521" max="11521" width="11.33203125" style="179" customWidth="1"/>
    <col min="11522" max="11522" width="11.88671875" style="179" customWidth="1"/>
    <col min="11523" max="11523" width="7.6640625" style="179" customWidth="1"/>
    <col min="11524" max="11524" width="9" style="179" customWidth="1"/>
    <col min="11525" max="11772" width="11.44140625" style="179"/>
    <col min="11773" max="11773" width="12" style="179" customWidth="1"/>
    <col min="11774" max="11774" width="39.109375" style="179" customWidth="1"/>
    <col min="11775" max="11775" width="6.6640625" style="179" customWidth="1"/>
    <col min="11776" max="11776" width="12.88671875" style="179" customWidth="1"/>
    <col min="11777" max="11777" width="11.33203125" style="179" customWidth="1"/>
    <col min="11778" max="11778" width="11.88671875" style="179" customWidth="1"/>
    <col min="11779" max="11779" width="7.6640625" style="179" customWidth="1"/>
    <col min="11780" max="11780" width="9" style="179" customWidth="1"/>
    <col min="11781" max="12028" width="11.44140625" style="179"/>
    <col min="12029" max="12029" width="12" style="179" customWidth="1"/>
    <col min="12030" max="12030" width="39.109375" style="179" customWidth="1"/>
    <col min="12031" max="12031" width="6.6640625" style="179" customWidth="1"/>
    <col min="12032" max="12032" width="12.88671875" style="179" customWidth="1"/>
    <col min="12033" max="12033" width="11.33203125" style="179" customWidth="1"/>
    <col min="12034" max="12034" width="11.88671875" style="179" customWidth="1"/>
    <col min="12035" max="12035" width="7.6640625" style="179" customWidth="1"/>
    <col min="12036" max="12036" width="9" style="179" customWidth="1"/>
    <col min="12037" max="12284" width="11.44140625" style="179"/>
    <col min="12285" max="12285" width="12" style="179" customWidth="1"/>
    <col min="12286" max="12286" width="39.109375" style="179" customWidth="1"/>
    <col min="12287" max="12287" width="6.6640625" style="179" customWidth="1"/>
    <col min="12288" max="12288" width="12.88671875" style="179" customWidth="1"/>
    <col min="12289" max="12289" width="11.33203125" style="179" customWidth="1"/>
    <col min="12290" max="12290" width="11.88671875" style="179" customWidth="1"/>
    <col min="12291" max="12291" width="7.6640625" style="179" customWidth="1"/>
    <col min="12292" max="12292" width="9" style="179" customWidth="1"/>
    <col min="12293" max="12540" width="11.44140625" style="179"/>
    <col min="12541" max="12541" width="12" style="179" customWidth="1"/>
    <col min="12542" max="12542" width="39.109375" style="179" customWidth="1"/>
    <col min="12543" max="12543" width="6.6640625" style="179" customWidth="1"/>
    <col min="12544" max="12544" width="12.88671875" style="179" customWidth="1"/>
    <col min="12545" max="12545" width="11.33203125" style="179" customWidth="1"/>
    <col min="12546" max="12546" width="11.88671875" style="179" customWidth="1"/>
    <col min="12547" max="12547" width="7.6640625" style="179" customWidth="1"/>
    <col min="12548" max="12548" width="9" style="179" customWidth="1"/>
    <col min="12549" max="12796" width="11.44140625" style="179"/>
    <col min="12797" max="12797" width="12" style="179" customWidth="1"/>
    <col min="12798" max="12798" width="39.109375" style="179" customWidth="1"/>
    <col min="12799" max="12799" width="6.6640625" style="179" customWidth="1"/>
    <col min="12800" max="12800" width="12.88671875" style="179" customWidth="1"/>
    <col min="12801" max="12801" width="11.33203125" style="179" customWidth="1"/>
    <col min="12802" max="12802" width="11.88671875" style="179" customWidth="1"/>
    <col min="12803" max="12803" width="7.6640625" style="179" customWidth="1"/>
    <col min="12804" max="12804" width="9" style="179" customWidth="1"/>
    <col min="12805" max="13052" width="11.44140625" style="179"/>
    <col min="13053" max="13053" width="12" style="179" customWidth="1"/>
    <col min="13054" max="13054" width="39.109375" style="179" customWidth="1"/>
    <col min="13055" max="13055" width="6.6640625" style="179" customWidth="1"/>
    <col min="13056" max="13056" width="12.88671875" style="179" customWidth="1"/>
    <col min="13057" max="13057" width="11.33203125" style="179" customWidth="1"/>
    <col min="13058" max="13058" width="11.88671875" style="179" customWidth="1"/>
    <col min="13059" max="13059" width="7.6640625" style="179" customWidth="1"/>
    <col min="13060" max="13060" width="9" style="179" customWidth="1"/>
    <col min="13061" max="13308" width="11.44140625" style="179"/>
    <col min="13309" max="13309" width="12" style="179" customWidth="1"/>
    <col min="13310" max="13310" width="39.109375" style="179" customWidth="1"/>
    <col min="13311" max="13311" width="6.6640625" style="179" customWidth="1"/>
    <col min="13312" max="13312" width="12.88671875" style="179" customWidth="1"/>
    <col min="13313" max="13313" width="11.33203125" style="179" customWidth="1"/>
    <col min="13314" max="13314" width="11.88671875" style="179" customWidth="1"/>
    <col min="13315" max="13315" width="7.6640625" style="179" customWidth="1"/>
    <col min="13316" max="13316" width="9" style="179" customWidth="1"/>
    <col min="13317" max="13564" width="11.44140625" style="179"/>
    <col min="13565" max="13565" width="12" style="179" customWidth="1"/>
    <col min="13566" max="13566" width="39.109375" style="179" customWidth="1"/>
    <col min="13567" max="13567" width="6.6640625" style="179" customWidth="1"/>
    <col min="13568" max="13568" width="12.88671875" style="179" customWidth="1"/>
    <col min="13569" max="13569" width="11.33203125" style="179" customWidth="1"/>
    <col min="13570" max="13570" width="11.88671875" style="179" customWidth="1"/>
    <col min="13571" max="13571" width="7.6640625" style="179" customWidth="1"/>
    <col min="13572" max="13572" width="9" style="179" customWidth="1"/>
    <col min="13573" max="13820" width="11.44140625" style="179"/>
    <col min="13821" max="13821" width="12" style="179" customWidth="1"/>
    <col min="13822" max="13822" width="39.109375" style="179" customWidth="1"/>
    <col min="13823" max="13823" width="6.6640625" style="179" customWidth="1"/>
    <col min="13824" max="13824" width="12.88671875" style="179" customWidth="1"/>
    <col min="13825" max="13825" width="11.33203125" style="179" customWidth="1"/>
    <col min="13826" max="13826" width="11.88671875" style="179" customWidth="1"/>
    <col min="13827" max="13827" width="7.6640625" style="179" customWidth="1"/>
    <col min="13828" max="13828" width="9" style="179" customWidth="1"/>
    <col min="13829" max="14076" width="11.44140625" style="179"/>
    <col min="14077" max="14077" width="12" style="179" customWidth="1"/>
    <col min="14078" max="14078" width="39.109375" style="179" customWidth="1"/>
    <col min="14079" max="14079" width="6.6640625" style="179" customWidth="1"/>
    <col min="14080" max="14080" width="12.88671875" style="179" customWidth="1"/>
    <col min="14081" max="14081" width="11.33203125" style="179" customWidth="1"/>
    <col min="14082" max="14082" width="11.88671875" style="179" customWidth="1"/>
    <col min="14083" max="14083" width="7.6640625" style="179" customWidth="1"/>
    <col min="14084" max="14084" width="9" style="179" customWidth="1"/>
    <col min="14085" max="14332" width="11.44140625" style="179"/>
    <col min="14333" max="14333" width="12" style="179" customWidth="1"/>
    <col min="14334" max="14334" width="39.109375" style="179" customWidth="1"/>
    <col min="14335" max="14335" width="6.6640625" style="179" customWidth="1"/>
    <col min="14336" max="14336" width="12.88671875" style="179" customWidth="1"/>
    <col min="14337" max="14337" width="11.33203125" style="179" customWidth="1"/>
    <col min="14338" max="14338" width="11.88671875" style="179" customWidth="1"/>
    <col min="14339" max="14339" width="7.6640625" style="179" customWidth="1"/>
    <col min="14340" max="14340" width="9" style="179" customWidth="1"/>
    <col min="14341" max="14588" width="11.44140625" style="179"/>
    <col min="14589" max="14589" width="12" style="179" customWidth="1"/>
    <col min="14590" max="14590" width="39.109375" style="179" customWidth="1"/>
    <col min="14591" max="14591" width="6.6640625" style="179" customWidth="1"/>
    <col min="14592" max="14592" width="12.88671875" style="179" customWidth="1"/>
    <col min="14593" max="14593" width="11.33203125" style="179" customWidth="1"/>
    <col min="14594" max="14594" width="11.88671875" style="179" customWidth="1"/>
    <col min="14595" max="14595" width="7.6640625" style="179" customWidth="1"/>
    <col min="14596" max="14596" width="9" style="179" customWidth="1"/>
    <col min="14597" max="14844" width="11.44140625" style="179"/>
    <col min="14845" max="14845" width="12" style="179" customWidth="1"/>
    <col min="14846" max="14846" width="39.109375" style="179" customWidth="1"/>
    <col min="14847" max="14847" width="6.6640625" style="179" customWidth="1"/>
    <col min="14848" max="14848" width="12.88671875" style="179" customWidth="1"/>
    <col min="14849" max="14849" width="11.33203125" style="179" customWidth="1"/>
    <col min="14850" max="14850" width="11.88671875" style="179" customWidth="1"/>
    <col min="14851" max="14851" width="7.6640625" style="179" customWidth="1"/>
    <col min="14852" max="14852" width="9" style="179" customWidth="1"/>
    <col min="14853" max="15100" width="11.44140625" style="179"/>
    <col min="15101" max="15101" width="12" style="179" customWidth="1"/>
    <col min="15102" max="15102" width="39.109375" style="179" customWidth="1"/>
    <col min="15103" max="15103" width="6.6640625" style="179" customWidth="1"/>
    <col min="15104" max="15104" width="12.88671875" style="179" customWidth="1"/>
    <col min="15105" max="15105" width="11.33203125" style="179" customWidth="1"/>
    <col min="15106" max="15106" width="11.88671875" style="179" customWidth="1"/>
    <col min="15107" max="15107" width="7.6640625" style="179" customWidth="1"/>
    <col min="15108" max="15108" width="9" style="179" customWidth="1"/>
    <col min="15109" max="15356" width="11.44140625" style="179"/>
    <col min="15357" max="15357" width="12" style="179" customWidth="1"/>
    <col min="15358" max="15358" width="39.109375" style="179" customWidth="1"/>
    <col min="15359" max="15359" width="6.6640625" style="179" customWidth="1"/>
    <col min="15360" max="15360" width="12.88671875" style="179" customWidth="1"/>
    <col min="15361" max="15361" width="11.33203125" style="179" customWidth="1"/>
    <col min="15362" max="15362" width="11.88671875" style="179" customWidth="1"/>
    <col min="15363" max="15363" width="7.6640625" style="179" customWidth="1"/>
    <col min="15364" max="15364" width="9" style="179" customWidth="1"/>
    <col min="15365" max="15612" width="11.44140625" style="179"/>
    <col min="15613" max="15613" width="12" style="179" customWidth="1"/>
    <col min="15614" max="15614" width="39.109375" style="179" customWidth="1"/>
    <col min="15615" max="15615" width="6.6640625" style="179" customWidth="1"/>
    <col min="15616" max="15616" width="12.88671875" style="179" customWidth="1"/>
    <col min="15617" max="15617" width="11.33203125" style="179" customWidth="1"/>
    <col min="15618" max="15618" width="11.88671875" style="179" customWidth="1"/>
    <col min="15619" max="15619" width="7.6640625" style="179" customWidth="1"/>
    <col min="15620" max="15620" width="9" style="179" customWidth="1"/>
    <col min="15621" max="15868" width="11.44140625" style="179"/>
    <col min="15869" max="15869" width="12" style="179" customWidth="1"/>
    <col min="15870" max="15870" width="39.109375" style="179" customWidth="1"/>
    <col min="15871" max="15871" width="6.6640625" style="179" customWidth="1"/>
    <col min="15872" max="15872" width="12.88671875" style="179" customWidth="1"/>
    <col min="15873" max="15873" width="11.33203125" style="179" customWidth="1"/>
    <col min="15874" max="15874" width="11.88671875" style="179" customWidth="1"/>
    <col min="15875" max="15875" width="7.6640625" style="179" customWidth="1"/>
    <col min="15876" max="15876" width="9" style="179" customWidth="1"/>
    <col min="15877" max="16124" width="11.44140625" style="179"/>
    <col min="16125" max="16125" width="12" style="179" customWidth="1"/>
    <col min="16126" max="16126" width="39.109375" style="179" customWidth="1"/>
    <col min="16127" max="16127" width="6.6640625" style="179" customWidth="1"/>
    <col min="16128" max="16128" width="12.88671875" style="179" customWidth="1"/>
    <col min="16129" max="16129" width="11.33203125" style="179" customWidth="1"/>
    <col min="16130" max="16130" width="11.88671875" style="179" customWidth="1"/>
    <col min="16131" max="16131" width="7.6640625" style="179" customWidth="1"/>
    <col min="16132" max="16132" width="9" style="179" customWidth="1"/>
    <col min="16133" max="16384" width="11.44140625" style="179"/>
  </cols>
  <sheetData>
    <row r="1" spans="1:9" ht="32.25" customHeight="1" x14ac:dyDescent="0.3">
      <c r="B1" s="180"/>
      <c r="C1" s="181"/>
      <c r="D1" s="181"/>
      <c r="E1" s="181"/>
      <c r="F1" s="181"/>
      <c r="G1" s="181"/>
      <c r="H1" s="181"/>
      <c r="I1" s="181"/>
    </row>
    <row r="2" spans="1:9" ht="12.75" customHeight="1" x14ac:dyDescent="0.3">
      <c r="A2" s="182" t="s">
        <v>66</v>
      </c>
      <c r="B2" s="182"/>
      <c r="C2" s="180"/>
      <c r="D2" s="180"/>
      <c r="E2" s="180"/>
      <c r="F2" s="180"/>
      <c r="G2" s="183"/>
      <c r="H2" s="180"/>
      <c r="I2" s="180"/>
    </row>
    <row r="3" spans="1:9" ht="12.75" customHeight="1" x14ac:dyDescent="0.3">
      <c r="A3" s="182" t="str">
        <f>DETALLE!B1</f>
        <v>Aquien corresponda</v>
      </c>
      <c r="B3" s="182"/>
      <c r="C3" s="183"/>
      <c r="D3" s="184"/>
      <c r="E3" s="185"/>
      <c r="F3" s="183"/>
      <c r="G3" s="180"/>
      <c r="H3" s="180"/>
      <c r="I3" s="180"/>
    </row>
    <row r="4" spans="1:9" ht="12.75" customHeight="1" x14ac:dyDescent="0.3">
      <c r="A4" s="182" t="str">
        <f>DETALLE!B2</f>
        <v>cotización cámaras</v>
      </c>
      <c r="B4" s="182"/>
      <c r="C4" s="180"/>
      <c r="D4" s="180"/>
      <c r="E4" s="180"/>
      <c r="F4" s="180"/>
      <c r="G4" s="180"/>
      <c r="H4" s="180"/>
      <c r="I4" s="180"/>
    </row>
    <row r="5" spans="1:9" ht="12.75" customHeight="1" x14ac:dyDescent="0.3">
      <c r="A5" s="182">
        <f>DETALLE!B3</f>
        <v>0</v>
      </c>
      <c r="B5" s="182"/>
      <c r="C5" s="183"/>
      <c r="D5" s="207" t="s">
        <v>97</v>
      </c>
      <c r="E5" s="269">
        <f ca="1">TODAY()</f>
        <v>45078</v>
      </c>
      <c r="F5" s="269"/>
      <c r="G5" s="180"/>
      <c r="H5" s="180"/>
      <c r="I5" s="180"/>
    </row>
    <row r="6" spans="1:9" ht="12.75" customHeight="1" x14ac:dyDescent="0.3">
      <c r="B6" s="182"/>
      <c r="C6" s="183"/>
      <c r="D6" s="207"/>
      <c r="E6" s="208"/>
      <c r="F6" s="208"/>
      <c r="G6" s="180"/>
      <c r="H6" s="180"/>
      <c r="I6" s="180"/>
    </row>
    <row r="7" spans="1:9" ht="12.75" customHeight="1" x14ac:dyDescent="0.3">
      <c r="A7" s="209" t="s">
        <v>98</v>
      </c>
      <c r="B7" s="182"/>
      <c r="C7" s="183"/>
      <c r="D7" s="207"/>
      <c r="E7" s="208"/>
      <c r="F7" s="208"/>
      <c r="G7" s="180"/>
      <c r="H7" s="180"/>
      <c r="I7" s="180"/>
    </row>
    <row r="8" spans="1:9" ht="12.75" customHeight="1" x14ac:dyDescent="0.3">
      <c r="A8" s="182"/>
      <c r="B8" s="182"/>
      <c r="C8" s="183"/>
      <c r="D8" s="207"/>
      <c r="E8" s="208"/>
      <c r="F8" s="208"/>
      <c r="G8" s="180"/>
      <c r="H8" s="180"/>
      <c r="I8" s="180"/>
    </row>
    <row r="9" spans="1:9" ht="12.75" customHeight="1" x14ac:dyDescent="0.3">
      <c r="B9" s="209"/>
      <c r="C9" s="209"/>
      <c r="D9" s="209"/>
      <c r="E9" s="209"/>
      <c r="F9" s="209"/>
      <c r="G9" s="180"/>
      <c r="H9" s="180"/>
      <c r="I9" s="180"/>
    </row>
    <row r="10" spans="1:9" ht="16.5" customHeight="1" x14ac:dyDescent="0.3">
      <c r="A10" s="270" t="s">
        <v>65</v>
      </c>
      <c r="B10" s="270"/>
      <c r="C10" s="270"/>
      <c r="D10" s="270"/>
      <c r="E10" s="270"/>
      <c r="F10" s="270"/>
      <c r="G10" s="184"/>
      <c r="H10" s="184"/>
      <c r="I10" s="180"/>
    </row>
    <row r="11" spans="1:9" ht="12.75" customHeight="1" x14ac:dyDescent="0.3">
      <c r="A11" s="186" t="s">
        <v>92</v>
      </c>
      <c r="B11" s="188" t="s">
        <v>82</v>
      </c>
      <c r="C11" s="188" t="s">
        <v>93</v>
      </c>
      <c r="D11" s="188" t="s">
        <v>0</v>
      </c>
      <c r="E11" s="188" t="s">
        <v>94</v>
      </c>
      <c r="F11" s="188" t="s">
        <v>95</v>
      </c>
      <c r="G11" s="180"/>
      <c r="H11" s="180"/>
      <c r="I11" s="180"/>
    </row>
    <row r="12" spans="1:9" ht="19.5" customHeight="1" x14ac:dyDescent="0.3">
      <c r="B12" s="189"/>
      <c r="C12" s="190"/>
      <c r="D12" s="190"/>
      <c r="E12" s="190"/>
      <c r="F12" s="190"/>
      <c r="G12" s="180"/>
      <c r="H12" s="180"/>
      <c r="I12" s="180"/>
    </row>
    <row r="13" spans="1:9" ht="30.75" customHeight="1" x14ac:dyDescent="0.25">
      <c r="A13" s="191">
        <v>1</v>
      </c>
      <c r="B13" s="192" t="str">
        <f>DETALLE!B11</f>
        <v>Domo IP 2 Megapixel / 30 mts IR EXIR / Exterior IP67 / IK10 / Lente 2.8 mm / dWDR / PoE / ONVIF</v>
      </c>
      <c r="C13" s="193" t="s">
        <v>96</v>
      </c>
      <c r="D13" s="206">
        <f>DETALLE!A11</f>
        <v>2</v>
      </c>
      <c r="E13" s="195">
        <f>DETALLE!D11</f>
        <v>1208.3580000000002</v>
      </c>
      <c r="F13" s="196">
        <f>E13*D13</f>
        <v>2416.7160000000003</v>
      </c>
    </row>
    <row r="14" spans="1:9" ht="30.75" customHeight="1" x14ac:dyDescent="0.25">
      <c r="A14" s="191">
        <v>2</v>
      </c>
      <c r="B14" s="192" t="str">
        <f>DETALLE!B12</f>
        <v>Cámara Bullet Dahua 2 MP, DH-HAC-HFW1209CN-LED-0280B, Full Color 1080p, lente de 2.8mm</v>
      </c>
      <c r="C14" s="193" t="s">
        <v>96</v>
      </c>
      <c r="D14" s="206">
        <f>DETALLE!A12</f>
        <v>2</v>
      </c>
      <c r="E14" s="195">
        <f>DETALLE!D12</f>
        <v>533.77649999999994</v>
      </c>
      <c r="F14" s="196">
        <f t="shared" ref="F14:F15" si="0">E14*D14</f>
        <v>1067.5529999999999</v>
      </c>
    </row>
    <row r="15" spans="1:9" ht="24" customHeight="1" x14ac:dyDescent="0.25">
      <c r="A15" s="191"/>
      <c r="B15" s="192" t="str">
        <f>DETALLE!B13</f>
        <v>Disco Duro Purple de 1 TB / 5400 RPM / Optimizado para Soluciones de Videovigilancia / Uso 24-7 / 3 Años de Garantia</v>
      </c>
      <c r="C15" s="193"/>
      <c r="D15" s="206">
        <f>DETALLE!A13</f>
        <v>1</v>
      </c>
      <c r="E15" s="195">
        <f>DETALLE!D13</f>
        <v>1060.6950000000002</v>
      </c>
      <c r="F15" s="196">
        <f t="shared" si="0"/>
        <v>1060.6950000000002</v>
      </c>
    </row>
    <row r="16" spans="1:9" ht="12.75" customHeight="1" x14ac:dyDescent="0.25">
      <c r="A16" s="191"/>
      <c r="B16" s="192" t="str">
        <f>DETALLE!B14</f>
        <v>NVR 8 Megapixel (4K) (Compatible con Cámaras AcuSense) / 4 Canales IP / 4 Puertos PoE+ / 1 Bahía de Disco Duro / HDMI en 4K</v>
      </c>
      <c r="C16" s="193"/>
      <c r="D16" s="206">
        <f>DETALLE!A14</f>
        <v>1</v>
      </c>
      <c r="E16" s="195">
        <f>DETALLE!D14</f>
        <v>1879.6994999999997</v>
      </c>
      <c r="F16" s="196">
        <f t="shared" ref="F16:F21" si="1">E16*D16</f>
        <v>1879.6994999999997</v>
      </c>
    </row>
    <row r="17" spans="1:6" ht="12.75" customHeight="1" x14ac:dyDescent="0.25">
      <c r="A17" s="191"/>
      <c r="B17" s="192" t="str">
        <f>DETALLE!B15</f>
        <v>Bobina de cable de 305 m, Cat5e, para intemperie, sin blindar, color blanco, UL, para aplicaciones en CCTV, redes de datos.</v>
      </c>
      <c r="C17" s="193"/>
      <c r="D17" s="206">
        <f>DETALLE!A15</f>
        <v>1</v>
      </c>
      <c r="E17" s="195">
        <f>DETALLE!D15</f>
        <v>2448.1305000000002</v>
      </c>
      <c r="F17" s="196">
        <f t="shared" si="1"/>
        <v>2448.1305000000002</v>
      </c>
    </row>
    <row r="18" spans="1:6" ht="12.75" customHeight="1" x14ac:dyDescent="0.25">
      <c r="A18" s="191"/>
      <c r="B18" s="192" t="str">
        <f>DETALLE!B16</f>
        <v>Easy Smart Switch PoE JetStream , 8 puertos 10/100/1000 Mbps 55 W</v>
      </c>
      <c r="C18" s="193"/>
      <c r="D18" s="206">
        <f>DETALLE!A16</f>
        <v>1</v>
      </c>
      <c r="E18" s="195">
        <f>DETALLE!D16</f>
        <v>1365.903</v>
      </c>
      <c r="F18" s="196">
        <f t="shared" si="1"/>
        <v>1365.903</v>
      </c>
    </row>
    <row r="19" spans="1:6" ht="12.75" customHeight="1" x14ac:dyDescent="0.25">
      <c r="A19" s="191"/>
      <c r="B19" s="192" t="str">
        <f>DETALLE!B17</f>
        <v>Gabinete ACTECK PERFORMANCE GI210 Micro Tower Micro ATX Y Mini ITX USB 2.0 Fuente 500W</v>
      </c>
      <c r="C19" s="193"/>
      <c r="D19" s="206">
        <f>DETALLE!A17</f>
        <v>1</v>
      </c>
      <c r="E19" s="195">
        <f>DETALLE!D17</f>
        <v>656.32950000000005</v>
      </c>
      <c r="F19" s="196">
        <f t="shared" si="1"/>
        <v>656.32950000000005</v>
      </c>
    </row>
    <row r="20" spans="1:6" ht="12.75" customHeight="1" x14ac:dyDescent="0.25">
      <c r="A20" s="191"/>
      <c r="B20" s="192" t="str">
        <f>DETALLE!B18</f>
        <v>Extensión Eléctrica De 20 Mts Uso Rudo Naranja Multicontacto</v>
      </c>
      <c r="C20" s="193"/>
      <c r="D20" s="206">
        <f>DETALLE!A18</f>
        <v>1</v>
      </c>
      <c r="E20" s="195">
        <f>DETALLE!D18</f>
        <v>810</v>
      </c>
      <c r="F20" s="196">
        <f t="shared" si="1"/>
        <v>810</v>
      </c>
    </row>
    <row r="21" spans="1:6" x14ac:dyDescent="0.25">
      <c r="A21" s="191"/>
      <c r="B21" s="192">
        <f>DETALLE!B19</f>
        <v>0</v>
      </c>
      <c r="C21" s="193"/>
      <c r="D21" s="206">
        <f>DETALLE!A19</f>
        <v>0</v>
      </c>
      <c r="E21" s="195">
        <f>DETALLE!D19</f>
        <v>0</v>
      </c>
      <c r="F21" s="196">
        <f t="shared" si="1"/>
        <v>0</v>
      </c>
    </row>
    <row r="22" spans="1:6" x14ac:dyDescent="0.25">
      <c r="A22" s="198"/>
      <c r="B22" s="192">
        <f>DETALLE!B20</f>
        <v>0</v>
      </c>
      <c r="C22" s="182"/>
      <c r="D22" s="206" t="s">
        <v>105</v>
      </c>
      <c r="E22" s="195">
        <f>DETALLE!D20</f>
        <v>0</v>
      </c>
      <c r="F22" s="196">
        <f>SUM(F12:F20)</f>
        <v>11705.0265</v>
      </c>
    </row>
    <row r="23" spans="1:6" x14ac:dyDescent="0.25">
      <c r="A23" s="198"/>
      <c r="B23" s="192">
        <f>DETALLE!B21</f>
        <v>0</v>
      </c>
      <c r="C23" s="198"/>
      <c r="D23" s="206" t="s">
        <v>106</v>
      </c>
      <c r="E23" s="195">
        <f>DETALLE!D21</f>
        <v>0</v>
      </c>
      <c r="F23" s="196">
        <f>F22*16%</f>
        <v>1872.8042399999999</v>
      </c>
    </row>
    <row r="24" spans="1:6" x14ac:dyDescent="0.25">
      <c r="A24" s="198"/>
      <c r="B24" s="198"/>
      <c r="C24" s="198"/>
      <c r="D24" s="198" t="s">
        <v>64</v>
      </c>
      <c r="E24" s="197"/>
      <c r="F24" s="201">
        <f>F22+F23</f>
        <v>13577.830739999999</v>
      </c>
    </row>
    <row r="25" spans="1:6" x14ac:dyDescent="0.25">
      <c r="A25" s="198"/>
      <c r="B25" s="210" t="str">
        <f>AO367</f>
        <v>(  TRECE  MIL QUINIENTOS SETENTA  Y SIETE  PESOS,  83/100 M.N.  )</v>
      </c>
      <c r="D25" s="198"/>
      <c r="E25" s="197"/>
      <c r="F25" s="201"/>
    </row>
    <row r="26" spans="1:6" x14ac:dyDescent="0.25">
      <c r="A26" s="198"/>
      <c r="C26" s="198"/>
      <c r="D26" s="198"/>
      <c r="E26" s="197"/>
      <c r="F26" s="201"/>
    </row>
    <row r="27" spans="1:6" x14ac:dyDescent="0.25">
      <c r="A27" s="198"/>
      <c r="B27" s="184"/>
      <c r="C27" s="184"/>
      <c r="D27" s="184"/>
      <c r="E27" s="202"/>
      <c r="F27" s="202"/>
    </row>
    <row r="28" spans="1:6" x14ac:dyDescent="0.25">
      <c r="A28" s="198"/>
      <c r="B28" s="198"/>
      <c r="C28" s="198"/>
      <c r="D28" s="198"/>
      <c r="E28" s="197"/>
      <c r="F28" s="197"/>
    </row>
    <row r="29" spans="1:6" x14ac:dyDescent="0.25">
      <c r="A29" s="198"/>
      <c r="B29" s="198"/>
      <c r="C29" s="198"/>
      <c r="E29" s="197"/>
      <c r="F29" s="197"/>
    </row>
    <row r="30" spans="1:6" ht="15.6" x14ac:dyDescent="0.3">
      <c r="A30" s="198"/>
      <c r="B30" s="198"/>
      <c r="C30" s="198"/>
      <c r="D30" s="217"/>
      <c r="E30" s="198"/>
      <c r="F30" s="198"/>
    </row>
    <row r="31" spans="1:6" x14ac:dyDescent="0.25">
      <c r="A31" s="198"/>
      <c r="B31" s="198"/>
      <c r="C31" s="198"/>
      <c r="D31" s="216"/>
      <c r="E31" s="198"/>
      <c r="F31" s="198"/>
    </row>
    <row r="32" spans="1:6" x14ac:dyDescent="0.25">
      <c r="A32" s="198"/>
      <c r="B32" s="198"/>
      <c r="C32" s="198"/>
      <c r="D32" s="198"/>
      <c r="E32" s="198"/>
      <c r="F32" s="198"/>
    </row>
    <row r="33" spans="1:6" x14ac:dyDescent="0.25">
      <c r="B33" s="198"/>
      <c r="C33" s="198"/>
      <c r="D33" s="198"/>
      <c r="E33" s="198"/>
      <c r="F33" s="198"/>
    </row>
    <row r="34" spans="1:6" x14ac:dyDescent="0.25">
      <c r="B34" s="198"/>
      <c r="C34" s="198"/>
      <c r="D34" s="198"/>
      <c r="E34" s="198"/>
      <c r="F34" s="198"/>
    </row>
    <row r="35" spans="1:6" x14ac:dyDescent="0.25">
      <c r="A35" s="198"/>
      <c r="B35" s="198"/>
      <c r="C35" s="198"/>
      <c r="D35" s="198"/>
      <c r="E35" s="198"/>
      <c r="F35" s="198"/>
    </row>
    <row r="36" spans="1:6" x14ac:dyDescent="0.25">
      <c r="A36" s="198"/>
      <c r="B36" s="198"/>
      <c r="C36" s="198"/>
      <c r="D36" s="198"/>
      <c r="E36" s="198"/>
      <c r="F36" s="198"/>
    </row>
    <row r="40" spans="1:6" x14ac:dyDescent="0.25">
      <c r="A40" s="218"/>
    </row>
    <row r="366" spans="39:51" x14ac:dyDescent="0.25">
      <c r="AM366" s="57" t="s">
        <v>3</v>
      </c>
      <c r="AN366" s="57"/>
      <c r="AO366" s="57" t="s">
        <v>4</v>
      </c>
      <c r="AP366" s="57"/>
      <c r="AQ366" s="57"/>
      <c r="AR366" s="57"/>
      <c r="AS366" s="57"/>
      <c r="AT366" s="57"/>
      <c r="AU366" s="57"/>
      <c r="AV366" s="57"/>
      <c r="AW366" s="57"/>
      <c r="AX366" s="57"/>
      <c r="AY366" s="4"/>
    </row>
    <row r="367" spans="39:51" x14ac:dyDescent="0.25">
      <c r="AM367" s="58">
        <f>+F24</f>
        <v>13577.830739999999</v>
      </c>
      <c r="AN367" s="57"/>
      <c r="AO367" s="59" t="str">
        <f>CONCATENATE(AT370,AW383,AW382,AW379,AW378,AW375,AU373,AU372,AU371,AU370)</f>
        <v>(  TRECE  MIL QUINIENTOS SETENTA  Y SIETE  PESOS,  83/100 M.N.  )</v>
      </c>
      <c r="AP367" s="59"/>
      <c r="AQ367" s="59"/>
      <c r="AR367" s="59"/>
      <c r="AS367" s="59"/>
      <c r="AT367" s="59"/>
      <c r="AU367" s="59"/>
      <c r="AV367" s="59"/>
      <c r="AW367" s="59"/>
      <c r="AX367" s="59"/>
      <c r="AY367" s="7"/>
    </row>
    <row r="368" spans="39:51" ht="13.8" thickBot="1" x14ac:dyDescent="0.3">
      <c r="AM368" s="60">
        <v>53</v>
      </c>
      <c r="AN368" s="57"/>
      <c r="AO368" s="59" t="str">
        <f>CONCATENATE(AT370,AW383,AW382,AW379,AW378,AW375,AU373,AU389,AU388,AU370)</f>
        <v>(  TRECE  MIL QUINIENTOS SETENTA  Y SIETE  DOLARES,  83/100 U.S. Cy  )</v>
      </c>
      <c r="AP368" s="57"/>
      <c r="AQ368" s="57"/>
      <c r="AR368" s="57"/>
      <c r="AS368" s="57"/>
      <c r="AT368" s="57"/>
      <c r="AU368" s="57"/>
      <c r="AV368" s="57"/>
      <c r="AW368" s="57"/>
      <c r="AX368" s="57"/>
      <c r="AY368" s="4"/>
    </row>
    <row r="369" spans="39:51" ht="13.8" thickTop="1" x14ac:dyDescent="0.25">
      <c r="AM369" s="61"/>
      <c r="AN369" s="62"/>
      <c r="AO369" s="62"/>
      <c r="AP369" s="62"/>
      <c r="AQ369" s="62"/>
      <c r="AR369" s="62"/>
      <c r="AS369" s="62"/>
      <c r="AT369" s="62"/>
      <c r="AU369" s="62"/>
      <c r="AV369" s="62"/>
      <c r="AW369" s="62"/>
      <c r="AX369" s="63"/>
      <c r="AY369" s="13"/>
    </row>
    <row r="370" spans="39:51" x14ac:dyDescent="0.25">
      <c r="AM370" s="64" t="str">
        <f>RIGHT(AM372)</f>
        <v>3</v>
      </c>
      <c r="AN370" s="65"/>
      <c r="AO370" s="65"/>
      <c r="AP370" s="65"/>
      <c r="AQ370" s="65"/>
      <c r="AR370" s="65"/>
      <c r="AS370" s="65"/>
      <c r="AT370" s="66" t="s">
        <v>5</v>
      </c>
      <c r="AU370" s="67" t="s">
        <v>6</v>
      </c>
      <c r="AV370" s="65"/>
      <c r="AW370" s="65"/>
      <c r="AX370" s="68"/>
      <c r="AY370" s="13"/>
    </row>
    <row r="371" spans="39:51" x14ac:dyDescent="0.25">
      <c r="AM371" s="64"/>
      <c r="AN371" s="65"/>
      <c r="AO371" s="65"/>
      <c r="AP371" s="67" t="s">
        <v>7</v>
      </c>
      <c r="AQ371" s="65"/>
      <c r="AR371" s="65"/>
      <c r="AS371" s="65"/>
      <c r="AT371" s="65"/>
      <c r="AU371" s="69" t="str">
        <f>CONCATENATE(AP373,AP372,AP371)</f>
        <v>83/100 M.N.</v>
      </c>
      <c r="AV371" s="65"/>
      <c r="AW371" s="65"/>
      <c r="AX371" s="68"/>
      <c r="AY371" s="13"/>
    </row>
    <row r="372" spans="39:51" x14ac:dyDescent="0.25">
      <c r="AM372" s="64" t="str">
        <f>RIGHT(AM392,AN372)</f>
        <v>3</v>
      </c>
      <c r="AN372" s="65">
        <v>1</v>
      </c>
      <c r="AO372" s="70" t="str">
        <f>MID(AM372,1,1)</f>
        <v>3</v>
      </c>
      <c r="AP372" s="65">
        <f>IF(VLOOKUP(AO372,AM394:AN405,2,FALSE)=0,0,VLOOKUP(AO372,AM394:AN405,2,FALSE))</f>
        <v>3</v>
      </c>
      <c r="AQ372" s="65"/>
      <c r="AR372" s="65"/>
      <c r="AS372" s="71"/>
      <c r="AT372" s="71"/>
      <c r="AU372" s="69" t="str">
        <f>IF(AM367&lt;&gt;1,"PESOS,  ","PESO  ")</f>
        <v xml:space="preserve">PESOS,  </v>
      </c>
      <c r="AV372" s="69"/>
      <c r="AW372" s="65"/>
      <c r="AX372" s="68"/>
      <c r="AY372" s="13"/>
    </row>
    <row r="373" spans="39:51" x14ac:dyDescent="0.25">
      <c r="AM373" s="64" t="str">
        <f>RIGHT(AM392,AN373)</f>
        <v>83</v>
      </c>
      <c r="AN373" s="65">
        <v>2</v>
      </c>
      <c r="AO373" s="70" t="str">
        <f>MID(AM373,1,1)</f>
        <v>8</v>
      </c>
      <c r="AP373" s="65">
        <f>IF(VLOOKUP(AO373,AM394:AN405,2,FALSE)=0,0,VLOOKUP(AO373,AM394:AN405,2,FALSE))</f>
        <v>8</v>
      </c>
      <c r="AQ373" s="65"/>
      <c r="AR373" s="65"/>
      <c r="AS373" s="69" t="str">
        <f>IF(SUM(AP375:AP385)=0,"CERO  ","")</f>
        <v/>
      </c>
      <c r="AT373" s="69" t="str">
        <f>IF(AP375&gt;2,"Y ","")</f>
        <v xml:space="preserve">Y </v>
      </c>
      <c r="AU373" s="69" t="str">
        <f>IF(SUM(AP375:AP385)=0,AS373,"")</f>
        <v/>
      </c>
      <c r="AV373" s="65"/>
      <c r="AW373" s="65"/>
      <c r="AX373" s="68"/>
      <c r="AY373" s="13"/>
    </row>
    <row r="374" spans="39:51" ht="13.8" thickBot="1" x14ac:dyDescent="0.3">
      <c r="AM374" s="64" t="str">
        <f>RIGHT(AM392,AN374)</f>
        <v>.83</v>
      </c>
      <c r="AN374" s="65">
        <v>3</v>
      </c>
      <c r="AO374" s="70" t="str">
        <f>MID(AM374,1,1)</f>
        <v>.</v>
      </c>
      <c r="AP374" s="65">
        <f>IF(VLOOKUP(AO374,AM394:AN405,2,FALSE)=0,0,VLOOKUP(AO374,AM394:AN405,2,FALSE))</f>
        <v>1</v>
      </c>
      <c r="AQ374" s="65"/>
      <c r="AR374" s="70">
        <v>1</v>
      </c>
      <c r="AS374" s="70">
        <v>2</v>
      </c>
      <c r="AT374" s="70">
        <v>3</v>
      </c>
      <c r="AU374" s="70">
        <v>4</v>
      </c>
      <c r="AV374" s="70"/>
      <c r="AW374" s="65"/>
      <c r="AX374" s="68"/>
      <c r="AY374" s="13"/>
    </row>
    <row r="375" spans="39:51" x14ac:dyDescent="0.25">
      <c r="AM375" s="72" t="str">
        <f>RIGHT(AM392,AN375)</f>
        <v>7.83</v>
      </c>
      <c r="AN375" s="73">
        <v>4</v>
      </c>
      <c r="AO375" s="74" t="str">
        <f t="shared" ref="AO375:AO385" si="2">IF(AM375=AM374,"0",MID(AM375,1,1))</f>
        <v>7</v>
      </c>
      <c r="AP375" s="75">
        <f>IF(VLOOKUP(AO375,AM394:AN405,2,FALSE)=0,0,VLOOKUP(AO375,AM394:AN405,2,FALSE))</f>
        <v>7</v>
      </c>
      <c r="AQ375" s="65"/>
      <c r="AR375" s="76" t="str">
        <f>IF(AP375=0,"",VLOOKUP(AP375,AN394:AR403,4,FALSE))</f>
        <v xml:space="preserve">SIETE  </v>
      </c>
      <c r="AS375" s="77" t="str">
        <f>IF(AP376=1,VLOOKUP(AP375,AN394:AR403,5,FALSE),VLOOKUP(AP375,AN394:AR403,4,FALSE))</f>
        <v xml:space="preserve">SIETE  </v>
      </c>
      <c r="AT375" s="77" t="str">
        <f>IF(AP376=1,AS375,AR375)</f>
        <v xml:space="preserve">SIETE  </v>
      </c>
      <c r="AU375" s="78" t="str">
        <f>IF(AP375=0,AR375,AT375)</f>
        <v xml:space="preserve">SIETE  </v>
      </c>
      <c r="AV375" s="65" t="str">
        <f>IF(AND(AP376&gt;2,AP375&gt;0),"Y ","")</f>
        <v xml:space="preserve">Y </v>
      </c>
      <c r="AW375" s="65" t="str">
        <f>CONCATENATE(AU377,AU376,AV375,AU375)</f>
        <v xml:space="preserve">QUINIENTOS SETENTA  Y SIETE  </v>
      </c>
      <c r="AX375" s="68"/>
      <c r="AY375" s="13"/>
    </row>
    <row r="376" spans="39:51" x14ac:dyDescent="0.25">
      <c r="AM376" s="64" t="str">
        <f>RIGHT(AM392,AN376)</f>
        <v>77.83</v>
      </c>
      <c r="AN376" s="65">
        <v>5</v>
      </c>
      <c r="AO376" s="70" t="str">
        <f t="shared" si="2"/>
        <v>7</v>
      </c>
      <c r="AP376" s="79">
        <f>IF(VLOOKUP(AO376,AM394:AN405,2,FALSE)=0,0,VLOOKUP(AO376,AM394:AN405,2,FALSE))</f>
        <v>7</v>
      </c>
      <c r="AQ376" s="65"/>
      <c r="AR376" s="80" t="str">
        <f>IF(AP376=0,"",VLOOKUP(AP376,AN394:AR403,3,FALSE))</f>
        <v xml:space="preserve">SETENTA  </v>
      </c>
      <c r="AS376" s="69" t="str">
        <f>IF(AP376=1,"",AR376)</f>
        <v xml:space="preserve">SETENTA  </v>
      </c>
      <c r="AT376" s="69" t="str">
        <f>IF(AP376=2,AS392,AS376)</f>
        <v xml:space="preserve">SETENTA  </v>
      </c>
      <c r="AU376" s="81" t="str">
        <f>IF(AP375=0,AR376,AT376)</f>
        <v xml:space="preserve">SETENTA  </v>
      </c>
      <c r="AV376" s="69"/>
      <c r="AW376" s="69"/>
      <c r="AX376" s="68"/>
      <c r="AY376" s="13"/>
    </row>
    <row r="377" spans="39:51" ht="13.8" thickBot="1" x14ac:dyDescent="0.3">
      <c r="AM377" s="82" t="str">
        <f>RIGHT(AM392,AN377)</f>
        <v>577.83</v>
      </c>
      <c r="AN377" s="83">
        <v>6</v>
      </c>
      <c r="AO377" s="84" t="str">
        <f t="shared" si="2"/>
        <v>5</v>
      </c>
      <c r="AP377" s="85">
        <f>IF(VLOOKUP(AO377,AM394:AN405,2,FALSE)=0,0,VLOOKUP(AO377,AM394:AN405,2,FALSE))</f>
        <v>5</v>
      </c>
      <c r="AQ377" s="65"/>
      <c r="AR377" s="86" t="str">
        <f>IF(AP377=0,"",VLOOKUP(AP377,AN394:AR403,2,FALSE))</f>
        <v xml:space="preserve">QUINIENTOS </v>
      </c>
      <c r="AS377" s="87"/>
      <c r="AT377" s="88" t="str">
        <f>IF(AP377=1,AO391,AR377)</f>
        <v xml:space="preserve">QUINIENTOS </v>
      </c>
      <c r="AU377" s="89" t="str">
        <f>IF(AP375+AP376=0,AR377,AT377)</f>
        <v xml:space="preserve">QUINIENTOS </v>
      </c>
      <c r="AV377" s="69"/>
      <c r="AW377" s="69"/>
      <c r="AX377" s="68"/>
      <c r="AY377" s="13"/>
    </row>
    <row r="378" spans="39:51" ht="13.8" thickBot="1" x14ac:dyDescent="0.3">
      <c r="AM378" s="64" t="str">
        <f>RIGHT(AM392,AN378)</f>
        <v>,577.83</v>
      </c>
      <c r="AN378" s="65">
        <v>7</v>
      </c>
      <c r="AO378" s="70" t="str">
        <f t="shared" si="2"/>
        <v>,</v>
      </c>
      <c r="AP378" s="65">
        <f>IF(VLOOKUP(AO378,AM394:AN405,2,FALSE)=0,0,VLOOKUP(AO378,AM394:AN405,2,FALSE))</f>
        <v>0</v>
      </c>
      <c r="AQ378" s="65"/>
      <c r="AR378" s="69" t="str">
        <f>IF(SUM(AP379:AP381)=0,"","MIL ")</f>
        <v xml:space="preserve">MIL </v>
      </c>
      <c r="AS378" s="69"/>
      <c r="AT378" s="69"/>
      <c r="AU378" s="69"/>
      <c r="AV378" s="69"/>
      <c r="AW378" s="69" t="str">
        <f>AR378</f>
        <v xml:space="preserve">MIL </v>
      </c>
      <c r="AX378" s="68"/>
      <c r="AY378" s="13"/>
    </row>
    <row r="379" spans="39:51" x14ac:dyDescent="0.25">
      <c r="AM379" s="72" t="str">
        <f>RIGHT(AM392,AN379)</f>
        <v>3,577.83</v>
      </c>
      <c r="AN379" s="73">
        <v>8</v>
      </c>
      <c r="AO379" s="74" t="str">
        <f t="shared" si="2"/>
        <v>3</v>
      </c>
      <c r="AP379" s="75">
        <f>IF(VLOOKUP(AO379,AM394:AN405,2,FALSE)=0,0,VLOOKUP(AO379,AM394:AN405,2,FALSE))</f>
        <v>3</v>
      </c>
      <c r="AQ379" s="65"/>
      <c r="AR379" s="76" t="str">
        <f>IF(AP379=0,"",VLOOKUP(AP379,AN394:AR403,4,FALSE))</f>
        <v xml:space="preserve">TRES  </v>
      </c>
      <c r="AS379" s="77" t="str">
        <f>IF(AP380=1,VLOOKUP(AP379,AN394:AR403,5,FALSE),VLOOKUP(AP379,AN394:AR403,4,FALSE))</f>
        <v xml:space="preserve">TRECE  </v>
      </c>
      <c r="AT379" s="77" t="str">
        <f>IF(AP380=1,AS379,AR379)</f>
        <v xml:space="preserve">TRECE  </v>
      </c>
      <c r="AU379" s="78" t="str">
        <f>IF(AP379=0,AR379,AT379)</f>
        <v xml:space="preserve">TRECE  </v>
      </c>
      <c r="AV379" s="65" t="str">
        <f>IF(AND(AP380&gt;2,AP379&gt;0),"Y ","")</f>
        <v/>
      </c>
      <c r="AW379" s="65" t="str">
        <f>CONCATENATE(AU381,AU380,AV379,AU379)</f>
        <v xml:space="preserve">TRECE  </v>
      </c>
      <c r="AX379" s="68"/>
      <c r="AY379" s="13"/>
    </row>
    <row r="380" spans="39:51" x14ac:dyDescent="0.25">
      <c r="AM380" s="64" t="str">
        <f>RIGHT(AM392,AN380)</f>
        <v>13,577.83</v>
      </c>
      <c r="AN380" s="65">
        <v>9</v>
      </c>
      <c r="AO380" s="70" t="str">
        <f t="shared" si="2"/>
        <v>1</v>
      </c>
      <c r="AP380" s="79">
        <f>IF(VLOOKUP(AO380,AM394:AN405,2,FALSE)=0,0,VLOOKUP(AO380,AM394:AN405,2,FALSE))</f>
        <v>1</v>
      </c>
      <c r="AQ380" s="65"/>
      <c r="AR380" s="80" t="str">
        <f>IF(AP380=0,"",VLOOKUP(AP380,AN394:AR403,3,FALSE))</f>
        <v xml:space="preserve">DIEZ  </v>
      </c>
      <c r="AS380" s="69" t="str">
        <f>IF(AP380=1,"",AR380)</f>
        <v/>
      </c>
      <c r="AT380" s="69" t="str">
        <f>IF(AP380=2,AS392,AS380)</f>
        <v/>
      </c>
      <c r="AU380" s="81" t="str">
        <f>IF(AP379=0,AR380,AT380)</f>
        <v/>
      </c>
      <c r="AV380" s="69"/>
      <c r="AW380" s="69"/>
      <c r="AX380" s="68"/>
      <c r="AY380" s="13"/>
    </row>
    <row r="381" spans="39:51" ht="13.8" thickBot="1" x14ac:dyDescent="0.3">
      <c r="AM381" s="82" t="str">
        <f>RIGHT(AM392,AN381)</f>
        <v>13,577.83</v>
      </c>
      <c r="AN381" s="83">
        <v>10</v>
      </c>
      <c r="AO381" s="84" t="str">
        <f t="shared" si="2"/>
        <v>0</v>
      </c>
      <c r="AP381" s="85">
        <f>IF(VLOOKUP(AO381,AM394:AN405,2,FALSE)=0,0,VLOOKUP(AO381,AM394:AN405,2,FALSE))</f>
        <v>0</v>
      </c>
      <c r="AQ381" s="65"/>
      <c r="AR381" s="86" t="str">
        <f>IF(AP381=0,"",VLOOKUP(AP381,AN394:AR405,2,FALSE))</f>
        <v/>
      </c>
      <c r="AS381" s="87"/>
      <c r="AT381" s="88" t="str">
        <f>IF(AP381=1,AO391,AR381)</f>
        <v/>
      </c>
      <c r="AU381" s="89" t="str">
        <f>IF(AP379+AP380=0,AR381,AT381)</f>
        <v/>
      </c>
      <c r="AV381" s="69"/>
      <c r="AW381" s="69"/>
      <c r="AX381" s="68"/>
      <c r="AY381" s="13"/>
    </row>
    <row r="382" spans="39:51" ht="13.8" thickBot="1" x14ac:dyDescent="0.3">
      <c r="AM382" s="64" t="str">
        <f>RIGHT(AM392,AN382)</f>
        <v>13,577.83</v>
      </c>
      <c r="AN382" s="65">
        <v>11</v>
      </c>
      <c r="AO382" s="70" t="str">
        <f t="shared" si="2"/>
        <v>0</v>
      </c>
      <c r="AP382" s="65">
        <f>IF(VLOOKUP(AO382,AM394:AN405,2,FALSE)=0,0,VLOOKUP(AO382,AM394:AN405,2,FALSE))</f>
        <v>0</v>
      </c>
      <c r="AQ382" s="65"/>
      <c r="AR382" s="69" t="str">
        <f>IF(AM367&gt;1999999.99,"MILLONES","MILLON")</f>
        <v>MILLON</v>
      </c>
      <c r="AS382" s="69"/>
      <c r="AT382" s="69"/>
      <c r="AU382" s="69"/>
      <c r="AV382" s="69" t="str">
        <f>IF(SUM(AP383:AP385)&gt;0,AR382,"")</f>
        <v/>
      </c>
      <c r="AW382" s="65" t="str">
        <f>CONCATENATE(AV382," ",AV384)</f>
        <v xml:space="preserve">  </v>
      </c>
      <c r="AX382" s="68"/>
      <c r="AY382" s="13"/>
    </row>
    <row r="383" spans="39:51" x14ac:dyDescent="0.25">
      <c r="AM383" s="72" t="str">
        <f>RIGHT(AM392,AN383)</f>
        <v>13,577.83</v>
      </c>
      <c r="AN383" s="73">
        <v>12</v>
      </c>
      <c r="AO383" s="74" t="str">
        <f t="shared" si="2"/>
        <v>0</v>
      </c>
      <c r="AP383" s="75">
        <f>IF(VLOOKUP(AO383,AM394:AN405,2,FALSE)=0,0,VLOOKUP(AO383,AM394:AN405,2,FALSE))</f>
        <v>0</v>
      </c>
      <c r="AQ383" s="65"/>
      <c r="AR383" s="76" t="str">
        <f>IF(AP383=0,"",VLOOKUP(AP383,AN394:AR403,4,FALSE))</f>
        <v/>
      </c>
      <c r="AS383" s="77" t="e">
        <f>IF(AP384=1,VLOOKUP(AP383,AN394:AR403,5,FALSE),VLOOKUP(AP383,AN394:AR403,4,FALSE))</f>
        <v>#N/A</v>
      </c>
      <c r="AT383" s="77" t="str">
        <f>IF(AP384=1,AS383,AR383)</f>
        <v/>
      </c>
      <c r="AU383" s="78" t="str">
        <f>IF(AP383=0,AR383,AT383)</f>
        <v/>
      </c>
      <c r="AV383" s="65" t="str">
        <f>IF(AND(AP384&gt;2,AP383&gt;0),"Y ","")</f>
        <v/>
      </c>
      <c r="AW383" s="65" t="str">
        <f>CONCATENATE(AU385,AU384,AV383,AU383)</f>
        <v/>
      </c>
      <c r="AX383" s="68"/>
      <c r="AY383" s="13"/>
    </row>
    <row r="384" spans="39:51" x14ac:dyDescent="0.25">
      <c r="AM384" s="64" t="str">
        <f>RIGHT(AM392,AN384)</f>
        <v>13,577.83</v>
      </c>
      <c r="AN384" s="65">
        <v>13</v>
      </c>
      <c r="AO384" s="70" t="str">
        <f t="shared" si="2"/>
        <v>0</v>
      </c>
      <c r="AP384" s="79">
        <f>IF(VLOOKUP(AO384,AM394:AN405,2,FALSE)=0,0,VLOOKUP(AO384,AM394:AN405,2,FALSE))</f>
        <v>0</v>
      </c>
      <c r="AQ384" s="65"/>
      <c r="AR384" s="80" t="str">
        <f>IF(AP384=0,"",VLOOKUP(AP384,AN394:AR403,3,FALSE))</f>
        <v/>
      </c>
      <c r="AS384" s="69" t="str">
        <f>IF(AP384=1,"",AR384)</f>
        <v/>
      </c>
      <c r="AT384" s="69" t="str">
        <f>IF(AP384=2,AS392,AS384)</f>
        <v/>
      </c>
      <c r="AU384" s="81" t="str">
        <f>IF(AP383=0,AR384,AT384)</f>
        <v/>
      </c>
      <c r="AV384" s="65" t="str">
        <f>IF(AND(AM367&gt;0.99,SUM(AP383:AP385)&gt;0),IF(SUM(AP375:AP381)&gt;0," ","DE ")," ")</f>
        <v xml:space="preserve"> </v>
      </c>
      <c r="AW384" s="69"/>
      <c r="AX384" s="68"/>
      <c r="AY384" s="13"/>
    </row>
    <row r="385" spans="39:51" ht="13.8" thickBot="1" x14ac:dyDescent="0.3">
      <c r="AM385" s="82" t="str">
        <f>RIGHT(AM392,AN385)</f>
        <v>13,577.83</v>
      </c>
      <c r="AN385" s="83">
        <v>14</v>
      </c>
      <c r="AO385" s="84" t="str">
        <f t="shared" si="2"/>
        <v>0</v>
      </c>
      <c r="AP385" s="85">
        <f>IF(VLOOKUP(AO385,AM394:AN405,2,FALSE)=0,0,VLOOKUP(AO385,AM394:AN405,2,FALSE))</f>
        <v>0</v>
      </c>
      <c r="AQ385" s="65"/>
      <c r="AR385" s="86" t="str">
        <f>IF(AP385=0,"",VLOOKUP(AP385,AN394:AR406,2,FALSE))</f>
        <v/>
      </c>
      <c r="AS385" s="87"/>
      <c r="AT385" s="88" t="str">
        <f>IF(AP385=1,AO391,AR385)</f>
        <v/>
      </c>
      <c r="AU385" s="89" t="str">
        <f>IF(AP383+AP384=0,AR385,AT385)</f>
        <v/>
      </c>
      <c r="AV385" s="65"/>
      <c r="AW385" s="69"/>
      <c r="AX385" s="68"/>
      <c r="AY385" s="13"/>
    </row>
    <row r="386" spans="39:51" x14ac:dyDescent="0.25">
      <c r="AM386" s="64"/>
      <c r="AN386" s="65"/>
      <c r="AO386" s="65"/>
      <c r="AP386" s="65"/>
      <c r="AQ386" s="65"/>
      <c r="AR386" s="65"/>
      <c r="AS386" s="65"/>
      <c r="AT386" s="65"/>
      <c r="AU386" s="65"/>
      <c r="AV386" s="65"/>
      <c r="AW386" s="65"/>
      <c r="AX386" s="68"/>
      <c r="AY386" s="13"/>
    </row>
    <row r="387" spans="39:51" x14ac:dyDescent="0.25">
      <c r="AM387" s="64"/>
      <c r="AN387" s="65"/>
      <c r="AO387" s="65"/>
      <c r="AP387" s="67" t="s">
        <v>8</v>
      </c>
      <c r="AQ387" s="65"/>
      <c r="AR387" s="65"/>
      <c r="AS387" s="65"/>
      <c r="AT387" s="66" t="s">
        <v>9</v>
      </c>
      <c r="AU387" s="67" t="s">
        <v>6</v>
      </c>
      <c r="AV387" s="65"/>
      <c r="AW387" s="65"/>
      <c r="AX387" s="68"/>
      <c r="AY387" s="13"/>
    </row>
    <row r="388" spans="39:51" x14ac:dyDescent="0.25">
      <c r="AM388" s="64"/>
      <c r="AN388" s="65"/>
      <c r="AO388" s="65"/>
      <c r="AP388" s="65"/>
      <c r="AQ388" s="65"/>
      <c r="AR388" s="65"/>
      <c r="AS388" s="65"/>
      <c r="AT388" s="65"/>
      <c r="AU388" s="69" t="str">
        <f>CONCATENATE(AP373,AP372,AP387)</f>
        <v>83/100 U.S. Cy</v>
      </c>
      <c r="AV388" s="65"/>
      <c r="AW388" s="65"/>
      <c r="AX388" s="68"/>
      <c r="AY388" s="13"/>
    </row>
    <row r="389" spans="39:51" ht="13.8" x14ac:dyDescent="0.25">
      <c r="AM389" s="90" t="str">
        <f>CONCATENATE(AO385,AO384,AO383,AO382,AO381,AO380,AO379,AO378,AO377,AO376,AO375,AO374,AO373,AO372)</f>
        <v>0000013,577.83</v>
      </c>
      <c r="AN389" s="65"/>
      <c r="AO389" s="65"/>
      <c r="AP389" s="65"/>
      <c r="AQ389" s="65"/>
      <c r="AR389" s="65"/>
      <c r="AS389" s="65"/>
      <c r="AT389" s="71"/>
      <c r="AU389" s="69" t="str">
        <f>IF(AM367&lt;&gt;1,"DOLARES,  ","PESO  ")</f>
        <v xml:space="preserve">DOLARES,  </v>
      </c>
      <c r="AV389" s="65"/>
      <c r="AW389" s="65"/>
      <c r="AX389" s="68"/>
      <c r="AY389" s="13"/>
    </row>
    <row r="390" spans="39:51" ht="13.8" thickBot="1" x14ac:dyDescent="0.3">
      <c r="AM390" s="64"/>
      <c r="AN390" s="65"/>
      <c r="AO390" s="65"/>
      <c r="AP390" s="65"/>
      <c r="AQ390" s="65"/>
      <c r="AR390" s="65"/>
      <c r="AS390" s="65"/>
      <c r="AT390" s="65"/>
      <c r="AU390" s="65"/>
      <c r="AV390" s="65"/>
      <c r="AW390" s="65"/>
      <c r="AX390" s="68"/>
      <c r="AY390" s="13"/>
    </row>
    <row r="391" spans="39:51" x14ac:dyDescent="0.25">
      <c r="AM391" s="91"/>
      <c r="AN391" s="92"/>
      <c r="AO391" s="93" t="s">
        <v>10</v>
      </c>
      <c r="AP391" s="94"/>
      <c r="AQ391" s="93"/>
      <c r="AR391" s="94"/>
      <c r="AS391" s="95"/>
      <c r="AT391" s="65"/>
      <c r="AU391" s="65"/>
      <c r="AV391" s="65"/>
      <c r="AW391" s="65"/>
      <c r="AX391" s="68"/>
      <c r="AY391" s="13"/>
    </row>
    <row r="392" spans="39:51" x14ac:dyDescent="0.25">
      <c r="AM392" s="96" t="str">
        <f>FIXED(AM367)</f>
        <v>13,577.83</v>
      </c>
      <c r="AN392" s="65"/>
      <c r="AO392" s="97" t="s">
        <v>11</v>
      </c>
      <c r="AP392" s="97" t="s">
        <v>12</v>
      </c>
      <c r="AQ392" s="97" t="s">
        <v>13</v>
      </c>
      <c r="AR392" s="98" t="s">
        <v>14</v>
      </c>
      <c r="AS392" s="99" t="s">
        <v>15</v>
      </c>
      <c r="AT392" s="65"/>
      <c r="AU392" s="65"/>
      <c r="AV392" s="65"/>
      <c r="AW392" s="65"/>
      <c r="AX392" s="68"/>
      <c r="AY392" s="13"/>
    </row>
    <row r="393" spans="39:51" x14ac:dyDescent="0.25">
      <c r="AM393" s="64"/>
      <c r="AN393" s="100">
        <v>1</v>
      </c>
      <c r="AO393" s="100">
        <v>8</v>
      </c>
      <c r="AP393" s="100">
        <v>9</v>
      </c>
      <c r="AQ393" s="100">
        <v>10</v>
      </c>
      <c r="AR393" s="100">
        <v>11</v>
      </c>
      <c r="AS393" s="99"/>
      <c r="AT393" s="65"/>
      <c r="AU393" s="65"/>
      <c r="AV393" s="65"/>
      <c r="AW393" s="65"/>
      <c r="AX393" s="68"/>
      <c r="AY393" s="13"/>
    </row>
    <row r="394" spans="39:51" x14ac:dyDescent="0.25">
      <c r="AM394" s="101" t="s">
        <v>16</v>
      </c>
      <c r="AN394" s="65">
        <v>1</v>
      </c>
      <c r="AO394" s="102" t="s">
        <v>17</v>
      </c>
      <c r="AP394" s="102" t="s">
        <v>18</v>
      </c>
      <c r="AQ394" s="102" t="s">
        <v>19</v>
      </c>
      <c r="AR394" s="102" t="s">
        <v>20</v>
      </c>
      <c r="AS394" s="99"/>
      <c r="AT394" s="65"/>
      <c r="AU394" s="65"/>
      <c r="AV394" s="65"/>
      <c r="AW394" s="65"/>
      <c r="AX394" s="68"/>
      <c r="AY394" s="13"/>
    </row>
    <row r="395" spans="39:51" x14ac:dyDescent="0.25">
      <c r="AM395" s="101" t="s">
        <v>21</v>
      </c>
      <c r="AN395" s="65">
        <v>2</v>
      </c>
      <c r="AO395" s="102" t="s">
        <v>22</v>
      </c>
      <c r="AP395" s="102" t="s">
        <v>23</v>
      </c>
      <c r="AQ395" s="102" t="s">
        <v>24</v>
      </c>
      <c r="AR395" s="102" t="s">
        <v>25</v>
      </c>
      <c r="AS395" s="99"/>
      <c r="AT395" s="65"/>
      <c r="AU395" s="65"/>
      <c r="AV395" s="65"/>
      <c r="AW395" s="65"/>
      <c r="AX395" s="68"/>
      <c r="AY395" s="13"/>
    </row>
    <row r="396" spans="39:51" x14ac:dyDescent="0.25">
      <c r="AM396" s="101" t="s">
        <v>26</v>
      </c>
      <c r="AN396" s="65">
        <v>3</v>
      </c>
      <c r="AO396" s="102" t="s">
        <v>27</v>
      </c>
      <c r="AP396" s="102" t="s">
        <v>28</v>
      </c>
      <c r="AQ396" s="102" t="s">
        <v>29</v>
      </c>
      <c r="AR396" s="102" t="s">
        <v>30</v>
      </c>
      <c r="AS396" s="99"/>
      <c r="AT396" s="65"/>
      <c r="AU396" s="65"/>
      <c r="AV396" s="65"/>
      <c r="AW396" s="65"/>
      <c r="AX396" s="68"/>
      <c r="AY396" s="13"/>
    </row>
    <row r="397" spans="39:51" x14ac:dyDescent="0.25">
      <c r="AM397" s="101" t="s">
        <v>31</v>
      </c>
      <c r="AN397" s="65">
        <v>4</v>
      </c>
      <c r="AO397" s="102" t="s">
        <v>32</v>
      </c>
      <c r="AP397" s="102" t="s">
        <v>33</v>
      </c>
      <c r="AQ397" s="102" t="s">
        <v>34</v>
      </c>
      <c r="AR397" s="102" t="s">
        <v>35</v>
      </c>
      <c r="AS397" s="99"/>
      <c r="AT397" s="65"/>
      <c r="AU397" s="65"/>
      <c r="AV397" s="65"/>
      <c r="AW397" s="65"/>
      <c r="AX397" s="68"/>
      <c r="AY397" s="13"/>
    </row>
    <row r="398" spans="39:51" x14ac:dyDescent="0.25">
      <c r="AM398" s="101" t="s">
        <v>36</v>
      </c>
      <c r="AN398" s="65">
        <v>5</v>
      </c>
      <c r="AO398" s="102" t="s">
        <v>37</v>
      </c>
      <c r="AP398" s="102" t="s">
        <v>38</v>
      </c>
      <c r="AQ398" s="102" t="s">
        <v>39</v>
      </c>
      <c r="AR398" s="102" t="s">
        <v>40</v>
      </c>
      <c r="AS398" s="99"/>
      <c r="AT398" s="65"/>
      <c r="AU398" s="65"/>
      <c r="AV398" s="65"/>
      <c r="AW398" s="65"/>
      <c r="AX398" s="68"/>
      <c r="AY398" s="13"/>
    </row>
    <row r="399" spans="39:51" x14ac:dyDescent="0.25">
      <c r="AM399" s="101" t="s">
        <v>41</v>
      </c>
      <c r="AN399" s="65">
        <v>6</v>
      </c>
      <c r="AO399" s="102" t="s">
        <v>42</v>
      </c>
      <c r="AP399" s="102" t="s">
        <v>43</v>
      </c>
      <c r="AQ399" s="102" t="s">
        <v>44</v>
      </c>
      <c r="AR399" s="102" t="s">
        <v>45</v>
      </c>
      <c r="AS399" s="99"/>
      <c r="AT399" s="65"/>
      <c r="AU399" s="65"/>
      <c r="AV399" s="65"/>
      <c r="AW399" s="65"/>
      <c r="AX399" s="68"/>
      <c r="AY399" s="13"/>
    </row>
    <row r="400" spans="39:51" x14ac:dyDescent="0.25">
      <c r="AM400" s="101" t="s">
        <v>46</v>
      </c>
      <c r="AN400" s="65">
        <v>7</v>
      </c>
      <c r="AO400" s="102" t="s">
        <v>47</v>
      </c>
      <c r="AP400" s="102" t="s">
        <v>48</v>
      </c>
      <c r="AQ400" s="102" t="s">
        <v>49</v>
      </c>
      <c r="AR400" s="102" t="s">
        <v>50</v>
      </c>
      <c r="AS400" s="99"/>
      <c r="AT400" s="65"/>
      <c r="AU400" s="65"/>
      <c r="AV400" s="65"/>
      <c r="AW400" s="65"/>
      <c r="AX400" s="68"/>
      <c r="AY400" s="13"/>
    </row>
    <row r="401" spans="39:51" x14ac:dyDescent="0.25">
      <c r="AM401" s="101" t="s">
        <v>51</v>
      </c>
      <c r="AN401" s="65">
        <v>8</v>
      </c>
      <c r="AO401" s="102" t="s">
        <v>52</v>
      </c>
      <c r="AP401" s="102" t="s">
        <v>53</v>
      </c>
      <c r="AQ401" s="102" t="s">
        <v>54</v>
      </c>
      <c r="AR401" s="102" t="s">
        <v>55</v>
      </c>
      <c r="AS401" s="99"/>
      <c r="AT401" s="65"/>
      <c r="AU401" s="65"/>
      <c r="AV401" s="65"/>
      <c r="AW401" s="65"/>
      <c r="AX401" s="68"/>
      <c r="AY401" s="13"/>
    </row>
    <row r="402" spans="39:51" x14ac:dyDescent="0.25">
      <c r="AM402" s="101" t="s">
        <v>56</v>
      </c>
      <c r="AN402" s="65">
        <v>9</v>
      </c>
      <c r="AO402" s="102" t="s">
        <v>57</v>
      </c>
      <c r="AP402" s="102" t="s">
        <v>58</v>
      </c>
      <c r="AQ402" s="102" t="s">
        <v>59</v>
      </c>
      <c r="AR402" s="102" t="s">
        <v>60</v>
      </c>
      <c r="AS402" s="99"/>
      <c r="AT402" s="65"/>
      <c r="AU402" s="65"/>
      <c r="AV402" s="65"/>
      <c r="AW402" s="65"/>
      <c r="AX402" s="68"/>
      <c r="AY402" s="13"/>
    </row>
    <row r="403" spans="39:51" x14ac:dyDescent="0.25">
      <c r="AM403" s="101" t="s">
        <v>61</v>
      </c>
      <c r="AN403" s="65"/>
      <c r="AO403" s="65"/>
      <c r="AP403" s="65"/>
      <c r="AQ403" s="65"/>
      <c r="AR403" s="65"/>
      <c r="AS403" s="99"/>
      <c r="AT403" s="65"/>
      <c r="AU403" s="65"/>
      <c r="AV403" s="65"/>
      <c r="AW403" s="65"/>
      <c r="AX403" s="68"/>
      <c r="AY403" s="13"/>
    </row>
    <row r="404" spans="39:51" x14ac:dyDescent="0.25">
      <c r="AM404" s="101" t="s">
        <v>62</v>
      </c>
      <c r="AN404" s="65">
        <v>1</v>
      </c>
      <c r="AO404" s="65">
        <v>2</v>
      </c>
      <c r="AP404" s="65">
        <v>3</v>
      </c>
      <c r="AQ404" s="65">
        <v>4</v>
      </c>
      <c r="AR404" s="65">
        <v>5</v>
      </c>
      <c r="AS404" s="99"/>
      <c r="AT404" s="65"/>
      <c r="AU404" s="65"/>
      <c r="AV404" s="65"/>
      <c r="AW404" s="65"/>
      <c r="AX404" s="68"/>
      <c r="AY404" s="13"/>
    </row>
    <row r="405" spans="39:51" x14ac:dyDescent="0.25">
      <c r="AM405" s="101" t="s">
        <v>63</v>
      </c>
      <c r="AN405" s="65"/>
      <c r="AO405" s="65"/>
      <c r="AP405" s="65"/>
      <c r="AQ405" s="65"/>
      <c r="AR405" s="65"/>
      <c r="AS405" s="99"/>
      <c r="AT405" s="65"/>
      <c r="AU405" s="65"/>
      <c r="AV405" s="65"/>
      <c r="AW405" s="65"/>
      <c r="AX405" s="68"/>
      <c r="AY405" s="13"/>
    </row>
    <row r="406" spans="39:51" ht="13.8" thickBot="1" x14ac:dyDescent="0.3">
      <c r="AM406" s="103"/>
      <c r="AN406" s="87"/>
      <c r="AO406" s="87"/>
      <c r="AP406" s="87"/>
      <c r="AQ406" s="87"/>
      <c r="AR406" s="87"/>
      <c r="AS406" s="104"/>
      <c r="AT406" s="65"/>
      <c r="AU406" s="65"/>
      <c r="AV406" s="65"/>
      <c r="AW406" s="65"/>
      <c r="AX406" s="68"/>
      <c r="AY406" s="13"/>
    </row>
    <row r="407" spans="39:51" ht="13.8" thickBot="1" x14ac:dyDescent="0.3">
      <c r="AM407" s="105"/>
      <c r="AN407" s="106"/>
      <c r="AO407" s="106"/>
      <c r="AP407" s="106"/>
      <c r="AQ407" s="106"/>
      <c r="AR407" s="106"/>
      <c r="AS407" s="106"/>
      <c r="AT407" s="106"/>
      <c r="AU407" s="106"/>
      <c r="AV407" s="106"/>
      <c r="AW407" s="106"/>
      <c r="AX407" s="107"/>
      <c r="AY407" s="13"/>
    </row>
    <row r="408" spans="39:51" ht="13.8" thickTop="1" x14ac:dyDescent="0.25"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</row>
    <row r="409" spans="39:51" x14ac:dyDescent="0.25"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</row>
    <row r="410" spans="39:51" x14ac:dyDescent="0.25"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</row>
    <row r="411" spans="39:51" x14ac:dyDescent="0.25">
      <c r="AM411" s="3" t="s">
        <v>3</v>
      </c>
      <c r="AN411" s="3"/>
      <c r="AO411" s="3" t="s">
        <v>4</v>
      </c>
      <c r="AP411" s="3"/>
      <c r="AQ411" s="3"/>
      <c r="AR411" s="3"/>
      <c r="AS411" s="3"/>
      <c r="AT411" s="3"/>
      <c r="AU411" s="3"/>
      <c r="AV411" s="3"/>
      <c r="AW411" s="3"/>
      <c r="AX411" s="3"/>
      <c r="AY411" s="2"/>
    </row>
    <row r="412" spans="39:51" x14ac:dyDescent="0.25">
      <c r="AM412" s="5">
        <f>J6</f>
        <v>0</v>
      </c>
      <c r="AN412" s="3"/>
      <c r="AO412" s="6" t="str">
        <f>CONCATENATE(AT415,AW428,AW427,AW424,AW423,AW420,AU418,AU417,AU416,AU415)</f>
        <v>(  CERO  PESOS,  00/100 M.N.  )</v>
      </c>
      <c r="AP412" s="6"/>
      <c r="AQ412" s="6"/>
      <c r="AR412" s="6"/>
      <c r="AS412" s="6"/>
      <c r="AT412" s="6"/>
      <c r="AU412" s="6"/>
      <c r="AV412" s="6"/>
      <c r="AW412" s="6"/>
      <c r="AX412" s="6"/>
      <c r="AY412" s="2"/>
    </row>
    <row r="413" spans="39:51" ht="13.8" thickBot="1" x14ac:dyDescent="0.3">
      <c r="AM413" s="8"/>
      <c r="AN413" s="3"/>
      <c r="AO413" s="9" t="str">
        <f>CONCATENATE(AT415,AW428,AW427,AW424,AW423,AW420,AU418,AU434,AU433,AU415)</f>
        <v>(  CERO  00/100 U.S. Cy  )</v>
      </c>
      <c r="AP413" s="3"/>
      <c r="AQ413" s="3"/>
      <c r="AR413" s="3"/>
      <c r="AS413" s="3"/>
      <c r="AT413" s="3"/>
      <c r="AU413" s="3"/>
      <c r="AV413" s="3"/>
      <c r="AW413" s="3"/>
      <c r="AX413" s="3"/>
      <c r="AY413" s="4"/>
    </row>
    <row r="414" spans="39:51" ht="13.8" thickTop="1" x14ac:dyDescent="0.25">
      <c r="AM414" s="10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2"/>
      <c r="AY414" s="7"/>
    </row>
    <row r="415" spans="39:51" x14ac:dyDescent="0.25">
      <c r="AM415" s="14" t="str">
        <f>RIGHT(AM417)</f>
        <v>0</v>
      </c>
      <c r="AN415" s="13"/>
      <c r="AO415" s="13"/>
      <c r="AP415" s="13"/>
      <c r="AQ415" s="13"/>
      <c r="AR415" s="13"/>
      <c r="AS415" s="13"/>
      <c r="AT415" s="15" t="s">
        <v>5</v>
      </c>
      <c r="AU415" s="16" t="s">
        <v>6</v>
      </c>
      <c r="AV415" s="13"/>
      <c r="AW415" s="13"/>
      <c r="AX415" s="17"/>
      <c r="AY415" s="4"/>
    </row>
    <row r="416" spans="39:51" x14ac:dyDescent="0.25">
      <c r="AM416" s="14"/>
      <c r="AN416" s="13"/>
      <c r="AO416" s="13"/>
      <c r="AP416" s="16" t="s">
        <v>7</v>
      </c>
      <c r="AQ416" s="13"/>
      <c r="AR416" s="13"/>
      <c r="AS416" s="13"/>
      <c r="AT416" s="13"/>
      <c r="AU416" s="18" t="str">
        <f>CONCATENATE(AP418,AP417,AP416)</f>
        <v>00/100 M.N.</v>
      </c>
      <c r="AV416" s="13"/>
      <c r="AW416" s="13"/>
      <c r="AX416" s="17"/>
      <c r="AY416" s="13"/>
    </row>
    <row r="417" spans="39:51" x14ac:dyDescent="0.25">
      <c r="AM417" s="14" t="str">
        <f>RIGHT(AM437,AN417)</f>
        <v>0</v>
      </c>
      <c r="AN417" s="13">
        <v>1</v>
      </c>
      <c r="AO417" s="19" t="str">
        <f>MID(AM417,1,1)</f>
        <v>0</v>
      </c>
      <c r="AP417" s="13">
        <f>IF(VLOOKUP(AO417,AM439:AN450,2,FALSE)=0,0,VLOOKUP(AO417,AM439:AN450,2,FALSE))</f>
        <v>0</v>
      </c>
      <c r="AQ417" s="13"/>
      <c r="AR417" s="13"/>
      <c r="AS417" s="20"/>
      <c r="AT417" s="20"/>
      <c r="AU417" s="18" t="str">
        <f>IF(AM412&lt;&gt;1,"PESOS,  ","PESO  ")</f>
        <v xml:space="preserve">PESOS,  </v>
      </c>
      <c r="AV417" s="18"/>
      <c r="AW417" s="13"/>
      <c r="AX417" s="17"/>
      <c r="AY417" s="13"/>
    </row>
    <row r="418" spans="39:51" x14ac:dyDescent="0.25">
      <c r="AM418" s="14" t="str">
        <f>RIGHT(AM437,AN418)</f>
        <v>00</v>
      </c>
      <c r="AN418" s="13">
        <v>2</v>
      </c>
      <c r="AO418" s="19" t="str">
        <f>MID(AM418,1,1)</f>
        <v>0</v>
      </c>
      <c r="AP418" s="13">
        <f>IF(VLOOKUP(AO418,AM439:AN450,2,FALSE)=0,0,VLOOKUP(AO418,AM439:AN450,2,FALSE))</f>
        <v>0</v>
      </c>
      <c r="AQ418" s="13"/>
      <c r="AR418" s="13"/>
      <c r="AS418" s="18" t="str">
        <f>IF(SUM(AP420:AP430)=0,"CERO  ","")</f>
        <v xml:space="preserve">CERO  </v>
      </c>
      <c r="AT418" s="18" t="str">
        <f>IF(AP420&gt;2,"Y ","")</f>
        <v/>
      </c>
      <c r="AU418" s="18" t="str">
        <f>IF(SUM(AP420:AP430)=0,AS418,"")</f>
        <v xml:space="preserve">CERO  </v>
      </c>
      <c r="AV418" s="13"/>
      <c r="AW418" s="13"/>
      <c r="AX418" s="17"/>
      <c r="AY418" s="13"/>
    </row>
    <row r="419" spans="39:51" ht="13.8" thickBot="1" x14ac:dyDescent="0.3">
      <c r="AM419" s="14" t="str">
        <f>RIGHT(AM437,AN419)</f>
        <v>.00</v>
      </c>
      <c r="AN419" s="13">
        <v>3</v>
      </c>
      <c r="AO419" s="19" t="str">
        <f>MID(AM419,1,1)</f>
        <v>.</v>
      </c>
      <c r="AP419" s="13">
        <f>IF(VLOOKUP(AO419,AM439:AN450,2,FALSE)=0,0,VLOOKUP(AO419,AM439:AN450,2,FALSE))</f>
        <v>1</v>
      </c>
      <c r="AQ419" s="13"/>
      <c r="AR419" s="19">
        <v>1</v>
      </c>
      <c r="AS419" s="19">
        <v>2</v>
      </c>
      <c r="AT419" s="19">
        <v>3</v>
      </c>
      <c r="AU419" s="19">
        <v>4</v>
      </c>
      <c r="AV419" s="19"/>
      <c r="AW419" s="13"/>
      <c r="AX419" s="17"/>
      <c r="AY419" s="13"/>
    </row>
    <row r="420" spans="39:51" x14ac:dyDescent="0.25">
      <c r="AM420" s="21" t="str">
        <f>RIGHT(AM437,AN420)</f>
        <v>0.00</v>
      </c>
      <c r="AN420" s="22">
        <v>4</v>
      </c>
      <c r="AO420" s="23" t="str">
        <f t="shared" ref="AO420:AO430" si="3">IF(AM420=AM419,"0",MID(AM420,1,1))</f>
        <v>0</v>
      </c>
      <c r="AP420" s="24">
        <f>IF(VLOOKUP(AO420,AM439:AN450,2,FALSE)=0,0,VLOOKUP(AO420,AM439:AN450,2,FALSE))</f>
        <v>0</v>
      </c>
      <c r="AQ420" s="13"/>
      <c r="AR420" s="25" t="str">
        <f>IF(AP420=0,"",VLOOKUP(AP420,AN439:AR448,4,FALSE))</f>
        <v/>
      </c>
      <c r="AS420" s="26" t="e">
        <f>IF(AP421=1,VLOOKUP(AP420,AN439:AR448,5,FALSE),VLOOKUP(AP420,AN439:AR448,4,FALSE))</f>
        <v>#N/A</v>
      </c>
      <c r="AT420" s="26" t="str">
        <f>IF(AP421=1,AS420,AR420)</f>
        <v/>
      </c>
      <c r="AU420" s="27" t="str">
        <f>IF(AP420=0,AR420,AT420)</f>
        <v/>
      </c>
      <c r="AV420" s="13" t="str">
        <f>IF(AND(AP421&gt;2,AP420&gt;0),"Y ","")</f>
        <v/>
      </c>
      <c r="AW420" s="13" t="str">
        <f>CONCATENATE(AU422,AU421,AV420,AU420)</f>
        <v/>
      </c>
      <c r="AX420" s="17"/>
      <c r="AY420" s="13"/>
    </row>
    <row r="421" spans="39:51" x14ac:dyDescent="0.25">
      <c r="AM421" s="14" t="str">
        <f>RIGHT(AM437,AN421)</f>
        <v>0.00</v>
      </c>
      <c r="AN421" s="13">
        <v>5</v>
      </c>
      <c r="AO421" s="19" t="str">
        <f t="shared" si="3"/>
        <v>0</v>
      </c>
      <c r="AP421" s="28">
        <f>IF(VLOOKUP(AO421,AM439:AN450,2,FALSE)=0,0,VLOOKUP(AO421,AM439:AN450,2,FALSE))</f>
        <v>0</v>
      </c>
      <c r="AQ421" s="13"/>
      <c r="AR421" s="29" t="str">
        <f>IF(AP421=0,"",VLOOKUP(AP421,AN439:AR448,3,FALSE))</f>
        <v/>
      </c>
      <c r="AS421" s="18" t="str">
        <f>IF($G421=1,"",AR421)</f>
        <v/>
      </c>
      <c r="AT421" s="18" t="str">
        <f>IF(AP421=2,AS437,AS421)</f>
        <v/>
      </c>
      <c r="AU421" s="30" t="str">
        <f>IF(AP420=0,AR421,AT421)</f>
        <v/>
      </c>
      <c r="AV421" s="18"/>
      <c r="AW421" s="18"/>
      <c r="AX421" s="17"/>
      <c r="AY421" s="13"/>
    </row>
    <row r="422" spans="39:51" ht="13.8" thickBot="1" x14ac:dyDescent="0.3">
      <c r="AM422" s="31" t="str">
        <f>RIGHT(AM437,AN422)</f>
        <v>0.00</v>
      </c>
      <c r="AN422" s="32">
        <v>6</v>
      </c>
      <c r="AO422" s="33" t="str">
        <f t="shared" si="3"/>
        <v>0</v>
      </c>
      <c r="AP422" s="34">
        <f>IF(VLOOKUP(AO422,AM439:AN450,2,FALSE)=0,0,VLOOKUP(AO422,AM439:AN450,2,FALSE))</f>
        <v>0</v>
      </c>
      <c r="AQ422" s="13"/>
      <c r="AR422" s="35" t="str">
        <f>IF(AP422=0,"",VLOOKUP(AP422,AN439:AR448,2,FALSE))</f>
        <v/>
      </c>
      <c r="AS422" s="36"/>
      <c r="AT422" s="37" t="str">
        <f>IF(AP422=1,AO436,AR422)</f>
        <v/>
      </c>
      <c r="AU422" s="38" t="str">
        <f>IF(AP420+AP421=0,AR422,AT422)</f>
        <v/>
      </c>
      <c r="AV422" s="18"/>
      <c r="AW422" s="18"/>
      <c r="AX422" s="17"/>
      <c r="AY422" s="13"/>
    </row>
    <row r="423" spans="39:51" ht="13.8" thickBot="1" x14ac:dyDescent="0.3">
      <c r="AM423" s="14" t="str">
        <f>RIGHT(AM437,AN423)</f>
        <v>0.00</v>
      </c>
      <c r="AN423" s="13">
        <v>7</v>
      </c>
      <c r="AO423" s="19" t="str">
        <f t="shared" si="3"/>
        <v>0</v>
      </c>
      <c r="AP423" s="13">
        <f>IF(VLOOKUP(AO423,AM439:AN450,2,FALSE)=0,0,VLOOKUP(AO423,AM439:AN450,2,FALSE))</f>
        <v>0</v>
      </c>
      <c r="AQ423" s="13"/>
      <c r="AR423" s="18" t="str">
        <f>IF(SUM(AP424:AP426)=0,"","MIL ")</f>
        <v/>
      </c>
      <c r="AS423" s="18"/>
      <c r="AT423" s="18"/>
      <c r="AU423" s="18"/>
      <c r="AV423" s="18"/>
      <c r="AW423" s="18" t="str">
        <f>AR423</f>
        <v/>
      </c>
      <c r="AX423" s="17"/>
      <c r="AY423" s="13"/>
    </row>
    <row r="424" spans="39:51" x14ac:dyDescent="0.25">
      <c r="AM424" s="21" t="str">
        <f>RIGHT(AM437,AN424)</f>
        <v>0.00</v>
      </c>
      <c r="AN424" s="22">
        <v>8</v>
      </c>
      <c r="AO424" s="23" t="str">
        <f t="shared" si="3"/>
        <v>0</v>
      </c>
      <c r="AP424" s="24">
        <f>IF(VLOOKUP(AO424,AM439:AN450,2,FALSE)=0,0,VLOOKUP(AO424,AM439:AN450,2,FALSE))</f>
        <v>0</v>
      </c>
      <c r="AQ424" s="13"/>
      <c r="AR424" s="25" t="str">
        <f>IF(AP424=0,"",VLOOKUP(AP424,AN439:AR448,4,FALSE))</f>
        <v/>
      </c>
      <c r="AS424" s="26" t="e">
        <f>IF(AP425=1,VLOOKUP(AP424,AN439:AR448,5,FALSE),VLOOKUP(AP424,AN439:AR448,4,FALSE))</f>
        <v>#N/A</v>
      </c>
      <c r="AT424" s="26" t="str">
        <f>IF(AP425=1,AS424,AR424)</f>
        <v/>
      </c>
      <c r="AU424" s="27" t="str">
        <f>IF(AP424=0,AR424,AT424)</f>
        <v/>
      </c>
      <c r="AV424" s="13" t="str">
        <f>IF(AND(AP425&gt;2,AP424&gt;0),"Y ","")</f>
        <v/>
      </c>
      <c r="AW424" s="13" t="str">
        <f>CONCATENATE(AU426,AU425,AV424,AU424)</f>
        <v/>
      </c>
      <c r="AX424" s="17"/>
      <c r="AY424" s="13"/>
    </row>
    <row r="425" spans="39:51" x14ac:dyDescent="0.25">
      <c r="AM425" s="14" t="str">
        <f>RIGHT(AM437,AN425)</f>
        <v>0.00</v>
      </c>
      <c r="AN425" s="13">
        <v>9</v>
      </c>
      <c r="AO425" s="19" t="str">
        <f t="shared" si="3"/>
        <v>0</v>
      </c>
      <c r="AP425" s="28">
        <f>IF(VLOOKUP(AO425,AM439:AN450,2,FALSE)=0,0,VLOOKUP(AO425,AM439:AN450,2,FALSE))</f>
        <v>0</v>
      </c>
      <c r="AQ425" s="13"/>
      <c r="AR425" s="29" t="str">
        <f>IF(AP425=0,"",VLOOKUP(AP425,AN439:AR448,3,FALSE))</f>
        <v/>
      </c>
      <c r="AS425" s="18" t="str">
        <f>IF($G425=1,"",AR425)</f>
        <v/>
      </c>
      <c r="AT425" s="18" t="str">
        <f>IF(AP425=2,AS437,AS425)</f>
        <v/>
      </c>
      <c r="AU425" s="30" t="str">
        <f>IF(AP424=0,AR425,AT425)</f>
        <v/>
      </c>
      <c r="AV425" s="18"/>
      <c r="AW425" s="18"/>
      <c r="AX425" s="17"/>
      <c r="AY425" s="13"/>
    </row>
    <row r="426" spans="39:51" ht="13.8" thickBot="1" x14ac:dyDescent="0.3">
      <c r="AM426" s="31" t="str">
        <f>RIGHT(AM437,AN426)</f>
        <v>0.00</v>
      </c>
      <c r="AN426" s="32">
        <v>10</v>
      </c>
      <c r="AO426" s="33" t="str">
        <f t="shared" si="3"/>
        <v>0</v>
      </c>
      <c r="AP426" s="34">
        <f>IF(VLOOKUP(AO426,AM439:AN450,2,FALSE)=0,0,VLOOKUP(AO426,AM439:AN450,2,FALSE))</f>
        <v>0</v>
      </c>
      <c r="AQ426" s="13"/>
      <c r="AR426" s="35" t="str">
        <f>IF(AP426=0,"",VLOOKUP(AP426,AN439:AR450,2,FALSE))</f>
        <v/>
      </c>
      <c r="AS426" s="36"/>
      <c r="AT426" s="37" t="str">
        <f>IF(AP426=1,AO436,AR426)</f>
        <v/>
      </c>
      <c r="AU426" s="38" t="str">
        <f>IF(AP424+AP425=0,AR426,AT426)</f>
        <v/>
      </c>
      <c r="AV426" s="18"/>
      <c r="AW426" s="18"/>
      <c r="AX426" s="17"/>
      <c r="AY426" s="13"/>
    </row>
    <row r="427" spans="39:51" ht="13.8" thickBot="1" x14ac:dyDescent="0.3">
      <c r="AM427" s="14" t="str">
        <f>RIGHT(AM437,AN427)</f>
        <v>0.00</v>
      </c>
      <c r="AN427" s="13">
        <v>11</v>
      </c>
      <c r="AO427" s="19" t="str">
        <f t="shared" si="3"/>
        <v>0</v>
      </c>
      <c r="AP427" s="13">
        <f>IF(VLOOKUP(AO427,AM439:AN450,2,FALSE)=0,0,VLOOKUP(AO427,AM439:AN450,2,FALSE))</f>
        <v>0</v>
      </c>
      <c r="AQ427" s="13"/>
      <c r="AR427" s="18" t="str">
        <f>IF(AM412&gt;1999999.99,"MILLONES","MILLON")</f>
        <v>MILLON</v>
      </c>
      <c r="AS427" s="18"/>
      <c r="AT427" s="18"/>
      <c r="AU427" s="18"/>
      <c r="AV427" s="18" t="str">
        <f>IF(SUM(AP428:AP430)&gt;0,AR427,"")</f>
        <v/>
      </c>
      <c r="AW427" s="13" t="str">
        <f>CONCATENATE(AV427," ",AV429)</f>
        <v xml:space="preserve">  </v>
      </c>
      <c r="AX427" s="17"/>
      <c r="AY427" s="13"/>
    </row>
    <row r="428" spans="39:51" x14ac:dyDescent="0.25">
      <c r="AM428" s="21" t="str">
        <f>RIGHT(AM437,AN428)</f>
        <v>0.00</v>
      </c>
      <c r="AN428" s="22">
        <v>12</v>
      </c>
      <c r="AO428" s="23" t="str">
        <f t="shared" si="3"/>
        <v>0</v>
      </c>
      <c r="AP428" s="24">
        <f>IF(VLOOKUP(AO428,AM439:AN450,2,FALSE)=0,0,VLOOKUP(AO428,AM439:AN450,2,FALSE))</f>
        <v>0</v>
      </c>
      <c r="AQ428" s="13"/>
      <c r="AR428" s="25" t="str">
        <f>IF(AP428=0,"",VLOOKUP(AP428,$C$31:$I$38,4,FALSE))</f>
        <v/>
      </c>
      <c r="AS428" s="26" t="e">
        <f>IF(AP429=1,VLOOKUP(AP428,AN439:AR448,5,FALSE),VLOOKUP(AP428,AN439:AR448,4,FALSE))</f>
        <v>#N/A</v>
      </c>
      <c r="AT428" s="26" t="str">
        <f>IF(AP429=1,AS428,AR428)</f>
        <v/>
      </c>
      <c r="AU428" s="27" t="str">
        <f>IF(AP428=0,AR428,AT428)</f>
        <v/>
      </c>
      <c r="AV428" s="13" t="str">
        <f>IF(AND(AP429&gt;2,AP428&gt;0),"Y ","")</f>
        <v/>
      </c>
      <c r="AW428" s="13" t="str">
        <f>CONCATENATE(AU430,AU429,AV428,AU428)</f>
        <v/>
      </c>
      <c r="AX428" s="17"/>
      <c r="AY428" s="13"/>
    </row>
    <row r="429" spans="39:51" x14ac:dyDescent="0.25">
      <c r="AM429" s="14" t="str">
        <f>RIGHT(AM437,AN429)</f>
        <v>0.00</v>
      </c>
      <c r="AN429" s="13">
        <v>13</v>
      </c>
      <c r="AO429" s="19" t="str">
        <f t="shared" si="3"/>
        <v>0</v>
      </c>
      <c r="AP429" s="28">
        <f>IF(VLOOKUP(AO429,AM439:AN450,2,FALSE)=0,0,VLOOKUP(AO429,AM439:AN450,2,FALSE))</f>
        <v>0</v>
      </c>
      <c r="AQ429" s="13"/>
      <c r="AR429" s="29" t="str">
        <f>IF(AP429=0,"",VLOOKUP(AP429,AN439:AR448,3,FALSE))</f>
        <v/>
      </c>
      <c r="AS429" s="18" t="str">
        <f>IF($G429=1,"",AR429)</f>
        <v/>
      </c>
      <c r="AT429" s="18" t="str">
        <f>IF($G429=2,AS437,AS429)</f>
        <v/>
      </c>
      <c r="AU429" s="30" t="str">
        <f>IF(AP428=0,AR429,AT429)</f>
        <v/>
      </c>
      <c r="AV429" s="13" t="str">
        <f>IF(AND(AM412&gt;0.99,SUM(AP428:AP430)&gt;0),IF(SUM(AP420:AP426)&gt;0," ","DE ")," ")</f>
        <v xml:space="preserve"> </v>
      </c>
      <c r="AW429" s="18"/>
      <c r="AX429" s="17"/>
      <c r="AY429" s="13"/>
    </row>
    <row r="430" spans="39:51" ht="13.8" thickBot="1" x14ac:dyDescent="0.3">
      <c r="AM430" s="31" t="str">
        <f>RIGHT(AM437,AN430)</f>
        <v>0.00</v>
      </c>
      <c r="AN430" s="32">
        <v>14</v>
      </c>
      <c r="AO430" s="33" t="str">
        <f t="shared" si="3"/>
        <v>0</v>
      </c>
      <c r="AP430" s="34">
        <f>IF(VLOOKUP(AO430,AM439:AN450,2,FALSE)=0,0,VLOOKUP(AO430,AM439:AN450,2,FALSE))</f>
        <v>0</v>
      </c>
      <c r="AQ430" s="13"/>
      <c r="AR430" s="35" t="str">
        <f>IF(AP430=0,"",VLOOKUP(AP430,AN439:AR451,2,FALSE))</f>
        <v/>
      </c>
      <c r="AS430" s="36"/>
      <c r="AT430" s="37" t="str">
        <f>IF(AP430=1,AO436,AR430)</f>
        <v/>
      </c>
      <c r="AU430" s="38" t="str">
        <f>IF(AP428+AP429=0,AR430,AT430)</f>
        <v/>
      </c>
      <c r="AV430" s="13"/>
      <c r="AW430" s="18"/>
      <c r="AX430" s="17"/>
      <c r="AY430" s="13"/>
    </row>
    <row r="431" spans="39:51" x14ac:dyDescent="0.25">
      <c r="AM431" s="14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7"/>
      <c r="AY431" s="13"/>
    </row>
    <row r="432" spans="39:51" x14ac:dyDescent="0.25">
      <c r="AM432" s="14"/>
      <c r="AN432" s="13"/>
      <c r="AO432" s="13"/>
      <c r="AP432" s="16" t="s">
        <v>8</v>
      </c>
      <c r="AQ432" s="13"/>
      <c r="AR432" s="13"/>
      <c r="AS432" s="13"/>
      <c r="AT432" s="15" t="s">
        <v>9</v>
      </c>
      <c r="AU432" s="16" t="s">
        <v>6</v>
      </c>
      <c r="AV432" s="13"/>
      <c r="AW432" s="13"/>
      <c r="AX432" s="17"/>
      <c r="AY432" s="13"/>
    </row>
    <row r="433" spans="39:51" x14ac:dyDescent="0.25">
      <c r="AM433" s="14"/>
      <c r="AN433" s="13"/>
      <c r="AO433" s="13"/>
      <c r="AP433" s="13"/>
      <c r="AQ433" s="13"/>
      <c r="AR433" s="13"/>
      <c r="AS433" s="13"/>
      <c r="AT433" s="13"/>
      <c r="AU433" s="18" t="str">
        <f>CONCATENATE(AP418,AP417,AP432)</f>
        <v>00/100 U.S. Cy</v>
      </c>
      <c r="AV433" s="13"/>
      <c r="AW433" s="13"/>
      <c r="AX433" s="17"/>
      <c r="AY433" s="13"/>
    </row>
    <row r="434" spans="39:51" ht="13.8" x14ac:dyDescent="0.25">
      <c r="AM434" s="39" t="str">
        <f>CONCATENATE(AO430,AO429,AO428,AO427,AO426,AO425,AO424,AO423,AO422,AO421,AO420,AO419,AO418,AO417)</f>
        <v>00000000000.00</v>
      </c>
      <c r="AN434" s="13"/>
      <c r="AO434" s="13"/>
      <c r="AP434" s="13"/>
      <c r="AQ434" s="13"/>
      <c r="AR434" s="13"/>
      <c r="AS434" s="13"/>
      <c r="AT434" s="20"/>
      <c r="AU434" s="18"/>
      <c r="AV434" s="13"/>
      <c r="AW434" s="13"/>
      <c r="AX434" s="17"/>
      <c r="AY434" s="13"/>
    </row>
    <row r="435" spans="39:51" ht="13.8" thickBot="1" x14ac:dyDescent="0.3">
      <c r="AM435" s="14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7"/>
      <c r="AY435" s="13"/>
    </row>
    <row r="436" spans="39:51" x14ac:dyDescent="0.25">
      <c r="AM436" s="40"/>
      <c r="AN436" s="41"/>
      <c r="AO436" s="42" t="s">
        <v>10</v>
      </c>
      <c r="AP436" s="43"/>
      <c r="AQ436" s="42"/>
      <c r="AR436" s="43"/>
      <c r="AS436" s="44"/>
      <c r="AT436" s="13"/>
      <c r="AU436" s="13"/>
      <c r="AV436" s="13"/>
      <c r="AW436" s="13"/>
      <c r="AX436" s="17"/>
      <c r="AY436" s="13"/>
    </row>
    <row r="437" spans="39:51" x14ac:dyDescent="0.25">
      <c r="AM437" s="45" t="str">
        <f>FIXED(AM412)</f>
        <v>0.00</v>
      </c>
      <c r="AN437" s="13"/>
      <c r="AO437" s="46" t="s">
        <v>11</v>
      </c>
      <c r="AP437" s="46" t="s">
        <v>12</v>
      </c>
      <c r="AQ437" s="46" t="s">
        <v>13</v>
      </c>
      <c r="AR437" s="47" t="s">
        <v>14</v>
      </c>
      <c r="AS437" s="48" t="s">
        <v>15</v>
      </c>
      <c r="AT437" s="13"/>
      <c r="AU437" s="13"/>
      <c r="AV437" s="13"/>
      <c r="AW437" s="13"/>
      <c r="AX437" s="17"/>
      <c r="AY437" s="13"/>
    </row>
    <row r="438" spans="39:51" x14ac:dyDescent="0.25">
      <c r="AM438" s="14"/>
      <c r="AN438" s="49">
        <v>1</v>
      </c>
      <c r="AO438" s="49">
        <v>8</v>
      </c>
      <c r="AP438" s="49">
        <v>9</v>
      </c>
      <c r="AQ438" s="49">
        <v>10</v>
      </c>
      <c r="AR438" s="49">
        <v>11</v>
      </c>
      <c r="AS438" s="48"/>
      <c r="AT438" s="13"/>
      <c r="AU438" s="13"/>
      <c r="AV438" s="13"/>
      <c r="AW438" s="13"/>
      <c r="AX438" s="17"/>
      <c r="AY438" s="13"/>
    </row>
    <row r="439" spans="39:51" x14ac:dyDescent="0.25">
      <c r="AM439" s="50" t="s">
        <v>16</v>
      </c>
      <c r="AN439" s="13">
        <v>1</v>
      </c>
      <c r="AO439" s="51" t="s">
        <v>17</v>
      </c>
      <c r="AP439" s="51" t="s">
        <v>18</v>
      </c>
      <c r="AQ439" s="51" t="s">
        <v>19</v>
      </c>
      <c r="AR439" s="51" t="s">
        <v>20</v>
      </c>
      <c r="AS439" s="48"/>
      <c r="AT439" s="13"/>
      <c r="AU439" s="13"/>
      <c r="AV439" s="13"/>
      <c r="AW439" s="13"/>
      <c r="AX439" s="17"/>
      <c r="AY439" s="13"/>
    </row>
    <row r="440" spans="39:51" x14ac:dyDescent="0.25">
      <c r="AM440" s="50" t="s">
        <v>21</v>
      </c>
      <c r="AN440" s="13">
        <v>2</v>
      </c>
      <c r="AO440" s="51" t="s">
        <v>22</v>
      </c>
      <c r="AP440" s="51" t="s">
        <v>23</v>
      </c>
      <c r="AQ440" s="51" t="s">
        <v>24</v>
      </c>
      <c r="AR440" s="51" t="s">
        <v>25</v>
      </c>
      <c r="AS440" s="48"/>
      <c r="AT440" s="13"/>
      <c r="AU440" s="13"/>
      <c r="AV440" s="13"/>
      <c r="AW440" s="13"/>
      <c r="AX440" s="17"/>
      <c r="AY440" s="13"/>
    </row>
    <row r="441" spans="39:51" x14ac:dyDescent="0.25">
      <c r="AM441" s="50" t="s">
        <v>26</v>
      </c>
      <c r="AN441" s="13">
        <v>3</v>
      </c>
      <c r="AO441" s="51" t="s">
        <v>27</v>
      </c>
      <c r="AP441" s="51" t="s">
        <v>28</v>
      </c>
      <c r="AQ441" s="51" t="s">
        <v>29</v>
      </c>
      <c r="AR441" s="51" t="s">
        <v>30</v>
      </c>
      <c r="AS441" s="48"/>
      <c r="AT441" s="13"/>
      <c r="AU441" s="13"/>
      <c r="AV441" s="13"/>
      <c r="AW441" s="13"/>
      <c r="AX441" s="17"/>
      <c r="AY441" s="13"/>
    </row>
    <row r="442" spans="39:51" x14ac:dyDescent="0.25">
      <c r="AM442" s="50" t="s">
        <v>31</v>
      </c>
      <c r="AN442" s="13">
        <v>4</v>
      </c>
      <c r="AO442" s="51" t="s">
        <v>32</v>
      </c>
      <c r="AP442" s="51" t="s">
        <v>33</v>
      </c>
      <c r="AQ442" s="51" t="s">
        <v>34</v>
      </c>
      <c r="AR442" s="51" t="s">
        <v>35</v>
      </c>
      <c r="AS442" s="48"/>
      <c r="AT442" s="13"/>
      <c r="AU442" s="13"/>
      <c r="AV442" s="13"/>
      <c r="AW442" s="13"/>
      <c r="AX442" s="17"/>
      <c r="AY442" s="13"/>
    </row>
    <row r="443" spans="39:51" x14ac:dyDescent="0.25">
      <c r="AM443" s="50" t="s">
        <v>36</v>
      </c>
      <c r="AN443" s="13">
        <v>5</v>
      </c>
      <c r="AO443" s="51" t="s">
        <v>37</v>
      </c>
      <c r="AP443" s="51" t="s">
        <v>38</v>
      </c>
      <c r="AQ443" s="51" t="s">
        <v>39</v>
      </c>
      <c r="AR443" s="51" t="s">
        <v>40</v>
      </c>
      <c r="AS443" s="48"/>
      <c r="AT443" s="13"/>
      <c r="AU443" s="13"/>
      <c r="AV443" s="13"/>
      <c r="AW443" s="13"/>
      <c r="AX443" s="17"/>
      <c r="AY443" s="13"/>
    </row>
    <row r="444" spans="39:51" x14ac:dyDescent="0.25">
      <c r="AM444" s="50" t="s">
        <v>41</v>
      </c>
      <c r="AN444" s="13">
        <v>6</v>
      </c>
      <c r="AO444" s="51" t="s">
        <v>42</v>
      </c>
      <c r="AP444" s="51" t="s">
        <v>43</v>
      </c>
      <c r="AQ444" s="51" t="s">
        <v>44</v>
      </c>
      <c r="AR444" s="51" t="s">
        <v>45</v>
      </c>
      <c r="AS444" s="48"/>
      <c r="AT444" s="13"/>
      <c r="AU444" s="13"/>
      <c r="AV444" s="13"/>
      <c r="AW444" s="13"/>
      <c r="AX444" s="17"/>
      <c r="AY444" s="13"/>
    </row>
    <row r="445" spans="39:51" x14ac:dyDescent="0.25">
      <c r="AM445" s="50" t="s">
        <v>46</v>
      </c>
      <c r="AN445" s="13">
        <v>7</v>
      </c>
      <c r="AO445" s="51" t="s">
        <v>47</v>
      </c>
      <c r="AP445" s="51" t="s">
        <v>48</v>
      </c>
      <c r="AQ445" s="51" t="s">
        <v>49</v>
      </c>
      <c r="AR445" s="51" t="s">
        <v>50</v>
      </c>
      <c r="AS445" s="48"/>
      <c r="AT445" s="13"/>
      <c r="AU445" s="13"/>
      <c r="AV445" s="13"/>
      <c r="AW445" s="13"/>
      <c r="AX445" s="17"/>
      <c r="AY445" s="13"/>
    </row>
    <row r="446" spans="39:51" x14ac:dyDescent="0.25">
      <c r="AM446" s="50" t="s">
        <v>51</v>
      </c>
      <c r="AN446" s="13">
        <v>8</v>
      </c>
      <c r="AO446" s="51" t="s">
        <v>52</v>
      </c>
      <c r="AP446" s="51" t="s">
        <v>53</v>
      </c>
      <c r="AQ446" s="51" t="s">
        <v>54</v>
      </c>
      <c r="AR446" s="51" t="s">
        <v>55</v>
      </c>
      <c r="AS446" s="48"/>
      <c r="AT446" s="13"/>
      <c r="AU446" s="13"/>
      <c r="AV446" s="13"/>
      <c r="AW446" s="13"/>
      <c r="AX446" s="17"/>
      <c r="AY446" s="13"/>
    </row>
    <row r="447" spans="39:51" x14ac:dyDescent="0.25">
      <c r="AM447" s="50" t="s">
        <v>56</v>
      </c>
      <c r="AN447" s="13">
        <v>9</v>
      </c>
      <c r="AO447" s="51" t="s">
        <v>57</v>
      </c>
      <c r="AP447" s="51" t="s">
        <v>58</v>
      </c>
      <c r="AQ447" s="51" t="s">
        <v>59</v>
      </c>
      <c r="AR447" s="51" t="s">
        <v>60</v>
      </c>
      <c r="AS447" s="48"/>
      <c r="AT447" s="13"/>
      <c r="AU447" s="13"/>
      <c r="AV447" s="13"/>
      <c r="AW447" s="13"/>
      <c r="AX447" s="17"/>
      <c r="AY447" s="13"/>
    </row>
    <row r="448" spans="39:51" x14ac:dyDescent="0.25">
      <c r="AM448" s="50" t="s">
        <v>61</v>
      </c>
      <c r="AN448" s="13"/>
      <c r="AO448" s="13"/>
      <c r="AP448" s="13"/>
      <c r="AQ448" s="13"/>
      <c r="AR448" s="13"/>
      <c r="AS448" s="48"/>
      <c r="AT448" s="13"/>
      <c r="AU448" s="13"/>
      <c r="AV448" s="13"/>
      <c r="AW448" s="13"/>
      <c r="AX448" s="17"/>
      <c r="AY448" s="13"/>
    </row>
    <row r="449" spans="39:51" x14ac:dyDescent="0.25">
      <c r="AM449" s="50" t="s">
        <v>62</v>
      </c>
      <c r="AN449" s="13">
        <v>1</v>
      </c>
      <c r="AO449" s="13">
        <v>2</v>
      </c>
      <c r="AP449" s="13">
        <v>3</v>
      </c>
      <c r="AQ449" s="13">
        <v>4</v>
      </c>
      <c r="AR449" s="13">
        <v>5</v>
      </c>
      <c r="AS449" s="48"/>
      <c r="AT449" s="13"/>
      <c r="AU449" s="13"/>
      <c r="AV449" s="13"/>
      <c r="AW449" s="13"/>
      <c r="AX449" s="17"/>
      <c r="AY449" s="13"/>
    </row>
    <row r="450" spans="39:51" x14ac:dyDescent="0.25">
      <c r="AM450" s="50" t="s">
        <v>63</v>
      </c>
      <c r="AN450" s="13"/>
      <c r="AO450" s="13"/>
      <c r="AP450" s="13"/>
      <c r="AQ450" s="13"/>
      <c r="AR450" s="13"/>
      <c r="AS450" s="48"/>
      <c r="AT450" s="13"/>
      <c r="AU450" s="13"/>
      <c r="AV450" s="13"/>
      <c r="AW450" s="13"/>
      <c r="AX450" s="17"/>
      <c r="AY450" s="13"/>
    </row>
    <row r="451" spans="39:51" ht="13.8" thickBot="1" x14ac:dyDescent="0.3">
      <c r="AM451" s="52"/>
      <c r="AN451" s="36"/>
      <c r="AO451" s="36"/>
      <c r="AP451" s="36"/>
      <c r="AQ451" s="36"/>
      <c r="AR451" s="36"/>
      <c r="AS451" s="53"/>
      <c r="AT451" s="13"/>
      <c r="AU451" s="13"/>
      <c r="AV451" s="13"/>
      <c r="AW451" s="13"/>
      <c r="AX451" s="17"/>
      <c r="AY451" s="13"/>
    </row>
    <row r="452" spans="39:51" ht="13.8" thickBot="1" x14ac:dyDescent="0.3">
      <c r="AM452" s="54"/>
      <c r="AN452" s="55"/>
      <c r="AO452" s="55"/>
      <c r="AP452" s="55"/>
      <c r="AQ452" s="55"/>
      <c r="AR452" s="55"/>
      <c r="AS452" s="55"/>
      <c r="AT452" s="55"/>
      <c r="AU452" s="55"/>
      <c r="AV452" s="55"/>
      <c r="AW452" s="55"/>
      <c r="AX452" s="56"/>
      <c r="AY452" s="13"/>
    </row>
    <row r="453" spans="39:51" ht="13.8" thickTop="1" x14ac:dyDescent="0.25">
      <c r="AM453" s="2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</row>
  </sheetData>
  <mergeCells count="2">
    <mergeCell ref="E5:F5"/>
    <mergeCell ref="A10:F10"/>
  </mergeCells>
  <phoneticPr fontId="43" type="noConversion"/>
  <pageMargins left="0.39370078740157483" right="0.39370078740157483" top="0.43307086614173229" bottom="0.39370078740157483" header="0.51181102362204722" footer="0.51181102362204722"/>
  <pageSetup orientation="portrait" r:id="rId1"/>
  <headerFooter>
    <oddFooter>&amp;CAránzazu 205, Rincón de los Arcos. Tel. (462)105-44-48, www.grupoingenieria.com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8D17-E07C-427E-AA03-3A03211D6EAF}">
  <dimension ref="A1:AY466"/>
  <sheetViews>
    <sheetView showGridLines="0" showZeros="0" zoomScale="106" zoomScaleNormal="106" workbookViewId="0">
      <selection activeCell="B16" sqref="B16"/>
    </sheetView>
  </sheetViews>
  <sheetFormatPr baseColWidth="10" defaultRowHeight="13.2" x14ac:dyDescent="0.25"/>
  <cols>
    <col min="1" max="1" width="13.5546875" style="179" customWidth="1"/>
    <col min="2" max="2" width="40.109375" style="179" customWidth="1"/>
    <col min="3" max="3" width="16.6640625" style="179" customWidth="1"/>
    <col min="4" max="4" width="9.88671875" style="179" bestFit="1" customWidth="1"/>
    <col min="5" max="5" width="8.88671875" style="179" bestFit="1" customWidth="1"/>
    <col min="6" max="6" width="8.6640625" style="179" bestFit="1" customWidth="1"/>
    <col min="7" max="7" width="11.33203125" style="179" customWidth="1"/>
    <col min="8" max="252" width="11.44140625" style="179"/>
    <col min="253" max="253" width="12" style="179" customWidth="1"/>
    <col min="254" max="254" width="39.109375" style="179" customWidth="1"/>
    <col min="255" max="255" width="6.6640625" style="179" customWidth="1"/>
    <col min="256" max="256" width="12.88671875" style="179" customWidth="1"/>
    <col min="257" max="257" width="11.33203125" style="179" customWidth="1"/>
    <col min="258" max="258" width="11.88671875" style="179" customWidth="1"/>
    <col min="259" max="259" width="7.6640625" style="179" customWidth="1"/>
    <col min="260" max="260" width="9" style="179" customWidth="1"/>
    <col min="261" max="508" width="11.44140625" style="179"/>
    <col min="509" max="509" width="12" style="179" customWidth="1"/>
    <col min="510" max="510" width="39.109375" style="179" customWidth="1"/>
    <col min="511" max="511" width="6.6640625" style="179" customWidth="1"/>
    <col min="512" max="512" width="12.88671875" style="179" customWidth="1"/>
    <col min="513" max="513" width="11.33203125" style="179" customWidth="1"/>
    <col min="514" max="514" width="11.88671875" style="179" customWidth="1"/>
    <col min="515" max="515" width="7.6640625" style="179" customWidth="1"/>
    <col min="516" max="516" width="9" style="179" customWidth="1"/>
    <col min="517" max="764" width="11.44140625" style="179"/>
    <col min="765" max="765" width="12" style="179" customWidth="1"/>
    <col min="766" max="766" width="39.109375" style="179" customWidth="1"/>
    <col min="767" max="767" width="6.6640625" style="179" customWidth="1"/>
    <col min="768" max="768" width="12.88671875" style="179" customWidth="1"/>
    <col min="769" max="769" width="11.33203125" style="179" customWidth="1"/>
    <col min="770" max="770" width="11.88671875" style="179" customWidth="1"/>
    <col min="771" max="771" width="7.6640625" style="179" customWidth="1"/>
    <col min="772" max="772" width="9" style="179" customWidth="1"/>
    <col min="773" max="1020" width="11.44140625" style="179"/>
    <col min="1021" max="1021" width="12" style="179" customWidth="1"/>
    <col min="1022" max="1022" width="39.109375" style="179" customWidth="1"/>
    <col min="1023" max="1023" width="6.6640625" style="179" customWidth="1"/>
    <col min="1024" max="1024" width="12.88671875" style="179" customWidth="1"/>
    <col min="1025" max="1025" width="11.33203125" style="179" customWidth="1"/>
    <col min="1026" max="1026" width="11.88671875" style="179" customWidth="1"/>
    <col min="1027" max="1027" width="7.6640625" style="179" customWidth="1"/>
    <col min="1028" max="1028" width="9" style="179" customWidth="1"/>
    <col min="1029" max="1276" width="11.44140625" style="179"/>
    <col min="1277" max="1277" width="12" style="179" customWidth="1"/>
    <col min="1278" max="1278" width="39.109375" style="179" customWidth="1"/>
    <col min="1279" max="1279" width="6.6640625" style="179" customWidth="1"/>
    <col min="1280" max="1280" width="12.88671875" style="179" customWidth="1"/>
    <col min="1281" max="1281" width="11.33203125" style="179" customWidth="1"/>
    <col min="1282" max="1282" width="11.88671875" style="179" customWidth="1"/>
    <col min="1283" max="1283" width="7.6640625" style="179" customWidth="1"/>
    <col min="1284" max="1284" width="9" style="179" customWidth="1"/>
    <col min="1285" max="1532" width="11.44140625" style="179"/>
    <col min="1533" max="1533" width="12" style="179" customWidth="1"/>
    <col min="1534" max="1534" width="39.109375" style="179" customWidth="1"/>
    <col min="1535" max="1535" width="6.6640625" style="179" customWidth="1"/>
    <col min="1536" max="1536" width="12.88671875" style="179" customWidth="1"/>
    <col min="1537" max="1537" width="11.33203125" style="179" customWidth="1"/>
    <col min="1538" max="1538" width="11.88671875" style="179" customWidth="1"/>
    <col min="1539" max="1539" width="7.6640625" style="179" customWidth="1"/>
    <col min="1540" max="1540" width="9" style="179" customWidth="1"/>
    <col min="1541" max="1788" width="11.44140625" style="179"/>
    <col min="1789" max="1789" width="12" style="179" customWidth="1"/>
    <col min="1790" max="1790" width="39.109375" style="179" customWidth="1"/>
    <col min="1791" max="1791" width="6.6640625" style="179" customWidth="1"/>
    <col min="1792" max="1792" width="12.88671875" style="179" customWidth="1"/>
    <col min="1793" max="1793" width="11.33203125" style="179" customWidth="1"/>
    <col min="1794" max="1794" width="11.88671875" style="179" customWidth="1"/>
    <col min="1795" max="1795" width="7.6640625" style="179" customWidth="1"/>
    <col min="1796" max="1796" width="9" style="179" customWidth="1"/>
    <col min="1797" max="2044" width="11.44140625" style="179"/>
    <col min="2045" max="2045" width="12" style="179" customWidth="1"/>
    <col min="2046" max="2046" width="39.109375" style="179" customWidth="1"/>
    <col min="2047" max="2047" width="6.6640625" style="179" customWidth="1"/>
    <col min="2048" max="2048" width="12.88671875" style="179" customWidth="1"/>
    <col min="2049" max="2049" width="11.33203125" style="179" customWidth="1"/>
    <col min="2050" max="2050" width="11.88671875" style="179" customWidth="1"/>
    <col min="2051" max="2051" width="7.6640625" style="179" customWidth="1"/>
    <col min="2052" max="2052" width="9" style="179" customWidth="1"/>
    <col min="2053" max="2300" width="11.44140625" style="179"/>
    <col min="2301" max="2301" width="12" style="179" customWidth="1"/>
    <col min="2302" max="2302" width="39.109375" style="179" customWidth="1"/>
    <col min="2303" max="2303" width="6.6640625" style="179" customWidth="1"/>
    <col min="2304" max="2304" width="12.88671875" style="179" customWidth="1"/>
    <col min="2305" max="2305" width="11.33203125" style="179" customWidth="1"/>
    <col min="2306" max="2306" width="11.88671875" style="179" customWidth="1"/>
    <col min="2307" max="2307" width="7.6640625" style="179" customWidth="1"/>
    <col min="2308" max="2308" width="9" style="179" customWidth="1"/>
    <col min="2309" max="2556" width="11.44140625" style="179"/>
    <col min="2557" max="2557" width="12" style="179" customWidth="1"/>
    <col min="2558" max="2558" width="39.109375" style="179" customWidth="1"/>
    <col min="2559" max="2559" width="6.6640625" style="179" customWidth="1"/>
    <col min="2560" max="2560" width="12.88671875" style="179" customWidth="1"/>
    <col min="2561" max="2561" width="11.33203125" style="179" customWidth="1"/>
    <col min="2562" max="2562" width="11.88671875" style="179" customWidth="1"/>
    <col min="2563" max="2563" width="7.6640625" style="179" customWidth="1"/>
    <col min="2564" max="2564" width="9" style="179" customWidth="1"/>
    <col min="2565" max="2812" width="11.44140625" style="179"/>
    <col min="2813" max="2813" width="12" style="179" customWidth="1"/>
    <col min="2814" max="2814" width="39.109375" style="179" customWidth="1"/>
    <col min="2815" max="2815" width="6.6640625" style="179" customWidth="1"/>
    <col min="2816" max="2816" width="12.88671875" style="179" customWidth="1"/>
    <col min="2817" max="2817" width="11.33203125" style="179" customWidth="1"/>
    <col min="2818" max="2818" width="11.88671875" style="179" customWidth="1"/>
    <col min="2819" max="2819" width="7.6640625" style="179" customWidth="1"/>
    <col min="2820" max="2820" width="9" style="179" customWidth="1"/>
    <col min="2821" max="3068" width="11.44140625" style="179"/>
    <col min="3069" max="3069" width="12" style="179" customWidth="1"/>
    <col min="3070" max="3070" width="39.109375" style="179" customWidth="1"/>
    <col min="3071" max="3071" width="6.6640625" style="179" customWidth="1"/>
    <col min="3072" max="3072" width="12.88671875" style="179" customWidth="1"/>
    <col min="3073" max="3073" width="11.33203125" style="179" customWidth="1"/>
    <col min="3074" max="3074" width="11.88671875" style="179" customWidth="1"/>
    <col min="3075" max="3075" width="7.6640625" style="179" customWidth="1"/>
    <col min="3076" max="3076" width="9" style="179" customWidth="1"/>
    <col min="3077" max="3324" width="11.44140625" style="179"/>
    <col min="3325" max="3325" width="12" style="179" customWidth="1"/>
    <col min="3326" max="3326" width="39.109375" style="179" customWidth="1"/>
    <col min="3327" max="3327" width="6.6640625" style="179" customWidth="1"/>
    <col min="3328" max="3328" width="12.88671875" style="179" customWidth="1"/>
    <col min="3329" max="3329" width="11.33203125" style="179" customWidth="1"/>
    <col min="3330" max="3330" width="11.88671875" style="179" customWidth="1"/>
    <col min="3331" max="3331" width="7.6640625" style="179" customWidth="1"/>
    <col min="3332" max="3332" width="9" style="179" customWidth="1"/>
    <col min="3333" max="3580" width="11.44140625" style="179"/>
    <col min="3581" max="3581" width="12" style="179" customWidth="1"/>
    <col min="3582" max="3582" width="39.109375" style="179" customWidth="1"/>
    <col min="3583" max="3583" width="6.6640625" style="179" customWidth="1"/>
    <col min="3584" max="3584" width="12.88671875" style="179" customWidth="1"/>
    <col min="3585" max="3585" width="11.33203125" style="179" customWidth="1"/>
    <col min="3586" max="3586" width="11.88671875" style="179" customWidth="1"/>
    <col min="3587" max="3587" width="7.6640625" style="179" customWidth="1"/>
    <col min="3588" max="3588" width="9" style="179" customWidth="1"/>
    <col min="3589" max="3836" width="11.44140625" style="179"/>
    <col min="3837" max="3837" width="12" style="179" customWidth="1"/>
    <col min="3838" max="3838" width="39.109375" style="179" customWidth="1"/>
    <col min="3839" max="3839" width="6.6640625" style="179" customWidth="1"/>
    <col min="3840" max="3840" width="12.88671875" style="179" customWidth="1"/>
    <col min="3841" max="3841" width="11.33203125" style="179" customWidth="1"/>
    <col min="3842" max="3842" width="11.88671875" style="179" customWidth="1"/>
    <col min="3843" max="3843" width="7.6640625" style="179" customWidth="1"/>
    <col min="3844" max="3844" width="9" style="179" customWidth="1"/>
    <col min="3845" max="4092" width="11.44140625" style="179"/>
    <col min="4093" max="4093" width="12" style="179" customWidth="1"/>
    <col min="4094" max="4094" width="39.109375" style="179" customWidth="1"/>
    <col min="4095" max="4095" width="6.6640625" style="179" customWidth="1"/>
    <col min="4096" max="4096" width="12.88671875" style="179" customWidth="1"/>
    <col min="4097" max="4097" width="11.33203125" style="179" customWidth="1"/>
    <col min="4098" max="4098" width="11.88671875" style="179" customWidth="1"/>
    <col min="4099" max="4099" width="7.6640625" style="179" customWidth="1"/>
    <col min="4100" max="4100" width="9" style="179" customWidth="1"/>
    <col min="4101" max="4348" width="11.44140625" style="179"/>
    <col min="4349" max="4349" width="12" style="179" customWidth="1"/>
    <col min="4350" max="4350" width="39.109375" style="179" customWidth="1"/>
    <col min="4351" max="4351" width="6.6640625" style="179" customWidth="1"/>
    <col min="4352" max="4352" width="12.88671875" style="179" customWidth="1"/>
    <col min="4353" max="4353" width="11.33203125" style="179" customWidth="1"/>
    <col min="4354" max="4354" width="11.88671875" style="179" customWidth="1"/>
    <col min="4355" max="4355" width="7.6640625" style="179" customWidth="1"/>
    <col min="4356" max="4356" width="9" style="179" customWidth="1"/>
    <col min="4357" max="4604" width="11.44140625" style="179"/>
    <col min="4605" max="4605" width="12" style="179" customWidth="1"/>
    <col min="4606" max="4606" width="39.109375" style="179" customWidth="1"/>
    <col min="4607" max="4607" width="6.6640625" style="179" customWidth="1"/>
    <col min="4608" max="4608" width="12.88671875" style="179" customWidth="1"/>
    <col min="4609" max="4609" width="11.33203125" style="179" customWidth="1"/>
    <col min="4610" max="4610" width="11.88671875" style="179" customWidth="1"/>
    <col min="4611" max="4611" width="7.6640625" style="179" customWidth="1"/>
    <col min="4612" max="4612" width="9" style="179" customWidth="1"/>
    <col min="4613" max="4860" width="11.44140625" style="179"/>
    <col min="4861" max="4861" width="12" style="179" customWidth="1"/>
    <col min="4862" max="4862" width="39.109375" style="179" customWidth="1"/>
    <col min="4863" max="4863" width="6.6640625" style="179" customWidth="1"/>
    <col min="4864" max="4864" width="12.88671875" style="179" customWidth="1"/>
    <col min="4865" max="4865" width="11.33203125" style="179" customWidth="1"/>
    <col min="4866" max="4866" width="11.88671875" style="179" customWidth="1"/>
    <col min="4867" max="4867" width="7.6640625" style="179" customWidth="1"/>
    <col min="4868" max="4868" width="9" style="179" customWidth="1"/>
    <col min="4869" max="5116" width="11.44140625" style="179"/>
    <col min="5117" max="5117" width="12" style="179" customWidth="1"/>
    <col min="5118" max="5118" width="39.109375" style="179" customWidth="1"/>
    <col min="5119" max="5119" width="6.6640625" style="179" customWidth="1"/>
    <col min="5120" max="5120" width="12.88671875" style="179" customWidth="1"/>
    <col min="5121" max="5121" width="11.33203125" style="179" customWidth="1"/>
    <col min="5122" max="5122" width="11.88671875" style="179" customWidth="1"/>
    <col min="5123" max="5123" width="7.6640625" style="179" customWidth="1"/>
    <col min="5124" max="5124" width="9" style="179" customWidth="1"/>
    <col min="5125" max="5372" width="11.44140625" style="179"/>
    <col min="5373" max="5373" width="12" style="179" customWidth="1"/>
    <col min="5374" max="5374" width="39.109375" style="179" customWidth="1"/>
    <col min="5375" max="5375" width="6.6640625" style="179" customWidth="1"/>
    <col min="5376" max="5376" width="12.88671875" style="179" customWidth="1"/>
    <col min="5377" max="5377" width="11.33203125" style="179" customWidth="1"/>
    <col min="5378" max="5378" width="11.88671875" style="179" customWidth="1"/>
    <col min="5379" max="5379" width="7.6640625" style="179" customWidth="1"/>
    <col min="5380" max="5380" width="9" style="179" customWidth="1"/>
    <col min="5381" max="5628" width="11.44140625" style="179"/>
    <col min="5629" max="5629" width="12" style="179" customWidth="1"/>
    <col min="5630" max="5630" width="39.109375" style="179" customWidth="1"/>
    <col min="5631" max="5631" width="6.6640625" style="179" customWidth="1"/>
    <col min="5632" max="5632" width="12.88671875" style="179" customWidth="1"/>
    <col min="5633" max="5633" width="11.33203125" style="179" customWidth="1"/>
    <col min="5634" max="5634" width="11.88671875" style="179" customWidth="1"/>
    <col min="5635" max="5635" width="7.6640625" style="179" customWidth="1"/>
    <col min="5636" max="5636" width="9" style="179" customWidth="1"/>
    <col min="5637" max="5884" width="11.44140625" style="179"/>
    <col min="5885" max="5885" width="12" style="179" customWidth="1"/>
    <col min="5886" max="5886" width="39.109375" style="179" customWidth="1"/>
    <col min="5887" max="5887" width="6.6640625" style="179" customWidth="1"/>
    <col min="5888" max="5888" width="12.88671875" style="179" customWidth="1"/>
    <col min="5889" max="5889" width="11.33203125" style="179" customWidth="1"/>
    <col min="5890" max="5890" width="11.88671875" style="179" customWidth="1"/>
    <col min="5891" max="5891" width="7.6640625" style="179" customWidth="1"/>
    <col min="5892" max="5892" width="9" style="179" customWidth="1"/>
    <col min="5893" max="6140" width="11.44140625" style="179"/>
    <col min="6141" max="6141" width="12" style="179" customWidth="1"/>
    <col min="6142" max="6142" width="39.109375" style="179" customWidth="1"/>
    <col min="6143" max="6143" width="6.6640625" style="179" customWidth="1"/>
    <col min="6144" max="6144" width="12.88671875" style="179" customWidth="1"/>
    <col min="6145" max="6145" width="11.33203125" style="179" customWidth="1"/>
    <col min="6146" max="6146" width="11.88671875" style="179" customWidth="1"/>
    <col min="6147" max="6147" width="7.6640625" style="179" customWidth="1"/>
    <col min="6148" max="6148" width="9" style="179" customWidth="1"/>
    <col min="6149" max="6396" width="11.44140625" style="179"/>
    <col min="6397" max="6397" width="12" style="179" customWidth="1"/>
    <col min="6398" max="6398" width="39.109375" style="179" customWidth="1"/>
    <col min="6399" max="6399" width="6.6640625" style="179" customWidth="1"/>
    <col min="6400" max="6400" width="12.88671875" style="179" customWidth="1"/>
    <col min="6401" max="6401" width="11.33203125" style="179" customWidth="1"/>
    <col min="6402" max="6402" width="11.88671875" style="179" customWidth="1"/>
    <col min="6403" max="6403" width="7.6640625" style="179" customWidth="1"/>
    <col min="6404" max="6404" width="9" style="179" customWidth="1"/>
    <col min="6405" max="6652" width="11.44140625" style="179"/>
    <col min="6653" max="6653" width="12" style="179" customWidth="1"/>
    <col min="6654" max="6654" width="39.109375" style="179" customWidth="1"/>
    <col min="6655" max="6655" width="6.6640625" style="179" customWidth="1"/>
    <col min="6656" max="6656" width="12.88671875" style="179" customWidth="1"/>
    <col min="6657" max="6657" width="11.33203125" style="179" customWidth="1"/>
    <col min="6658" max="6658" width="11.88671875" style="179" customWidth="1"/>
    <col min="6659" max="6659" width="7.6640625" style="179" customWidth="1"/>
    <col min="6660" max="6660" width="9" style="179" customWidth="1"/>
    <col min="6661" max="6908" width="11.44140625" style="179"/>
    <col min="6909" max="6909" width="12" style="179" customWidth="1"/>
    <col min="6910" max="6910" width="39.109375" style="179" customWidth="1"/>
    <col min="6911" max="6911" width="6.6640625" style="179" customWidth="1"/>
    <col min="6912" max="6912" width="12.88671875" style="179" customWidth="1"/>
    <col min="6913" max="6913" width="11.33203125" style="179" customWidth="1"/>
    <col min="6914" max="6914" width="11.88671875" style="179" customWidth="1"/>
    <col min="6915" max="6915" width="7.6640625" style="179" customWidth="1"/>
    <col min="6916" max="6916" width="9" style="179" customWidth="1"/>
    <col min="6917" max="7164" width="11.44140625" style="179"/>
    <col min="7165" max="7165" width="12" style="179" customWidth="1"/>
    <col min="7166" max="7166" width="39.109375" style="179" customWidth="1"/>
    <col min="7167" max="7167" width="6.6640625" style="179" customWidth="1"/>
    <col min="7168" max="7168" width="12.88671875" style="179" customWidth="1"/>
    <col min="7169" max="7169" width="11.33203125" style="179" customWidth="1"/>
    <col min="7170" max="7170" width="11.88671875" style="179" customWidth="1"/>
    <col min="7171" max="7171" width="7.6640625" style="179" customWidth="1"/>
    <col min="7172" max="7172" width="9" style="179" customWidth="1"/>
    <col min="7173" max="7420" width="11.44140625" style="179"/>
    <col min="7421" max="7421" width="12" style="179" customWidth="1"/>
    <col min="7422" max="7422" width="39.109375" style="179" customWidth="1"/>
    <col min="7423" max="7423" width="6.6640625" style="179" customWidth="1"/>
    <col min="7424" max="7424" width="12.88671875" style="179" customWidth="1"/>
    <col min="7425" max="7425" width="11.33203125" style="179" customWidth="1"/>
    <col min="7426" max="7426" width="11.88671875" style="179" customWidth="1"/>
    <col min="7427" max="7427" width="7.6640625" style="179" customWidth="1"/>
    <col min="7428" max="7428" width="9" style="179" customWidth="1"/>
    <col min="7429" max="7676" width="11.44140625" style="179"/>
    <col min="7677" max="7677" width="12" style="179" customWidth="1"/>
    <col min="7678" max="7678" width="39.109375" style="179" customWidth="1"/>
    <col min="7679" max="7679" width="6.6640625" style="179" customWidth="1"/>
    <col min="7680" max="7680" width="12.88671875" style="179" customWidth="1"/>
    <col min="7681" max="7681" width="11.33203125" style="179" customWidth="1"/>
    <col min="7682" max="7682" width="11.88671875" style="179" customWidth="1"/>
    <col min="7683" max="7683" width="7.6640625" style="179" customWidth="1"/>
    <col min="7684" max="7684" width="9" style="179" customWidth="1"/>
    <col min="7685" max="7932" width="11.44140625" style="179"/>
    <col min="7933" max="7933" width="12" style="179" customWidth="1"/>
    <col min="7934" max="7934" width="39.109375" style="179" customWidth="1"/>
    <col min="7935" max="7935" width="6.6640625" style="179" customWidth="1"/>
    <col min="7936" max="7936" width="12.88671875" style="179" customWidth="1"/>
    <col min="7937" max="7937" width="11.33203125" style="179" customWidth="1"/>
    <col min="7938" max="7938" width="11.88671875" style="179" customWidth="1"/>
    <col min="7939" max="7939" width="7.6640625" style="179" customWidth="1"/>
    <col min="7940" max="7940" width="9" style="179" customWidth="1"/>
    <col min="7941" max="8188" width="11.44140625" style="179"/>
    <col min="8189" max="8189" width="12" style="179" customWidth="1"/>
    <col min="8190" max="8190" width="39.109375" style="179" customWidth="1"/>
    <col min="8191" max="8191" width="6.6640625" style="179" customWidth="1"/>
    <col min="8192" max="8192" width="12.88671875" style="179" customWidth="1"/>
    <col min="8193" max="8193" width="11.33203125" style="179" customWidth="1"/>
    <col min="8194" max="8194" width="11.88671875" style="179" customWidth="1"/>
    <col min="8195" max="8195" width="7.6640625" style="179" customWidth="1"/>
    <col min="8196" max="8196" width="9" style="179" customWidth="1"/>
    <col min="8197" max="8444" width="11.44140625" style="179"/>
    <col min="8445" max="8445" width="12" style="179" customWidth="1"/>
    <col min="8446" max="8446" width="39.109375" style="179" customWidth="1"/>
    <col min="8447" max="8447" width="6.6640625" style="179" customWidth="1"/>
    <col min="8448" max="8448" width="12.88671875" style="179" customWidth="1"/>
    <col min="8449" max="8449" width="11.33203125" style="179" customWidth="1"/>
    <col min="8450" max="8450" width="11.88671875" style="179" customWidth="1"/>
    <col min="8451" max="8451" width="7.6640625" style="179" customWidth="1"/>
    <col min="8452" max="8452" width="9" style="179" customWidth="1"/>
    <col min="8453" max="8700" width="11.44140625" style="179"/>
    <col min="8701" max="8701" width="12" style="179" customWidth="1"/>
    <col min="8702" max="8702" width="39.109375" style="179" customWidth="1"/>
    <col min="8703" max="8703" width="6.6640625" style="179" customWidth="1"/>
    <col min="8704" max="8704" width="12.88671875" style="179" customWidth="1"/>
    <col min="8705" max="8705" width="11.33203125" style="179" customWidth="1"/>
    <col min="8706" max="8706" width="11.88671875" style="179" customWidth="1"/>
    <col min="8707" max="8707" width="7.6640625" style="179" customWidth="1"/>
    <col min="8708" max="8708" width="9" style="179" customWidth="1"/>
    <col min="8709" max="8956" width="11.44140625" style="179"/>
    <col min="8957" max="8957" width="12" style="179" customWidth="1"/>
    <col min="8958" max="8958" width="39.109375" style="179" customWidth="1"/>
    <col min="8959" max="8959" width="6.6640625" style="179" customWidth="1"/>
    <col min="8960" max="8960" width="12.88671875" style="179" customWidth="1"/>
    <col min="8961" max="8961" width="11.33203125" style="179" customWidth="1"/>
    <col min="8962" max="8962" width="11.88671875" style="179" customWidth="1"/>
    <col min="8963" max="8963" width="7.6640625" style="179" customWidth="1"/>
    <col min="8964" max="8964" width="9" style="179" customWidth="1"/>
    <col min="8965" max="9212" width="11.44140625" style="179"/>
    <col min="9213" max="9213" width="12" style="179" customWidth="1"/>
    <col min="9214" max="9214" width="39.109375" style="179" customWidth="1"/>
    <col min="9215" max="9215" width="6.6640625" style="179" customWidth="1"/>
    <col min="9216" max="9216" width="12.88671875" style="179" customWidth="1"/>
    <col min="9217" max="9217" width="11.33203125" style="179" customWidth="1"/>
    <col min="9218" max="9218" width="11.88671875" style="179" customWidth="1"/>
    <col min="9219" max="9219" width="7.6640625" style="179" customWidth="1"/>
    <col min="9220" max="9220" width="9" style="179" customWidth="1"/>
    <col min="9221" max="9468" width="11.44140625" style="179"/>
    <col min="9469" max="9469" width="12" style="179" customWidth="1"/>
    <col min="9470" max="9470" width="39.109375" style="179" customWidth="1"/>
    <col min="9471" max="9471" width="6.6640625" style="179" customWidth="1"/>
    <col min="9472" max="9472" width="12.88671875" style="179" customWidth="1"/>
    <col min="9473" max="9473" width="11.33203125" style="179" customWidth="1"/>
    <col min="9474" max="9474" width="11.88671875" style="179" customWidth="1"/>
    <col min="9475" max="9475" width="7.6640625" style="179" customWidth="1"/>
    <col min="9476" max="9476" width="9" style="179" customWidth="1"/>
    <col min="9477" max="9724" width="11.44140625" style="179"/>
    <col min="9725" max="9725" width="12" style="179" customWidth="1"/>
    <col min="9726" max="9726" width="39.109375" style="179" customWidth="1"/>
    <col min="9727" max="9727" width="6.6640625" style="179" customWidth="1"/>
    <col min="9728" max="9728" width="12.88671875" style="179" customWidth="1"/>
    <col min="9729" max="9729" width="11.33203125" style="179" customWidth="1"/>
    <col min="9730" max="9730" width="11.88671875" style="179" customWidth="1"/>
    <col min="9731" max="9731" width="7.6640625" style="179" customWidth="1"/>
    <col min="9732" max="9732" width="9" style="179" customWidth="1"/>
    <col min="9733" max="9980" width="11.44140625" style="179"/>
    <col min="9981" max="9981" width="12" style="179" customWidth="1"/>
    <col min="9982" max="9982" width="39.109375" style="179" customWidth="1"/>
    <col min="9983" max="9983" width="6.6640625" style="179" customWidth="1"/>
    <col min="9984" max="9984" width="12.88671875" style="179" customWidth="1"/>
    <col min="9985" max="9985" width="11.33203125" style="179" customWidth="1"/>
    <col min="9986" max="9986" width="11.88671875" style="179" customWidth="1"/>
    <col min="9987" max="9987" width="7.6640625" style="179" customWidth="1"/>
    <col min="9988" max="9988" width="9" style="179" customWidth="1"/>
    <col min="9989" max="10236" width="11.44140625" style="179"/>
    <col min="10237" max="10237" width="12" style="179" customWidth="1"/>
    <col min="10238" max="10238" width="39.109375" style="179" customWidth="1"/>
    <col min="10239" max="10239" width="6.6640625" style="179" customWidth="1"/>
    <col min="10240" max="10240" width="12.88671875" style="179" customWidth="1"/>
    <col min="10241" max="10241" width="11.33203125" style="179" customWidth="1"/>
    <col min="10242" max="10242" width="11.88671875" style="179" customWidth="1"/>
    <col min="10243" max="10243" width="7.6640625" style="179" customWidth="1"/>
    <col min="10244" max="10244" width="9" style="179" customWidth="1"/>
    <col min="10245" max="10492" width="11.44140625" style="179"/>
    <col min="10493" max="10493" width="12" style="179" customWidth="1"/>
    <col min="10494" max="10494" width="39.109375" style="179" customWidth="1"/>
    <col min="10495" max="10495" width="6.6640625" style="179" customWidth="1"/>
    <col min="10496" max="10496" width="12.88671875" style="179" customWidth="1"/>
    <col min="10497" max="10497" width="11.33203125" style="179" customWidth="1"/>
    <col min="10498" max="10498" width="11.88671875" style="179" customWidth="1"/>
    <col min="10499" max="10499" width="7.6640625" style="179" customWidth="1"/>
    <col min="10500" max="10500" width="9" style="179" customWidth="1"/>
    <col min="10501" max="10748" width="11.44140625" style="179"/>
    <col min="10749" max="10749" width="12" style="179" customWidth="1"/>
    <col min="10750" max="10750" width="39.109375" style="179" customWidth="1"/>
    <col min="10751" max="10751" width="6.6640625" style="179" customWidth="1"/>
    <col min="10752" max="10752" width="12.88671875" style="179" customWidth="1"/>
    <col min="10753" max="10753" width="11.33203125" style="179" customWidth="1"/>
    <col min="10754" max="10754" width="11.88671875" style="179" customWidth="1"/>
    <col min="10755" max="10755" width="7.6640625" style="179" customWidth="1"/>
    <col min="10756" max="10756" width="9" style="179" customWidth="1"/>
    <col min="10757" max="11004" width="11.44140625" style="179"/>
    <col min="11005" max="11005" width="12" style="179" customWidth="1"/>
    <col min="11006" max="11006" width="39.109375" style="179" customWidth="1"/>
    <col min="11007" max="11007" width="6.6640625" style="179" customWidth="1"/>
    <col min="11008" max="11008" width="12.88671875" style="179" customWidth="1"/>
    <col min="11009" max="11009" width="11.33203125" style="179" customWidth="1"/>
    <col min="11010" max="11010" width="11.88671875" style="179" customWidth="1"/>
    <col min="11011" max="11011" width="7.6640625" style="179" customWidth="1"/>
    <col min="11012" max="11012" width="9" style="179" customWidth="1"/>
    <col min="11013" max="11260" width="11.44140625" style="179"/>
    <col min="11261" max="11261" width="12" style="179" customWidth="1"/>
    <col min="11262" max="11262" width="39.109375" style="179" customWidth="1"/>
    <col min="11263" max="11263" width="6.6640625" style="179" customWidth="1"/>
    <col min="11264" max="11264" width="12.88671875" style="179" customWidth="1"/>
    <col min="11265" max="11265" width="11.33203125" style="179" customWidth="1"/>
    <col min="11266" max="11266" width="11.88671875" style="179" customWidth="1"/>
    <col min="11267" max="11267" width="7.6640625" style="179" customWidth="1"/>
    <col min="11268" max="11268" width="9" style="179" customWidth="1"/>
    <col min="11269" max="11516" width="11.44140625" style="179"/>
    <col min="11517" max="11517" width="12" style="179" customWidth="1"/>
    <col min="11518" max="11518" width="39.109375" style="179" customWidth="1"/>
    <col min="11519" max="11519" width="6.6640625" style="179" customWidth="1"/>
    <col min="11520" max="11520" width="12.88671875" style="179" customWidth="1"/>
    <col min="11521" max="11521" width="11.33203125" style="179" customWidth="1"/>
    <col min="11522" max="11522" width="11.88671875" style="179" customWidth="1"/>
    <col min="11523" max="11523" width="7.6640625" style="179" customWidth="1"/>
    <col min="11524" max="11524" width="9" style="179" customWidth="1"/>
    <col min="11525" max="11772" width="11.44140625" style="179"/>
    <col min="11773" max="11773" width="12" style="179" customWidth="1"/>
    <col min="11774" max="11774" width="39.109375" style="179" customWidth="1"/>
    <col min="11775" max="11775" width="6.6640625" style="179" customWidth="1"/>
    <col min="11776" max="11776" width="12.88671875" style="179" customWidth="1"/>
    <col min="11777" max="11777" width="11.33203125" style="179" customWidth="1"/>
    <col min="11778" max="11778" width="11.88671875" style="179" customWidth="1"/>
    <col min="11779" max="11779" width="7.6640625" style="179" customWidth="1"/>
    <col min="11780" max="11780" width="9" style="179" customWidth="1"/>
    <col min="11781" max="12028" width="11.44140625" style="179"/>
    <col min="12029" max="12029" width="12" style="179" customWidth="1"/>
    <col min="12030" max="12030" width="39.109375" style="179" customWidth="1"/>
    <col min="12031" max="12031" width="6.6640625" style="179" customWidth="1"/>
    <col min="12032" max="12032" width="12.88671875" style="179" customWidth="1"/>
    <col min="12033" max="12033" width="11.33203125" style="179" customWidth="1"/>
    <col min="12034" max="12034" width="11.88671875" style="179" customWidth="1"/>
    <col min="12035" max="12035" width="7.6640625" style="179" customWidth="1"/>
    <col min="12036" max="12036" width="9" style="179" customWidth="1"/>
    <col min="12037" max="12284" width="11.44140625" style="179"/>
    <col min="12285" max="12285" width="12" style="179" customWidth="1"/>
    <col min="12286" max="12286" width="39.109375" style="179" customWidth="1"/>
    <col min="12287" max="12287" width="6.6640625" style="179" customWidth="1"/>
    <col min="12288" max="12288" width="12.88671875" style="179" customWidth="1"/>
    <col min="12289" max="12289" width="11.33203125" style="179" customWidth="1"/>
    <col min="12290" max="12290" width="11.88671875" style="179" customWidth="1"/>
    <col min="12291" max="12291" width="7.6640625" style="179" customWidth="1"/>
    <col min="12292" max="12292" width="9" style="179" customWidth="1"/>
    <col min="12293" max="12540" width="11.44140625" style="179"/>
    <col min="12541" max="12541" width="12" style="179" customWidth="1"/>
    <col min="12542" max="12542" width="39.109375" style="179" customWidth="1"/>
    <col min="12543" max="12543" width="6.6640625" style="179" customWidth="1"/>
    <col min="12544" max="12544" width="12.88671875" style="179" customWidth="1"/>
    <col min="12545" max="12545" width="11.33203125" style="179" customWidth="1"/>
    <col min="12546" max="12546" width="11.88671875" style="179" customWidth="1"/>
    <col min="12547" max="12547" width="7.6640625" style="179" customWidth="1"/>
    <col min="12548" max="12548" width="9" style="179" customWidth="1"/>
    <col min="12549" max="12796" width="11.44140625" style="179"/>
    <col min="12797" max="12797" width="12" style="179" customWidth="1"/>
    <col min="12798" max="12798" width="39.109375" style="179" customWidth="1"/>
    <col min="12799" max="12799" width="6.6640625" style="179" customWidth="1"/>
    <col min="12800" max="12800" width="12.88671875" style="179" customWidth="1"/>
    <col min="12801" max="12801" width="11.33203125" style="179" customWidth="1"/>
    <col min="12802" max="12802" width="11.88671875" style="179" customWidth="1"/>
    <col min="12803" max="12803" width="7.6640625" style="179" customWidth="1"/>
    <col min="12804" max="12804" width="9" style="179" customWidth="1"/>
    <col min="12805" max="13052" width="11.44140625" style="179"/>
    <col min="13053" max="13053" width="12" style="179" customWidth="1"/>
    <col min="13054" max="13054" width="39.109375" style="179" customWidth="1"/>
    <col min="13055" max="13055" width="6.6640625" style="179" customWidth="1"/>
    <col min="13056" max="13056" width="12.88671875" style="179" customWidth="1"/>
    <col min="13057" max="13057" width="11.33203125" style="179" customWidth="1"/>
    <col min="13058" max="13058" width="11.88671875" style="179" customWidth="1"/>
    <col min="13059" max="13059" width="7.6640625" style="179" customWidth="1"/>
    <col min="13060" max="13060" width="9" style="179" customWidth="1"/>
    <col min="13061" max="13308" width="11.44140625" style="179"/>
    <col min="13309" max="13309" width="12" style="179" customWidth="1"/>
    <col min="13310" max="13310" width="39.109375" style="179" customWidth="1"/>
    <col min="13311" max="13311" width="6.6640625" style="179" customWidth="1"/>
    <col min="13312" max="13312" width="12.88671875" style="179" customWidth="1"/>
    <col min="13313" max="13313" width="11.33203125" style="179" customWidth="1"/>
    <col min="13314" max="13314" width="11.88671875" style="179" customWidth="1"/>
    <col min="13315" max="13315" width="7.6640625" style="179" customWidth="1"/>
    <col min="13316" max="13316" width="9" style="179" customWidth="1"/>
    <col min="13317" max="13564" width="11.44140625" style="179"/>
    <col min="13565" max="13565" width="12" style="179" customWidth="1"/>
    <col min="13566" max="13566" width="39.109375" style="179" customWidth="1"/>
    <col min="13567" max="13567" width="6.6640625" style="179" customWidth="1"/>
    <col min="13568" max="13568" width="12.88671875" style="179" customWidth="1"/>
    <col min="13569" max="13569" width="11.33203125" style="179" customWidth="1"/>
    <col min="13570" max="13570" width="11.88671875" style="179" customWidth="1"/>
    <col min="13571" max="13571" width="7.6640625" style="179" customWidth="1"/>
    <col min="13572" max="13572" width="9" style="179" customWidth="1"/>
    <col min="13573" max="13820" width="11.44140625" style="179"/>
    <col min="13821" max="13821" width="12" style="179" customWidth="1"/>
    <col min="13822" max="13822" width="39.109375" style="179" customWidth="1"/>
    <col min="13823" max="13823" width="6.6640625" style="179" customWidth="1"/>
    <col min="13824" max="13824" width="12.88671875" style="179" customWidth="1"/>
    <col min="13825" max="13825" width="11.33203125" style="179" customWidth="1"/>
    <col min="13826" max="13826" width="11.88671875" style="179" customWidth="1"/>
    <col min="13827" max="13827" width="7.6640625" style="179" customWidth="1"/>
    <col min="13828" max="13828" width="9" style="179" customWidth="1"/>
    <col min="13829" max="14076" width="11.44140625" style="179"/>
    <col min="14077" max="14077" width="12" style="179" customWidth="1"/>
    <col min="14078" max="14078" width="39.109375" style="179" customWidth="1"/>
    <col min="14079" max="14079" width="6.6640625" style="179" customWidth="1"/>
    <col min="14080" max="14080" width="12.88671875" style="179" customWidth="1"/>
    <col min="14081" max="14081" width="11.33203125" style="179" customWidth="1"/>
    <col min="14082" max="14082" width="11.88671875" style="179" customWidth="1"/>
    <col min="14083" max="14083" width="7.6640625" style="179" customWidth="1"/>
    <col min="14084" max="14084" width="9" style="179" customWidth="1"/>
    <col min="14085" max="14332" width="11.44140625" style="179"/>
    <col min="14333" max="14333" width="12" style="179" customWidth="1"/>
    <col min="14334" max="14334" width="39.109375" style="179" customWidth="1"/>
    <col min="14335" max="14335" width="6.6640625" style="179" customWidth="1"/>
    <col min="14336" max="14336" width="12.88671875" style="179" customWidth="1"/>
    <col min="14337" max="14337" width="11.33203125" style="179" customWidth="1"/>
    <col min="14338" max="14338" width="11.88671875" style="179" customWidth="1"/>
    <col min="14339" max="14339" width="7.6640625" style="179" customWidth="1"/>
    <col min="14340" max="14340" width="9" style="179" customWidth="1"/>
    <col min="14341" max="14588" width="11.44140625" style="179"/>
    <col min="14589" max="14589" width="12" style="179" customWidth="1"/>
    <col min="14590" max="14590" width="39.109375" style="179" customWidth="1"/>
    <col min="14591" max="14591" width="6.6640625" style="179" customWidth="1"/>
    <col min="14592" max="14592" width="12.88671875" style="179" customWidth="1"/>
    <col min="14593" max="14593" width="11.33203125" style="179" customWidth="1"/>
    <col min="14594" max="14594" width="11.88671875" style="179" customWidth="1"/>
    <col min="14595" max="14595" width="7.6640625" style="179" customWidth="1"/>
    <col min="14596" max="14596" width="9" style="179" customWidth="1"/>
    <col min="14597" max="14844" width="11.44140625" style="179"/>
    <col min="14845" max="14845" width="12" style="179" customWidth="1"/>
    <col min="14846" max="14846" width="39.109375" style="179" customWidth="1"/>
    <col min="14847" max="14847" width="6.6640625" style="179" customWidth="1"/>
    <col min="14848" max="14848" width="12.88671875" style="179" customWidth="1"/>
    <col min="14849" max="14849" width="11.33203125" style="179" customWidth="1"/>
    <col min="14850" max="14850" width="11.88671875" style="179" customWidth="1"/>
    <col min="14851" max="14851" width="7.6640625" style="179" customWidth="1"/>
    <col min="14852" max="14852" width="9" style="179" customWidth="1"/>
    <col min="14853" max="15100" width="11.44140625" style="179"/>
    <col min="15101" max="15101" width="12" style="179" customWidth="1"/>
    <col min="15102" max="15102" width="39.109375" style="179" customWidth="1"/>
    <col min="15103" max="15103" width="6.6640625" style="179" customWidth="1"/>
    <col min="15104" max="15104" width="12.88671875" style="179" customWidth="1"/>
    <col min="15105" max="15105" width="11.33203125" style="179" customWidth="1"/>
    <col min="15106" max="15106" width="11.88671875" style="179" customWidth="1"/>
    <col min="15107" max="15107" width="7.6640625" style="179" customWidth="1"/>
    <col min="15108" max="15108" width="9" style="179" customWidth="1"/>
    <col min="15109" max="15356" width="11.44140625" style="179"/>
    <col min="15357" max="15357" width="12" style="179" customWidth="1"/>
    <col min="15358" max="15358" width="39.109375" style="179" customWidth="1"/>
    <col min="15359" max="15359" width="6.6640625" style="179" customWidth="1"/>
    <col min="15360" max="15360" width="12.88671875" style="179" customWidth="1"/>
    <col min="15361" max="15361" width="11.33203125" style="179" customWidth="1"/>
    <col min="15362" max="15362" width="11.88671875" style="179" customWidth="1"/>
    <col min="15363" max="15363" width="7.6640625" style="179" customWidth="1"/>
    <col min="15364" max="15364" width="9" style="179" customWidth="1"/>
    <col min="15365" max="15612" width="11.44140625" style="179"/>
    <col min="15613" max="15613" width="12" style="179" customWidth="1"/>
    <col min="15614" max="15614" width="39.109375" style="179" customWidth="1"/>
    <col min="15615" max="15615" width="6.6640625" style="179" customWidth="1"/>
    <col min="15616" max="15616" width="12.88671875" style="179" customWidth="1"/>
    <col min="15617" max="15617" width="11.33203125" style="179" customWidth="1"/>
    <col min="15618" max="15618" width="11.88671875" style="179" customWidth="1"/>
    <col min="15619" max="15619" width="7.6640625" style="179" customWidth="1"/>
    <col min="15620" max="15620" width="9" style="179" customWidth="1"/>
    <col min="15621" max="15868" width="11.44140625" style="179"/>
    <col min="15869" max="15869" width="12" style="179" customWidth="1"/>
    <col min="15870" max="15870" width="39.109375" style="179" customWidth="1"/>
    <col min="15871" max="15871" width="6.6640625" style="179" customWidth="1"/>
    <col min="15872" max="15872" width="12.88671875" style="179" customWidth="1"/>
    <col min="15873" max="15873" width="11.33203125" style="179" customWidth="1"/>
    <col min="15874" max="15874" width="11.88671875" style="179" customWidth="1"/>
    <col min="15875" max="15875" width="7.6640625" style="179" customWidth="1"/>
    <col min="15876" max="15876" width="9" style="179" customWidth="1"/>
    <col min="15877" max="16124" width="11.44140625" style="179"/>
    <col min="16125" max="16125" width="12" style="179" customWidth="1"/>
    <col min="16126" max="16126" width="39.109375" style="179" customWidth="1"/>
    <col min="16127" max="16127" width="6.6640625" style="179" customWidth="1"/>
    <col min="16128" max="16128" width="12.88671875" style="179" customWidth="1"/>
    <col min="16129" max="16129" width="11.33203125" style="179" customWidth="1"/>
    <col min="16130" max="16130" width="11.88671875" style="179" customWidth="1"/>
    <col min="16131" max="16131" width="7.6640625" style="179" customWidth="1"/>
    <col min="16132" max="16132" width="9" style="179" customWidth="1"/>
    <col min="16133" max="16384" width="11.44140625" style="179"/>
  </cols>
  <sheetData>
    <row r="1" spans="1:9" ht="32.25" customHeight="1" x14ac:dyDescent="0.3">
      <c r="B1" s="180"/>
      <c r="C1" s="181"/>
      <c r="D1" s="181"/>
      <c r="E1" s="181"/>
      <c r="F1" s="181"/>
      <c r="G1" s="181"/>
      <c r="H1" s="181"/>
      <c r="I1" s="181"/>
    </row>
    <row r="2" spans="1:9" ht="12.75" customHeight="1" x14ac:dyDescent="0.3">
      <c r="A2" s="182" t="str">
        <f>DETALLE!B1</f>
        <v>Aquien corresponda</v>
      </c>
      <c r="B2" s="182"/>
      <c r="C2" s="180"/>
      <c r="D2" s="180"/>
      <c r="E2" s="180"/>
      <c r="F2" s="180"/>
      <c r="G2" s="183"/>
      <c r="H2" s="180"/>
      <c r="I2" s="180"/>
    </row>
    <row r="3" spans="1:9" ht="12.75" customHeight="1" x14ac:dyDescent="0.3">
      <c r="A3" s="182" t="str">
        <f>DETALLE!B2</f>
        <v>cotización cámaras</v>
      </c>
      <c r="B3" s="182"/>
      <c r="C3" s="183"/>
      <c r="D3" s="184"/>
      <c r="E3" s="185"/>
      <c r="F3" s="183"/>
      <c r="G3" s="180"/>
      <c r="H3" s="180"/>
      <c r="I3" s="180"/>
    </row>
    <row r="4" spans="1:9" ht="12.75" customHeight="1" x14ac:dyDescent="0.3">
      <c r="A4" s="182">
        <f>DETALLE!B3</f>
        <v>0</v>
      </c>
      <c r="E4" s="272"/>
      <c r="F4" s="272"/>
      <c r="G4" s="272"/>
      <c r="H4" s="180"/>
      <c r="I4" s="180"/>
    </row>
    <row r="5" spans="1:9" ht="12.75" customHeight="1" x14ac:dyDescent="0.25">
      <c r="A5" s="182">
        <f>DETALLE!B4</f>
        <v>0</v>
      </c>
      <c r="B5" s="182"/>
      <c r="C5" s="207" t="s">
        <v>97</v>
      </c>
    </row>
    <row r="6" spans="1:9" ht="12.75" customHeight="1" x14ac:dyDescent="0.3">
      <c r="B6" s="182"/>
      <c r="C6" s="271">
        <f ca="1">TODAY()</f>
        <v>45078</v>
      </c>
      <c r="D6" s="271"/>
      <c r="E6" s="208"/>
      <c r="F6" s="208"/>
      <c r="G6" s="180"/>
      <c r="H6" s="180"/>
      <c r="I6" s="180"/>
    </row>
    <row r="7" spans="1:9" ht="12.75" customHeight="1" x14ac:dyDescent="0.3">
      <c r="A7" s="209" t="s">
        <v>98</v>
      </c>
      <c r="B7" s="182"/>
      <c r="C7" s="183"/>
      <c r="D7" s="207"/>
      <c r="E7" s="208"/>
      <c r="F7" s="208"/>
      <c r="G7" s="180"/>
      <c r="H7" s="180"/>
      <c r="I7" s="180"/>
    </row>
    <row r="8" spans="1:9" ht="12.75" customHeight="1" x14ac:dyDescent="0.3">
      <c r="A8" s="182"/>
      <c r="B8" s="182"/>
      <c r="C8" s="183"/>
      <c r="D8" s="207"/>
      <c r="E8" s="208"/>
      <c r="F8" s="208"/>
      <c r="G8" s="180"/>
      <c r="H8" s="180"/>
      <c r="I8" s="180"/>
    </row>
    <row r="9" spans="1:9" ht="12.75" customHeight="1" x14ac:dyDescent="0.3">
      <c r="B9" s="209"/>
      <c r="C9" s="209"/>
      <c r="D9" s="209"/>
      <c r="E9" s="209"/>
      <c r="F9" s="209"/>
      <c r="G9" s="180"/>
      <c r="H9" s="180"/>
      <c r="I9" s="180"/>
    </row>
    <row r="10" spans="1:9" ht="21" customHeight="1" x14ac:dyDescent="0.3">
      <c r="A10" s="270" t="s">
        <v>65</v>
      </c>
      <c r="B10" s="270"/>
      <c r="C10" s="270"/>
      <c r="D10" s="270"/>
      <c r="E10" s="270"/>
      <c r="F10" s="270"/>
      <c r="G10" s="184"/>
      <c r="H10" s="184"/>
      <c r="I10" s="180"/>
    </row>
    <row r="11" spans="1:9" ht="12.75" customHeight="1" x14ac:dyDescent="0.3">
      <c r="A11" s="186" t="s">
        <v>92</v>
      </c>
      <c r="B11" s="188" t="s">
        <v>82</v>
      </c>
      <c r="C11" s="188" t="s">
        <v>93</v>
      </c>
      <c r="D11" s="188" t="s">
        <v>0</v>
      </c>
      <c r="E11" s="188" t="s">
        <v>94</v>
      </c>
      <c r="F11" s="188" t="s">
        <v>95</v>
      </c>
      <c r="G11" s="180"/>
      <c r="H11" s="180"/>
      <c r="I11" s="180"/>
    </row>
    <row r="12" spans="1:9" ht="19.5" customHeight="1" x14ac:dyDescent="0.3">
      <c r="B12" s="189"/>
      <c r="C12" s="190"/>
      <c r="D12" s="190"/>
      <c r="E12" s="190"/>
      <c r="F12" s="190"/>
      <c r="G12" s="180"/>
      <c r="H12" s="180"/>
      <c r="I12" s="180"/>
    </row>
    <row r="13" spans="1:9" ht="46.8" x14ac:dyDescent="0.25">
      <c r="A13" s="251">
        <v>1</v>
      </c>
      <c r="B13" s="255" t="str">
        <f>DETALLE!B11</f>
        <v>Domo IP 2 Megapixel / 30 mts IR EXIR / Exterior IP67 / IK10 / Lente 2.8 mm / dWDR / PoE / ONVIF</v>
      </c>
      <c r="C13" s="202" t="s">
        <v>96</v>
      </c>
      <c r="D13" s="252">
        <f>DETALLE!A11</f>
        <v>2</v>
      </c>
      <c r="E13" s="256">
        <f>DETALLE!D11</f>
        <v>1208.3580000000002</v>
      </c>
      <c r="F13" s="200">
        <f>E13*D13</f>
        <v>2416.7160000000003</v>
      </c>
    </row>
    <row r="14" spans="1:9" ht="46.5" customHeight="1" x14ac:dyDescent="0.25">
      <c r="A14" s="251"/>
      <c r="B14" s="255" t="str">
        <f>DETALLE!B12</f>
        <v>Cámara Bullet Dahua 2 MP, DH-HAC-HFW1209CN-LED-0280B, Full Color 1080p, lente de 2.8mm</v>
      </c>
      <c r="C14" s="202"/>
      <c r="D14" s="252">
        <f>DETALLE!A12</f>
        <v>2</v>
      </c>
      <c r="E14" s="256">
        <f>DETALLE!D12</f>
        <v>533.77649999999994</v>
      </c>
      <c r="F14" s="200">
        <f t="shared" ref="F14:F18" si="0">E14*D14</f>
        <v>1067.5529999999999</v>
      </c>
    </row>
    <row r="15" spans="1:9" ht="24" customHeight="1" x14ac:dyDescent="0.25">
      <c r="A15" s="191"/>
      <c r="B15" s="192"/>
      <c r="C15" s="202"/>
      <c r="D15" s="206">
        <f>DETALLE!A13</f>
        <v>1</v>
      </c>
      <c r="E15" s="195">
        <f>DETALLE!D13</f>
        <v>1060.6950000000002</v>
      </c>
      <c r="F15" s="200">
        <f t="shared" si="0"/>
        <v>1060.6950000000002</v>
      </c>
    </row>
    <row r="16" spans="1:9" ht="23.25" customHeight="1" x14ac:dyDescent="0.25">
      <c r="A16" s="191"/>
      <c r="B16" s="192" t="str">
        <f>DETALLE!B14</f>
        <v>NVR 8 Megapixel (4K) (Compatible con Cámaras AcuSense) / 4 Canales IP / 4 Puertos PoE+ / 1 Bahía de Disco Duro / HDMI en 4K</v>
      </c>
      <c r="C16" s="193"/>
      <c r="D16" s="206">
        <f>DETALLE!A14</f>
        <v>1</v>
      </c>
      <c r="E16" s="195">
        <f>DETALLE!D14</f>
        <v>1879.6994999999997</v>
      </c>
      <c r="F16" s="196">
        <f t="shared" si="0"/>
        <v>1879.6994999999997</v>
      </c>
    </row>
    <row r="17" spans="1:6" ht="12.75" customHeight="1" x14ac:dyDescent="0.25">
      <c r="A17" s="191"/>
      <c r="B17" s="192" t="str">
        <f>DETALLE!B15</f>
        <v>Bobina de cable de 305 m, Cat5e, para intemperie, sin blindar, color blanco, UL, para aplicaciones en CCTV, redes de datos.</v>
      </c>
      <c r="C17" s="193"/>
      <c r="D17" s="206">
        <f>DETALLE!A15</f>
        <v>1</v>
      </c>
      <c r="E17" s="195">
        <f>DETALLE!D15</f>
        <v>2448.1305000000002</v>
      </c>
      <c r="F17" s="196">
        <f t="shared" si="0"/>
        <v>2448.1305000000002</v>
      </c>
    </row>
    <row r="18" spans="1:6" ht="12.75" customHeight="1" x14ac:dyDescent="0.25">
      <c r="A18" s="191"/>
      <c r="B18" s="192"/>
      <c r="C18" s="193"/>
      <c r="D18" s="206">
        <f>DETALLE!A16</f>
        <v>1</v>
      </c>
      <c r="E18" s="195">
        <f>DETALLE!D16</f>
        <v>1365.903</v>
      </c>
      <c r="F18" s="196">
        <f t="shared" si="0"/>
        <v>1365.903</v>
      </c>
    </row>
    <row r="19" spans="1:6" ht="12.75" customHeight="1" x14ac:dyDescent="0.25">
      <c r="A19" s="191"/>
      <c r="B19" s="192" t="str">
        <f>DETALLE!B17</f>
        <v>Gabinete ACTECK PERFORMANCE GI210 Micro Tower Micro ATX Y Mini ITX USB 2.0 Fuente 500W</v>
      </c>
      <c r="C19" s="193"/>
      <c r="D19" s="206">
        <f>DETALLE!A17</f>
        <v>1</v>
      </c>
      <c r="E19" s="195"/>
      <c r="F19" s="196"/>
    </row>
    <row r="20" spans="1:6" ht="12.75" customHeight="1" x14ac:dyDescent="0.25">
      <c r="A20" s="191"/>
      <c r="B20" s="192"/>
      <c r="C20" s="193"/>
      <c r="D20" s="206">
        <f>DETALLE!A18</f>
        <v>1</v>
      </c>
      <c r="E20" s="195"/>
      <c r="F20" s="196"/>
    </row>
    <row r="21" spans="1:6" ht="12.75" customHeight="1" x14ac:dyDescent="0.25">
      <c r="A21" s="191"/>
      <c r="B21" s="192">
        <f>DETALLE!B19</f>
        <v>0</v>
      </c>
      <c r="C21" s="243" t="s">
        <v>1</v>
      </c>
      <c r="D21" s="238">
        <f>DETALLE!K6</f>
        <v>13865.0265</v>
      </c>
      <c r="E21" s="195"/>
      <c r="F21" s="196"/>
    </row>
    <row r="22" spans="1:6" ht="12.75" customHeight="1" x14ac:dyDescent="0.25">
      <c r="A22" s="191"/>
      <c r="B22" s="192"/>
      <c r="C22" s="237" t="s">
        <v>2</v>
      </c>
      <c r="D22" s="238">
        <f>D23-D21</f>
        <v>2218.404239999998</v>
      </c>
      <c r="E22" s="195"/>
      <c r="F22" s="196"/>
    </row>
    <row r="23" spans="1:6" ht="12.75" customHeight="1" x14ac:dyDescent="0.25">
      <c r="A23" s="191"/>
      <c r="B23" s="192"/>
      <c r="C23" s="237" t="s">
        <v>64</v>
      </c>
      <c r="D23" s="238">
        <f>D21*1.16</f>
        <v>16083.430739999998</v>
      </c>
      <c r="E23" s="195"/>
      <c r="F23" s="196"/>
    </row>
    <row r="24" spans="1:6" ht="12.75" customHeight="1" x14ac:dyDescent="0.25">
      <c r="A24" s="191"/>
      <c r="B24" s="192"/>
      <c r="E24" s="195"/>
      <c r="F24" s="196"/>
    </row>
    <row r="25" spans="1:6" ht="12.75" customHeight="1" x14ac:dyDescent="0.25">
      <c r="A25" s="191"/>
      <c r="B25" s="192"/>
      <c r="C25" s="193"/>
      <c r="D25" s="206">
        <f>DETALLE!A23</f>
        <v>0</v>
      </c>
      <c r="E25" s="195"/>
      <c r="F25" s="196"/>
    </row>
    <row r="26" spans="1:6" ht="12.75" customHeight="1" x14ac:dyDescent="0.25">
      <c r="A26" s="191"/>
      <c r="B26" s="192">
        <f>DETALLE!B24</f>
        <v>0</v>
      </c>
      <c r="C26" s="193"/>
      <c r="D26" s="206">
        <f>DETALLE!A24</f>
        <v>0</v>
      </c>
      <c r="E26" s="195"/>
      <c r="F26" s="196"/>
    </row>
    <row r="27" spans="1:6" ht="21.75" customHeight="1" x14ac:dyDescent="0.25">
      <c r="A27" s="221" t="str">
        <f>DETALLE!G8</f>
        <v>(  DIECISEIS  MIL OCHENTA  Y TRES  PESOS,  43/100 M.N.  )</v>
      </c>
      <c r="B27" s="222"/>
      <c r="C27" s="193"/>
      <c r="D27" s="206">
        <f>DETALLE!A25</f>
        <v>0</v>
      </c>
      <c r="E27" s="195"/>
      <c r="F27" s="196"/>
    </row>
    <row r="28" spans="1:6" ht="23.25" customHeight="1" x14ac:dyDescent="0.25">
      <c r="A28" s="191"/>
      <c r="B28" s="192"/>
      <c r="E28" s="195"/>
      <c r="F28" s="196"/>
    </row>
    <row r="29" spans="1:6" ht="25.5" customHeight="1" x14ac:dyDescent="0.25">
      <c r="A29" s="191"/>
      <c r="B29" s="192"/>
      <c r="E29" s="195"/>
      <c r="F29" s="196"/>
    </row>
    <row r="30" spans="1:6" ht="12.75" customHeight="1" x14ac:dyDescent="0.25">
      <c r="A30" s="191"/>
      <c r="B30" s="192">
        <f>DETALLE!B28</f>
        <v>0</v>
      </c>
      <c r="E30" s="195"/>
      <c r="F30" s="196"/>
    </row>
    <row r="31" spans="1:6" ht="12.75" customHeight="1" x14ac:dyDescent="0.25">
      <c r="E31" s="195"/>
      <c r="F31" s="196"/>
    </row>
    <row r="32" spans="1:6" ht="12.75" customHeight="1" x14ac:dyDescent="0.25">
      <c r="A32" s="198"/>
      <c r="B32" s="227" t="s">
        <v>66</v>
      </c>
      <c r="C32" s="198"/>
      <c r="D32" s="198"/>
      <c r="E32" s="195"/>
      <c r="F32" s="196"/>
    </row>
    <row r="33" spans="1:6" x14ac:dyDescent="0.25">
      <c r="A33" s="198"/>
      <c r="B33" s="227" t="s">
        <v>66</v>
      </c>
      <c r="C33" s="198"/>
      <c r="D33" s="198"/>
      <c r="E33" s="195"/>
      <c r="F33" s="196">
        <f>E33*D22</f>
        <v>0</v>
      </c>
    </row>
    <row r="34" spans="1:6" x14ac:dyDescent="0.25">
      <c r="A34" s="198"/>
      <c r="B34" s="227" t="s">
        <v>66</v>
      </c>
      <c r="D34" s="198"/>
      <c r="E34" s="197"/>
      <c r="F34" s="200"/>
    </row>
    <row r="35" spans="1:6" x14ac:dyDescent="0.25">
      <c r="A35" s="198"/>
      <c r="B35" s="227" t="s">
        <v>66</v>
      </c>
      <c r="C35" s="198"/>
      <c r="D35" s="198"/>
      <c r="E35" s="197"/>
      <c r="F35" s="200">
        <f>F34*16%</f>
        <v>0</v>
      </c>
    </row>
    <row r="36" spans="1:6" x14ac:dyDescent="0.25">
      <c r="A36" s="198"/>
      <c r="B36" s="222" t="s">
        <v>66</v>
      </c>
      <c r="C36" s="184"/>
      <c r="D36" s="184"/>
      <c r="E36" s="197"/>
      <c r="F36" s="201">
        <f>SUM(F34:F35)</f>
        <v>0</v>
      </c>
    </row>
    <row r="37" spans="1:6" x14ac:dyDescent="0.25">
      <c r="A37" s="198"/>
      <c r="B37" s="179" t="s">
        <v>66</v>
      </c>
      <c r="C37" s="184"/>
      <c r="D37" s="184"/>
      <c r="E37" s="197"/>
      <c r="F37" s="201"/>
    </row>
    <row r="38" spans="1:6" ht="13.8" x14ac:dyDescent="0.25">
      <c r="A38" s="220" t="s">
        <v>66</v>
      </c>
      <c r="B38" s="198"/>
      <c r="C38" s="198"/>
      <c r="D38" s="198"/>
      <c r="E38" s="197"/>
      <c r="F38" s="201"/>
    </row>
    <row r="39" spans="1:6" x14ac:dyDescent="0.25">
      <c r="A39" s="198"/>
      <c r="B39" s="198"/>
      <c r="C39" s="198"/>
      <c r="E39" s="202"/>
      <c r="F39" s="202"/>
    </row>
    <row r="40" spans="1:6" x14ac:dyDescent="0.25">
      <c r="A40" s="198"/>
      <c r="C40" s="198"/>
      <c r="E40" s="202"/>
      <c r="F40" s="202"/>
    </row>
    <row r="41" spans="1:6" ht="15.6" x14ac:dyDescent="0.3">
      <c r="A41" s="198"/>
      <c r="C41" s="217" t="s">
        <v>66</v>
      </c>
      <c r="E41" s="197"/>
      <c r="F41" s="197"/>
    </row>
    <row r="42" spans="1:6" x14ac:dyDescent="0.25">
      <c r="A42" s="198"/>
      <c r="B42" s="198"/>
      <c r="C42" s="216" t="s">
        <v>66</v>
      </c>
      <c r="D42" s="198"/>
      <c r="E42" s="197"/>
      <c r="F42" s="197"/>
    </row>
    <row r="43" spans="1:6" x14ac:dyDescent="0.25">
      <c r="E43" s="198"/>
      <c r="F43" s="198"/>
    </row>
    <row r="44" spans="1:6" x14ac:dyDescent="0.25">
      <c r="E44" s="198"/>
      <c r="F44" s="198"/>
    </row>
    <row r="45" spans="1:6" x14ac:dyDescent="0.25">
      <c r="E45" s="198"/>
      <c r="F45" s="198"/>
    </row>
    <row r="46" spans="1:6" x14ac:dyDescent="0.25">
      <c r="B46" s="198"/>
      <c r="C46" s="198"/>
      <c r="D46" s="198"/>
      <c r="E46" s="198"/>
      <c r="F46" s="198"/>
    </row>
    <row r="47" spans="1:6" x14ac:dyDescent="0.25">
      <c r="B47" s="198"/>
      <c r="C47" s="198"/>
      <c r="D47" s="198"/>
      <c r="E47" s="198"/>
      <c r="F47" s="198"/>
    </row>
    <row r="48" spans="1:6" x14ac:dyDescent="0.25">
      <c r="A48" s="198"/>
      <c r="B48" s="198"/>
      <c r="C48" s="198"/>
      <c r="D48" s="198"/>
      <c r="E48" s="198"/>
      <c r="F48" s="198"/>
    </row>
    <row r="49" spans="1:6" x14ac:dyDescent="0.25">
      <c r="A49" s="198"/>
      <c r="C49" s="198"/>
      <c r="D49" s="198"/>
      <c r="E49" s="198"/>
      <c r="F49" s="198"/>
    </row>
    <row r="53" spans="1:6" x14ac:dyDescent="0.25">
      <c r="A53" s="218"/>
    </row>
    <row r="379" spans="39:51" x14ac:dyDescent="0.25">
      <c r="AM379" s="57" t="s">
        <v>3</v>
      </c>
      <c r="AN379" s="57"/>
      <c r="AO379" s="57" t="s">
        <v>4</v>
      </c>
      <c r="AP379" s="57"/>
      <c r="AQ379" s="57"/>
      <c r="AR379" s="57"/>
      <c r="AS379" s="57"/>
      <c r="AT379" s="57"/>
      <c r="AU379" s="57"/>
      <c r="AV379" s="57"/>
      <c r="AW379" s="57"/>
      <c r="AX379" s="57"/>
      <c r="AY379" s="4"/>
    </row>
    <row r="380" spans="39:51" x14ac:dyDescent="0.25">
      <c r="AM380" s="5">
        <f>DETALLE!K6</f>
        <v>13865.0265</v>
      </c>
      <c r="AN380" s="57"/>
      <c r="AO380" s="59" t="str">
        <f>CONCATENATE(AT383,AW396,AW395,AW392,AW391,AW388,AU386,AU385,AU384,AU383)</f>
        <v>(  TRECE  MIL OCHOCIENTOS SESENTA  Y CINCO  PESOS,  03/100 M.N.  )</v>
      </c>
      <c r="AP380" s="59"/>
      <c r="AQ380" s="59"/>
      <c r="AR380" s="59"/>
      <c r="AS380" s="59"/>
      <c r="AT380" s="59"/>
      <c r="AU380" s="59"/>
      <c r="AV380" s="59"/>
      <c r="AW380" s="59"/>
      <c r="AX380" s="59"/>
      <c r="AY380" s="7"/>
    </row>
    <row r="381" spans="39:51" ht="13.8" thickBot="1" x14ac:dyDescent="0.3">
      <c r="AM381" s="60">
        <v>53</v>
      </c>
      <c r="AN381" s="57"/>
      <c r="AO381" s="59" t="str">
        <f>CONCATENATE(AT383,AW396,AW395,AW392,AW391,AW388,AU386,AU402,AU401,AU383)</f>
        <v>(  TRECE  MIL OCHOCIENTOS SESENTA  Y CINCO  DOLARES,  03/100 U.S. Cy  )</v>
      </c>
      <c r="AP381" s="57"/>
      <c r="AQ381" s="57"/>
      <c r="AR381" s="57"/>
      <c r="AS381" s="57"/>
      <c r="AT381" s="57"/>
      <c r="AU381" s="57"/>
      <c r="AV381" s="57"/>
      <c r="AW381" s="57"/>
      <c r="AX381" s="57"/>
      <c r="AY381" s="4"/>
    </row>
    <row r="382" spans="39:51" ht="13.8" thickTop="1" x14ac:dyDescent="0.25">
      <c r="AM382" s="61"/>
      <c r="AN382" s="62"/>
      <c r="AO382" s="62"/>
      <c r="AP382" s="62"/>
      <c r="AQ382" s="62"/>
      <c r="AR382" s="62"/>
      <c r="AS382" s="62"/>
      <c r="AT382" s="62"/>
      <c r="AU382" s="62"/>
      <c r="AV382" s="62"/>
      <c r="AW382" s="62"/>
      <c r="AX382" s="63"/>
      <c r="AY382" s="13"/>
    </row>
    <row r="383" spans="39:51" x14ac:dyDescent="0.25">
      <c r="AM383" s="64" t="str">
        <f>RIGHT(AM385)</f>
        <v>3</v>
      </c>
      <c r="AN383" s="65"/>
      <c r="AO383" s="65"/>
      <c r="AP383" s="65"/>
      <c r="AQ383" s="65"/>
      <c r="AR383" s="65"/>
      <c r="AS383" s="65"/>
      <c r="AT383" s="66" t="s">
        <v>5</v>
      </c>
      <c r="AU383" s="67" t="s">
        <v>6</v>
      </c>
      <c r="AV383" s="65"/>
      <c r="AW383" s="65"/>
      <c r="AX383" s="68"/>
      <c r="AY383" s="13"/>
    </row>
    <row r="384" spans="39:51" x14ac:dyDescent="0.25">
      <c r="AM384" s="64"/>
      <c r="AN384" s="65"/>
      <c r="AO384" s="65"/>
      <c r="AP384" s="67" t="s">
        <v>7</v>
      </c>
      <c r="AQ384" s="65"/>
      <c r="AR384" s="65"/>
      <c r="AS384" s="65"/>
      <c r="AT384" s="65"/>
      <c r="AU384" s="69" t="str">
        <f>CONCATENATE(AP386,AP385,AP384)</f>
        <v>03/100 M.N.</v>
      </c>
      <c r="AV384" s="65"/>
      <c r="AW384" s="65"/>
      <c r="AX384" s="68"/>
      <c r="AY384" s="13"/>
    </row>
    <row r="385" spans="39:51" x14ac:dyDescent="0.25">
      <c r="AM385" s="64" t="str">
        <f>RIGHT(AM405,AN385)</f>
        <v>3</v>
      </c>
      <c r="AN385" s="65">
        <v>1</v>
      </c>
      <c r="AO385" s="70" t="str">
        <f>MID(AM385,1,1)</f>
        <v>3</v>
      </c>
      <c r="AP385" s="65">
        <f>IF(VLOOKUP(AO385,AM407:AN418,2,FALSE)=0,0,VLOOKUP(AO385,AM407:AN418,2,FALSE))</f>
        <v>3</v>
      </c>
      <c r="AQ385" s="65"/>
      <c r="AR385" s="65"/>
      <c r="AS385" s="71"/>
      <c r="AT385" s="71"/>
      <c r="AU385" s="69" t="str">
        <f>IF(AM380&lt;&gt;1,"PESOS,  ","PESO  ")</f>
        <v xml:space="preserve">PESOS,  </v>
      </c>
      <c r="AV385" s="69"/>
      <c r="AW385" s="65"/>
      <c r="AX385" s="68"/>
      <c r="AY385" s="13"/>
    </row>
    <row r="386" spans="39:51" x14ac:dyDescent="0.25">
      <c r="AM386" s="64" t="str">
        <f>RIGHT(AM405,AN386)</f>
        <v>03</v>
      </c>
      <c r="AN386" s="65">
        <v>2</v>
      </c>
      <c r="AO386" s="70" t="str">
        <f>MID(AM386,1,1)</f>
        <v>0</v>
      </c>
      <c r="AP386" s="65">
        <f>IF(VLOOKUP(AO386,AM407:AN418,2,FALSE)=0,0,VLOOKUP(AO386,AM407:AN418,2,FALSE))</f>
        <v>0</v>
      </c>
      <c r="AQ386" s="65"/>
      <c r="AR386" s="65"/>
      <c r="AS386" s="69" t="str">
        <f>IF(SUM(AP388:AP398)=0,"CERO  ","")</f>
        <v/>
      </c>
      <c r="AT386" s="69" t="str">
        <f>IF(AP388&gt;2,"Y ","")</f>
        <v xml:space="preserve">Y </v>
      </c>
      <c r="AU386" s="69" t="str">
        <f>IF(SUM(AP388:AP398)=0,AS386,"")</f>
        <v/>
      </c>
      <c r="AV386" s="65"/>
      <c r="AW386" s="65"/>
      <c r="AX386" s="68"/>
      <c r="AY386" s="13"/>
    </row>
    <row r="387" spans="39:51" ht="13.8" thickBot="1" x14ac:dyDescent="0.3">
      <c r="AM387" s="64" t="str">
        <f>RIGHT(AM405,AN387)</f>
        <v>.03</v>
      </c>
      <c r="AN387" s="65">
        <v>3</v>
      </c>
      <c r="AO387" s="70" t="str">
        <f>MID(AM387,1,1)</f>
        <v>.</v>
      </c>
      <c r="AP387" s="65">
        <f>IF(VLOOKUP(AO387,AM407:AN418,2,FALSE)=0,0,VLOOKUP(AO387,AM407:AN418,2,FALSE))</f>
        <v>1</v>
      </c>
      <c r="AQ387" s="65"/>
      <c r="AR387" s="70">
        <v>1</v>
      </c>
      <c r="AS387" s="70">
        <v>2</v>
      </c>
      <c r="AT387" s="70">
        <v>3</v>
      </c>
      <c r="AU387" s="70">
        <v>4</v>
      </c>
      <c r="AV387" s="70"/>
      <c r="AW387" s="65"/>
      <c r="AX387" s="68"/>
      <c r="AY387" s="13"/>
    </row>
    <row r="388" spans="39:51" x14ac:dyDescent="0.25">
      <c r="AM388" s="72" t="str">
        <f>RIGHT(AM405,AN388)</f>
        <v>5.03</v>
      </c>
      <c r="AN388" s="73">
        <v>4</v>
      </c>
      <c r="AO388" s="74" t="str">
        <f t="shared" ref="AO388:AO398" si="1">IF(AM388=AM387,"0",MID(AM388,1,1))</f>
        <v>5</v>
      </c>
      <c r="AP388" s="75">
        <f>IF(VLOOKUP(AO388,AM407:AN418,2,FALSE)=0,0,VLOOKUP(AO388,AM407:AN418,2,FALSE))</f>
        <v>5</v>
      </c>
      <c r="AQ388" s="65"/>
      <c r="AR388" s="76" t="str">
        <f>IF(AP388=0,"",VLOOKUP(AP388,AN407:AR416,4,FALSE))</f>
        <v xml:space="preserve">CINCO  </v>
      </c>
      <c r="AS388" s="77" t="str">
        <f>IF(AP389=1,VLOOKUP(AP388,AN407:AR416,5,FALSE),VLOOKUP(AP388,AN407:AR416,4,FALSE))</f>
        <v xml:space="preserve">CINCO  </v>
      </c>
      <c r="AT388" s="77" t="str">
        <f>IF(AP389=1,AS388,AR388)</f>
        <v xml:space="preserve">CINCO  </v>
      </c>
      <c r="AU388" s="78" t="str">
        <f>IF(AP388=0,AR388,AT388)</f>
        <v xml:space="preserve">CINCO  </v>
      </c>
      <c r="AV388" s="65" t="str">
        <f>IF(AND(AP389&gt;2,AP388&gt;0),"Y ","")</f>
        <v xml:space="preserve">Y </v>
      </c>
      <c r="AW388" s="65" t="str">
        <f>CONCATENATE(AU390,AU389,AV388,AU388)</f>
        <v xml:space="preserve">OCHOCIENTOS SESENTA  Y CINCO  </v>
      </c>
      <c r="AX388" s="68"/>
      <c r="AY388" s="13"/>
    </row>
    <row r="389" spans="39:51" x14ac:dyDescent="0.25">
      <c r="AM389" s="64" t="str">
        <f>RIGHT(AM405,AN389)</f>
        <v>65.03</v>
      </c>
      <c r="AN389" s="65">
        <v>5</v>
      </c>
      <c r="AO389" s="70" t="str">
        <f t="shared" si="1"/>
        <v>6</v>
      </c>
      <c r="AP389" s="79">
        <f>IF(VLOOKUP(AO389,AM407:AN418,2,FALSE)=0,0,VLOOKUP(AO389,AM407:AN418,2,FALSE))</f>
        <v>6</v>
      </c>
      <c r="AQ389" s="65"/>
      <c r="AR389" s="80" t="str">
        <f>IF(AP389=0,"",VLOOKUP(AP389,AN407:AR416,3,FALSE))</f>
        <v xml:space="preserve">SESENTA  </v>
      </c>
      <c r="AS389" s="69" t="str">
        <f>IF(AP389=1,"",AR389)</f>
        <v xml:space="preserve">SESENTA  </v>
      </c>
      <c r="AT389" s="69" t="str">
        <f>IF(AP389=2,AS405,AS389)</f>
        <v xml:space="preserve">SESENTA  </v>
      </c>
      <c r="AU389" s="81" t="str">
        <f>IF(AP388=0,AR389,AT389)</f>
        <v xml:space="preserve">SESENTA  </v>
      </c>
      <c r="AV389" s="69"/>
      <c r="AW389" s="69"/>
      <c r="AX389" s="68"/>
      <c r="AY389" s="13"/>
    </row>
    <row r="390" spans="39:51" ht="13.8" thickBot="1" x14ac:dyDescent="0.3">
      <c r="AM390" s="82" t="str">
        <f>RIGHT(AM405,AN390)</f>
        <v>865.03</v>
      </c>
      <c r="AN390" s="83">
        <v>6</v>
      </c>
      <c r="AO390" s="84" t="str">
        <f t="shared" si="1"/>
        <v>8</v>
      </c>
      <c r="AP390" s="85">
        <f>IF(VLOOKUP(AO390,AM407:AN418,2,FALSE)=0,0,VLOOKUP(AO390,AM407:AN418,2,FALSE))</f>
        <v>8</v>
      </c>
      <c r="AQ390" s="65"/>
      <c r="AR390" s="86" t="str">
        <f>IF(AP390=0,"",VLOOKUP(AP390,AN407:AR416,2,FALSE))</f>
        <v xml:space="preserve">OCHOCIENTOS </v>
      </c>
      <c r="AS390" s="87"/>
      <c r="AT390" s="88" t="str">
        <f>IF(AP390=1,AO404,AR390)</f>
        <v xml:space="preserve">OCHOCIENTOS </v>
      </c>
      <c r="AU390" s="89" t="str">
        <f>IF(AP388+AP389=0,AR390,AT390)</f>
        <v xml:space="preserve">OCHOCIENTOS </v>
      </c>
      <c r="AV390" s="69"/>
      <c r="AW390" s="69"/>
      <c r="AX390" s="68"/>
      <c r="AY390" s="13"/>
    </row>
    <row r="391" spans="39:51" ht="13.8" thickBot="1" x14ac:dyDescent="0.3">
      <c r="AM391" s="64" t="str">
        <f>RIGHT(AM405,AN391)</f>
        <v>,865.03</v>
      </c>
      <c r="AN391" s="65">
        <v>7</v>
      </c>
      <c r="AO391" s="70" t="str">
        <f t="shared" si="1"/>
        <v>,</v>
      </c>
      <c r="AP391" s="65">
        <f>IF(VLOOKUP(AO391,AM407:AN418,2,FALSE)=0,0,VLOOKUP(AO391,AM407:AN418,2,FALSE))</f>
        <v>0</v>
      </c>
      <c r="AQ391" s="65"/>
      <c r="AR391" s="69" t="str">
        <f>IF(SUM(AP392:AP394)=0,"","MIL ")</f>
        <v xml:space="preserve">MIL </v>
      </c>
      <c r="AS391" s="69"/>
      <c r="AT391" s="69"/>
      <c r="AU391" s="69"/>
      <c r="AV391" s="69"/>
      <c r="AW391" s="69" t="str">
        <f>AR391</f>
        <v xml:space="preserve">MIL </v>
      </c>
      <c r="AX391" s="68"/>
      <c r="AY391" s="13"/>
    </row>
    <row r="392" spans="39:51" x14ac:dyDescent="0.25">
      <c r="AM392" s="72" t="str">
        <f>RIGHT(AM405,AN392)</f>
        <v>3,865.03</v>
      </c>
      <c r="AN392" s="73">
        <v>8</v>
      </c>
      <c r="AO392" s="74" t="str">
        <f t="shared" si="1"/>
        <v>3</v>
      </c>
      <c r="AP392" s="75">
        <f>IF(VLOOKUP(AO392,AM407:AN418,2,FALSE)=0,0,VLOOKUP(AO392,AM407:AN418,2,FALSE))</f>
        <v>3</v>
      </c>
      <c r="AQ392" s="65"/>
      <c r="AR392" s="76" t="str">
        <f>IF(AP392=0,"",VLOOKUP(AP392,AN407:AR416,4,FALSE))</f>
        <v xml:space="preserve">TRES  </v>
      </c>
      <c r="AS392" s="77" t="str">
        <f>IF(AP393=1,VLOOKUP(AP392,AN407:AR416,5,FALSE),VLOOKUP(AP392,AN407:AR416,4,FALSE))</f>
        <v xml:space="preserve">TRECE  </v>
      </c>
      <c r="AT392" s="77" t="str">
        <f>IF(AP393=1,AS392,AR392)</f>
        <v xml:space="preserve">TRECE  </v>
      </c>
      <c r="AU392" s="78" t="str">
        <f>IF(AP392=0,AR392,AT392)</f>
        <v xml:space="preserve">TRECE  </v>
      </c>
      <c r="AV392" s="65" t="str">
        <f>IF(AND(AP393&gt;2,AP392&gt;0),"Y ","")</f>
        <v/>
      </c>
      <c r="AW392" s="65" t="str">
        <f>CONCATENATE(AU394,AU393,AV392,AU392)</f>
        <v xml:space="preserve">TRECE  </v>
      </c>
      <c r="AX392" s="68"/>
      <c r="AY392" s="13"/>
    </row>
    <row r="393" spans="39:51" x14ac:dyDescent="0.25">
      <c r="AM393" s="64" t="str">
        <f>RIGHT(AM405,AN393)</f>
        <v>13,865.03</v>
      </c>
      <c r="AN393" s="65">
        <v>9</v>
      </c>
      <c r="AO393" s="70" t="str">
        <f t="shared" si="1"/>
        <v>1</v>
      </c>
      <c r="AP393" s="79">
        <f>IF(VLOOKUP(AO393,AM407:AN418,2,FALSE)=0,0,VLOOKUP(AO393,AM407:AN418,2,FALSE))</f>
        <v>1</v>
      </c>
      <c r="AQ393" s="65"/>
      <c r="AR393" s="80" t="str">
        <f>IF(AP393=0,"",VLOOKUP(AP393,AN407:AR416,3,FALSE))</f>
        <v xml:space="preserve">DIEZ  </v>
      </c>
      <c r="AS393" s="69" t="str">
        <f>IF(AP393=1,"",AR393)</f>
        <v/>
      </c>
      <c r="AT393" s="69" t="str">
        <f>IF(AP393=2,AS405,AS393)</f>
        <v/>
      </c>
      <c r="AU393" s="81" t="str">
        <f>IF(AP392=0,AR393,AT393)</f>
        <v/>
      </c>
      <c r="AV393" s="69"/>
      <c r="AW393" s="69"/>
      <c r="AX393" s="68"/>
      <c r="AY393" s="13"/>
    </row>
    <row r="394" spans="39:51" ht="13.8" thickBot="1" x14ac:dyDescent="0.3">
      <c r="AM394" s="82" t="str">
        <f>RIGHT(AM405,AN394)</f>
        <v>13,865.03</v>
      </c>
      <c r="AN394" s="83">
        <v>10</v>
      </c>
      <c r="AO394" s="84" t="str">
        <f t="shared" si="1"/>
        <v>0</v>
      </c>
      <c r="AP394" s="85">
        <f>IF(VLOOKUP(AO394,AM407:AN418,2,FALSE)=0,0,VLOOKUP(AO394,AM407:AN418,2,FALSE))</f>
        <v>0</v>
      </c>
      <c r="AQ394" s="65"/>
      <c r="AR394" s="86" t="str">
        <f>IF(AP394=0,"",VLOOKUP(AP394,AN407:AR418,2,FALSE))</f>
        <v/>
      </c>
      <c r="AS394" s="87"/>
      <c r="AT394" s="88" t="str">
        <f>IF(AP394=1,AO404,AR394)</f>
        <v/>
      </c>
      <c r="AU394" s="89" t="str">
        <f>IF(AP392+AP393=0,AR394,AT394)</f>
        <v/>
      </c>
      <c r="AV394" s="69"/>
      <c r="AW394" s="69"/>
      <c r="AX394" s="68"/>
      <c r="AY394" s="13"/>
    </row>
    <row r="395" spans="39:51" ht="13.8" thickBot="1" x14ac:dyDescent="0.3">
      <c r="AM395" s="64" t="str">
        <f>RIGHT(AM405,AN395)</f>
        <v>13,865.03</v>
      </c>
      <c r="AN395" s="65">
        <v>11</v>
      </c>
      <c r="AO395" s="70" t="str">
        <f t="shared" si="1"/>
        <v>0</v>
      </c>
      <c r="AP395" s="65">
        <f>IF(VLOOKUP(AO395,AM407:AN418,2,FALSE)=0,0,VLOOKUP(AO395,AM407:AN418,2,FALSE))</f>
        <v>0</v>
      </c>
      <c r="AQ395" s="65"/>
      <c r="AR395" s="69" t="str">
        <f>IF(AM380&gt;1999999.99,"MILLONES","MILLON")</f>
        <v>MILLON</v>
      </c>
      <c r="AS395" s="69"/>
      <c r="AT395" s="69"/>
      <c r="AU395" s="69"/>
      <c r="AV395" s="69" t="str">
        <f>IF(SUM(AP396:AP398)&gt;0,AR395,"")</f>
        <v/>
      </c>
      <c r="AW395" s="65" t="str">
        <f>CONCATENATE(AV395," ",AV397)</f>
        <v xml:space="preserve">  </v>
      </c>
      <c r="AX395" s="68"/>
      <c r="AY395" s="13"/>
    </row>
    <row r="396" spans="39:51" x14ac:dyDescent="0.25">
      <c r="AM396" s="72" t="str">
        <f>RIGHT(AM405,AN396)</f>
        <v>13,865.03</v>
      </c>
      <c r="AN396" s="73">
        <v>12</v>
      </c>
      <c r="AO396" s="74" t="str">
        <f t="shared" si="1"/>
        <v>0</v>
      </c>
      <c r="AP396" s="75">
        <f>IF(VLOOKUP(AO396,AM407:AN418,2,FALSE)=0,0,VLOOKUP(AO396,AM407:AN418,2,FALSE))</f>
        <v>0</v>
      </c>
      <c r="AQ396" s="65"/>
      <c r="AR396" s="76" t="str">
        <f>IF(AP396=0,"",VLOOKUP(AP396,AN407:AR416,4,FALSE))</f>
        <v/>
      </c>
      <c r="AS396" s="77" t="e">
        <f>IF(AP397=1,VLOOKUP(AP396,AN407:AR416,5,FALSE),VLOOKUP(AP396,AN407:AR416,4,FALSE))</f>
        <v>#N/A</v>
      </c>
      <c r="AT396" s="77" t="str">
        <f>IF(AP397=1,AS396,AR396)</f>
        <v/>
      </c>
      <c r="AU396" s="78" t="str">
        <f>IF(AP396=0,AR396,AT396)</f>
        <v/>
      </c>
      <c r="AV396" s="65" t="str">
        <f>IF(AND(AP397&gt;2,AP396&gt;0),"Y ","")</f>
        <v/>
      </c>
      <c r="AW396" s="65" t="str">
        <f>CONCATENATE(AU398,AU397,AV396,AU396)</f>
        <v/>
      </c>
      <c r="AX396" s="68"/>
      <c r="AY396" s="13"/>
    </row>
    <row r="397" spans="39:51" x14ac:dyDescent="0.25">
      <c r="AM397" s="64" t="str">
        <f>RIGHT(AM405,AN397)</f>
        <v>13,865.03</v>
      </c>
      <c r="AN397" s="65">
        <v>13</v>
      </c>
      <c r="AO397" s="70" t="str">
        <f t="shared" si="1"/>
        <v>0</v>
      </c>
      <c r="AP397" s="79">
        <f>IF(VLOOKUP(AO397,AM407:AN418,2,FALSE)=0,0,VLOOKUP(AO397,AM407:AN418,2,FALSE))</f>
        <v>0</v>
      </c>
      <c r="AQ397" s="65"/>
      <c r="AR397" s="80" t="str">
        <f>IF(AP397=0,"",VLOOKUP(AP397,AN407:AR416,3,FALSE))</f>
        <v/>
      </c>
      <c r="AS397" s="69" t="str">
        <f>IF(AP397=1,"",AR397)</f>
        <v/>
      </c>
      <c r="AT397" s="69" t="str">
        <f>IF(AP397=2,AS405,AS397)</f>
        <v/>
      </c>
      <c r="AU397" s="81" t="str">
        <f>IF(AP396=0,AR397,AT397)</f>
        <v/>
      </c>
      <c r="AV397" s="65" t="str">
        <f>IF(AND(AM380&gt;0.99,SUM(AP396:AP398)&gt;0),IF(SUM(AP388:AP394)&gt;0," ","DE ")," ")</f>
        <v xml:space="preserve"> </v>
      </c>
      <c r="AW397" s="69"/>
      <c r="AX397" s="68"/>
      <c r="AY397" s="13"/>
    </row>
    <row r="398" spans="39:51" ht="13.8" thickBot="1" x14ac:dyDescent="0.3">
      <c r="AM398" s="82" t="str">
        <f>RIGHT(AM405,AN398)</f>
        <v>13,865.03</v>
      </c>
      <c r="AN398" s="83">
        <v>14</v>
      </c>
      <c r="AO398" s="84" t="str">
        <f t="shared" si="1"/>
        <v>0</v>
      </c>
      <c r="AP398" s="85">
        <f>IF(VLOOKUP(AO398,AM407:AN418,2,FALSE)=0,0,VLOOKUP(AO398,AM407:AN418,2,FALSE))</f>
        <v>0</v>
      </c>
      <c r="AQ398" s="65"/>
      <c r="AR398" s="86" t="str">
        <f>IF(AP398=0,"",VLOOKUP(AP398,AN407:AR419,2,FALSE))</f>
        <v/>
      </c>
      <c r="AS398" s="87"/>
      <c r="AT398" s="88" t="str">
        <f>IF(AP398=1,AO404,AR398)</f>
        <v/>
      </c>
      <c r="AU398" s="89" t="str">
        <f>IF(AP396+AP397=0,AR398,AT398)</f>
        <v/>
      </c>
      <c r="AV398" s="65"/>
      <c r="AW398" s="69"/>
      <c r="AX398" s="68"/>
      <c r="AY398" s="13"/>
    </row>
    <row r="399" spans="39:51" x14ac:dyDescent="0.25">
      <c r="AM399" s="64"/>
      <c r="AN399" s="65"/>
      <c r="AO399" s="65"/>
      <c r="AP399" s="65"/>
      <c r="AQ399" s="65"/>
      <c r="AR399" s="65"/>
      <c r="AS399" s="65"/>
      <c r="AT399" s="65"/>
      <c r="AU399" s="65"/>
      <c r="AV399" s="65"/>
      <c r="AW399" s="65"/>
      <c r="AX399" s="68"/>
      <c r="AY399" s="13"/>
    </row>
    <row r="400" spans="39:51" x14ac:dyDescent="0.25">
      <c r="AM400" s="64"/>
      <c r="AN400" s="65"/>
      <c r="AO400" s="65"/>
      <c r="AP400" s="67" t="s">
        <v>8</v>
      </c>
      <c r="AQ400" s="65"/>
      <c r="AR400" s="65"/>
      <c r="AS400" s="65"/>
      <c r="AT400" s="66" t="s">
        <v>9</v>
      </c>
      <c r="AU400" s="67" t="s">
        <v>6</v>
      </c>
      <c r="AV400" s="65"/>
      <c r="AW400" s="65"/>
      <c r="AX400" s="68"/>
      <c r="AY400" s="13"/>
    </row>
    <row r="401" spans="39:51" x14ac:dyDescent="0.25">
      <c r="AM401" s="64"/>
      <c r="AN401" s="65"/>
      <c r="AO401" s="65"/>
      <c r="AP401" s="65"/>
      <c r="AQ401" s="65"/>
      <c r="AR401" s="65"/>
      <c r="AS401" s="65"/>
      <c r="AT401" s="65"/>
      <c r="AU401" s="69" t="str">
        <f>CONCATENATE(AP386,AP385,AP400)</f>
        <v>03/100 U.S. Cy</v>
      </c>
      <c r="AV401" s="65"/>
      <c r="AW401" s="65"/>
      <c r="AX401" s="68"/>
      <c r="AY401" s="13"/>
    </row>
    <row r="402" spans="39:51" ht="13.8" x14ac:dyDescent="0.25">
      <c r="AM402" s="90" t="str">
        <f>CONCATENATE(AO398,AO397,AO396,AO395,AO394,AO393,AO392,AO391,AO390,AO389,AO388,AO387,AO386,AO385)</f>
        <v>0000013,865.03</v>
      </c>
      <c r="AN402" s="65"/>
      <c r="AO402" s="65"/>
      <c r="AP402" s="65"/>
      <c r="AQ402" s="65"/>
      <c r="AR402" s="65"/>
      <c r="AS402" s="65"/>
      <c r="AT402" s="71"/>
      <c r="AU402" s="69" t="str">
        <f>IF(AM380&lt;&gt;1,"DOLARES,  ","PESO  ")</f>
        <v xml:space="preserve">DOLARES,  </v>
      </c>
      <c r="AV402" s="65"/>
      <c r="AW402" s="65"/>
      <c r="AX402" s="68"/>
      <c r="AY402" s="13"/>
    </row>
    <row r="403" spans="39:51" ht="13.8" thickBot="1" x14ac:dyDescent="0.3">
      <c r="AM403" s="64"/>
      <c r="AN403" s="65"/>
      <c r="AO403" s="65"/>
      <c r="AP403" s="65"/>
      <c r="AQ403" s="65"/>
      <c r="AR403" s="65"/>
      <c r="AS403" s="65"/>
      <c r="AT403" s="65"/>
      <c r="AU403" s="65"/>
      <c r="AV403" s="65"/>
      <c r="AW403" s="65"/>
      <c r="AX403" s="68"/>
      <c r="AY403" s="13"/>
    </row>
    <row r="404" spans="39:51" x14ac:dyDescent="0.25">
      <c r="AM404" s="91"/>
      <c r="AN404" s="92"/>
      <c r="AO404" s="93" t="s">
        <v>10</v>
      </c>
      <c r="AP404" s="94"/>
      <c r="AQ404" s="93"/>
      <c r="AR404" s="94"/>
      <c r="AS404" s="95"/>
      <c r="AT404" s="65"/>
      <c r="AU404" s="65"/>
      <c r="AV404" s="65"/>
      <c r="AW404" s="65"/>
      <c r="AX404" s="68"/>
      <c r="AY404" s="13"/>
    </row>
    <row r="405" spans="39:51" x14ac:dyDescent="0.25">
      <c r="AM405" s="96" t="str">
        <f>FIXED(AM380)</f>
        <v>13,865.03</v>
      </c>
      <c r="AN405" s="65"/>
      <c r="AO405" s="97" t="s">
        <v>11</v>
      </c>
      <c r="AP405" s="97" t="s">
        <v>12</v>
      </c>
      <c r="AQ405" s="97" t="s">
        <v>13</v>
      </c>
      <c r="AR405" s="98" t="s">
        <v>14</v>
      </c>
      <c r="AS405" s="99" t="s">
        <v>15</v>
      </c>
      <c r="AT405" s="65"/>
      <c r="AU405" s="65"/>
      <c r="AV405" s="65"/>
      <c r="AW405" s="65"/>
      <c r="AX405" s="68"/>
      <c r="AY405" s="13"/>
    </row>
    <row r="406" spans="39:51" x14ac:dyDescent="0.25">
      <c r="AM406" s="64"/>
      <c r="AN406" s="100">
        <v>1</v>
      </c>
      <c r="AO406" s="100">
        <v>8</v>
      </c>
      <c r="AP406" s="100">
        <v>9</v>
      </c>
      <c r="AQ406" s="100">
        <v>10</v>
      </c>
      <c r="AR406" s="100">
        <v>11</v>
      </c>
      <c r="AS406" s="99"/>
      <c r="AT406" s="65"/>
      <c r="AU406" s="65"/>
      <c r="AV406" s="65"/>
      <c r="AW406" s="65"/>
      <c r="AX406" s="68"/>
      <c r="AY406" s="13"/>
    </row>
    <row r="407" spans="39:51" x14ac:dyDescent="0.25">
      <c r="AM407" s="101" t="s">
        <v>16</v>
      </c>
      <c r="AN407" s="65">
        <v>1</v>
      </c>
      <c r="AO407" s="102" t="s">
        <v>17</v>
      </c>
      <c r="AP407" s="102" t="s">
        <v>18</v>
      </c>
      <c r="AQ407" s="102" t="s">
        <v>19</v>
      </c>
      <c r="AR407" s="102" t="s">
        <v>20</v>
      </c>
      <c r="AS407" s="99"/>
      <c r="AT407" s="65"/>
      <c r="AU407" s="65"/>
      <c r="AV407" s="65"/>
      <c r="AW407" s="65"/>
      <c r="AX407" s="68"/>
      <c r="AY407" s="13"/>
    </row>
    <row r="408" spans="39:51" x14ac:dyDescent="0.25">
      <c r="AM408" s="101" t="s">
        <v>21</v>
      </c>
      <c r="AN408" s="65">
        <v>2</v>
      </c>
      <c r="AO408" s="102" t="s">
        <v>22</v>
      </c>
      <c r="AP408" s="102" t="s">
        <v>23</v>
      </c>
      <c r="AQ408" s="102" t="s">
        <v>24</v>
      </c>
      <c r="AR408" s="102" t="s">
        <v>25</v>
      </c>
      <c r="AS408" s="99"/>
      <c r="AT408" s="65"/>
      <c r="AU408" s="65"/>
      <c r="AV408" s="65"/>
      <c r="AW408" s="65"/>
      <c r="AX408" s="68"/>
      <c r="AY408" s="13"/>
    </row>
    <row r="409" spans="39:51" x14ac:dyDescent="0.25">
      <c r="AM409" s="101" t="s">
        <v>26</v>
      </c>
      <c r="AN409" s="65">
        <v>3</v>
      </c>
      <c r="AO409" s="102" t="s">
        <v>27</v>
      </c>
      <c r="AP409" s="102" t="s">
        <v>28</v>
      </c>
      <c r="AQ409" s="102" t="s">
        <v>29</v>
      </c>
      <c r="AR409" s="102" t="s">
        <v>30</v>
      </c>
      <c r="AS409" s="99"/>
      <c r="AT409" s="65"/>
      <c r="AU409" s="65"/>
      <c r="AV409" s="65"/>
      <c r="AW409" s="65"/>
      <c r="AX409" s="68"/>
      <c r="AY409" s="13"/>
    </row>
    <row r="410" spans="39:51" x14ac:dyDescent="0.25">
      <c r="AM410" s="101" t="s">
        <v>31</v>
      </c>
      <c r="AN410" s="65">
        <v>4</v>
      </c>
      <c r="AO410" s="102" t="s">
        <v>32</v>
      </c>
      <c r="AP410" s="102" t="s">
        <v>33</v>
      </c>
      <c r="AQ410" s="102" t="s">
        <v>34</v>
      </c>
      <c r="AR410" s="102" t="s">
        <v>35</v>
      </c>
      <c r="AS410" s="99"/>
      <c r="AT410" s="65"/>
      <c r="AU410" s="65"/>
      <c r="AV410" s="65"/>
      <c r="AW410" s="65"/>
      <c r="AX410" s="68"/>
      <c r="AY410" s="13"/>
    </row>
    <row r="411" spans="39:51" x14ac:dyDescent="0.25">
      <c r="AM411" s="101" t="s">
        <v>36</v>
      </c>
      <c r="AN411" s="65">
        <v>5</v>
      </c>
      <c r="AO411" s="102" t="s">
        <v>37</v>
      </c>
      <c r="AP411" s="102" t="s">
        <v>38</v>
      </c>
      <c r="AQ411" s="102" t="s">
        <v>39</v>
      </c>
      <c r="AR411" s="102" t="s">
        <v>40</v>
      </c>
      <c r="AS411" s="99"/>
      <c r="AT411" s="65"/>
      <c r="AU411" s="65"/>
      <c r="AV411" s="65"/>
      <c r="AW411" s="65"/>
      <c r="AX411" s="68"/>
      <c r="AY411" s="13"/>
    </row>
    <row r="412" spans="39:51" x14ac:dyDescent="0.25">
      <c r="AM412" s="101" t="s">
        <v>41</v>
      </c>
      <c r="AN412" s="65">
        <v>6</v>
      </c>
      <c r="AO412" s="102" t="s">
        <v>42</v>
      </c>
      <c r="AP412" s="102" t="s">
        <v>43</v>
      </c>
      <c r="AQ412" s="102" t="s">
        <v>44</v>
      </c>
      <c r="AR412" s="102" t="s">
        <v>45</v>
      </c>
      <c r="AS412" s="99"/>
      <c r="AT412" s="65"/>
      <c r="AU412" s="65"/>
      <c r="AV412" s="65"/>
      <c r="AW412" s="65"/>
      <c r="AX412" s="68"/>
      <c r="AY412" s="13"/>
    </row>
    <row r="413" spans="39:51" x14ac:dyDescent="0.25">
      <c r="AM413" s="101" t="s">
        <v>46</v>
      </c>
      <c r="AN413" s="65">
        <v>7</v>
      </c>
      <c r="AO413" s="102" t="s">
        <v>47</v>
      </c>
      <c r="AP413" s="102" t="s">
        <v>48</v>
      </c>
      <c r="AQ413" s="102" t="s">
        <v>49</v>
      </c>
      <c r="AR413" s="102" t="s">
        <v>50</v>
      </c>
      <c r="AS413" s="99"/>
      <c r="AT413" s="65"/>
      <c r="AU413" s="65"/>
      <c r="AV413" s="65"/>
      <c r="AW413" s="65"/>
      <c r="AX413" s="68"/>
      <c r="AY413" s="13"/>
    </row>
    <row r="414" spans="39:51" x14ac:dyDescent="0.25">
      <c r="AM414" s="101" t="s">
        <v>51</v>
      </c>
      <c r="AN414" s="65">
        <v>8</v>
      </c>
      <c r="AO414" s="102" t="s">
        <v>52</v>
      </c>
      <c r="AP414" s="102" t="s">
        <v>53</v>
      </c>
      <c r="AQ414" s="102" t="s">
        <v>54</v>
      </c>
      <c r="AR414" s="102" t="s">
        <v>55</v>
      </c>
      <c r="AS414" s="99"/>
      <c r="AT414" s="65"/>
      <c r="AU414" s="65"/>
      <c r="AV414" s="65"/>
      <c r="AW414" s="65"/>
      <c r="AX414" s="68"/>
      <c r="AY414" s="13"/>
    </row>
    <row r="415" spans="39:51" x14ac:dyDescent="0.25">
      <c r="AM415" s="101" t="s">
        <v>56</v>
      </c>
      <c r="AN415" s="65">
        <v>9</v>
      </c>
      <c r="AO415" s="102" t="s">
        <v>57</v>
      </c>
      <c r="AP415" s="102" t="s">
        <v>58</v>
      </c>
      <c r="AQ415" s="102" t="s">
        <v>59</v>
      </c>
      <c r="AR415" s="102" t="s">
        <v>60</v>
      </c>
      <c r="AS415" s="99"/>
      <c r="AT415" s="65"/>
      <c r="AU415" s="65"/>
      <c r="AV415" s="65"/>
      <c r="AW415" s="65"/>
      <c r="AX415" s="68"/>
      <c r="AY415" s="13"/>
    </row>
    <row r="416" spans="39:51" x14ac:dyDescent="0.25">
      <c r="AM416" s="101" t="s">
        <v>61</v>
      </c>
      <c r="AN416" s="65"/>
      <c r="AO416" s="65"/>
      <c r="AP416" s="65"/>
      <c r="AQ416" s="65"/>
      <c r="AR416" s="65"/>
      <c r="AS416" s="99"/>
      <c r="AT416" s="65"/>
      <c r="AU416" s="65"/>
      <c r="AV416" s="65"/>
      <c r="AW416" s="65"/>
      <c r="AX416" s="68"/>
      <c r="AY416" s="13"/>
    </row>
    <row r="417" spans="39:51" x14ac:dyDescent="0.25">
      <c r="AM417" s="101" t="s">
        <v>62</v>
      </c>
      <c r="AN417" s="65">
        <v>1</v>
      </c>
      <c r="AO417" s="65">
        <v>2</v>
      </c>
      <c r="AP417" s="65">
        <v>3</v>
      </c>
      <c r="AQ417" s="65">
        <v>4</v>
      </c>
      <c r="AR417" s="65">
        <v>5</v>
      </c>
      <c r="AS417" s="99"/>
      <c r="AT417" s="65"/>
      <c r="AU417" s="65"/>
      <c r="AV417" s="65"/>
      <c r="AW417" s="65"/>
      <c r="AX417" s="68"/>
      <c r="AY417" s="13"/>
    </row>
    <row r="418" spans="39:51" x14ac:dyDescent="0.25">
      <c r="AM418" s="101" t="s">
        <v>63</v>
      </c>
      <c r="AN418" s="65"/>
      <c r="AO418" s="65"/>
      <c r="AP418" s="65"/>
      <c r="AQ418" s="65"/>
      <c r="AR418" s="65"/>
      <c r="AS418" s="99"/>
      <c r="AT418" s="65"/>
      <c r="AU418" s="65"/>
      <c r="AV418" s="65"/>
      <c r="AW418" s="65"/>
      <c r="AX418" s="68"/>
      <c r="AY418" s="13"/>
    </row>
    <row r="419" spans="39:51" ht="13.8" thickBot="1" x14ac:dyDescent="0.3">
      <c r="AM419" s="103"/>
      <c r="AN419" s="87"/>
      <c r="AO419" s="87"/>
      <c r="AP419" s="87"/>
      <c r="AQ419" s="87"/>
      <c r="AR419" s="87"/>
      <c r="AS419" s="104"/>
      <c r="AT419" s="65"/>
      <c r="AU419" s="65"/>
      <c r="AV419" s="65"/>
      <c r="AW419" s="65"/>
      <c r="AX419" s="68"/>
      <c r="AY419" s="13"/>
    </row>
    <row r="420" spans="39:51" ht="13.8" thickBot="1" x14ac:dyDescent="0.3">
      <c r="AM420" s="105"/>
      <c r="AN420" s="106"/>
      <c r="AO420" s="106"/>
      <c r="AP420" s="106"/>
      <c r="AQ420" s="106"/>
      <c r="AR420" s="106"/>
      <c r="AS420" s="106"/>
      <c r="AT420" s="106"/>
      <c r="AU420" s="106"/>
      <c r="AV420" s="106"/>
      <c r="AW420" s="106"/>
      <c r="AX420" s="107"/>
      <c r="AY420" s="13"/>
    </row>
    <row r="421" spans="39:51" ht="13.8" thickTop="1" x14ac:dyDescent="0.25"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</row>
    <row r="422" spans="39:51" x14ac:dyDescent="0.25"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</row>
    <row r="423" spans="39:51" x14ac:dyDescent="0.25"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</row>
    <row r="424" spans="39:51" x14ac:dyDescent="0.25">
      <c r="AM424" s="3" t="s">
        <v>3</v>
      </c>
      <c r="AN424" s="3"/>
      <c r="AO424" s="3" t="s">
        <v>4</v>
      </c>
      <c r="AP424" s="3"/>
      <c r="AQ424" s="3"/>
      <c r="AR424" s="3"/>
      <c r="AS424" s="3"/>
      <c r="AT424" s="3"/>
      <c r="AU424" s="3"/>
      <c r="AV424" s="3"/>
      <c r="AW424" s="3"/>
      <c r="AX424" s="3"/>
      <c r="AY424" s="2"/>
    </row>
    <row r="425" spans="39:51" x14ac:dyDescent="0.25">
      <c r="AM425" s="5">
        <f>DETALLE!K6</f>
        <v>13865.0265</v>
      </c>
      <c r="AN425" s="3"/>
      <c r="AO425" s="6" t="str">
        <f>CONCATENATE(AT428,AW441,AW440,AW437,AW436,AW433,AU431,AU430,AU429,AU428)</f>
        <v>(  DIEZ  TRECE  MIL OCHOCIENTOS SESENTA  Y CINCO  PESOS,  03/100 M.N.  )</v>
      </c>
      <c r="AP425" s="6"/>
      <c r="AQ425" s="6"/>
      <c r="AR425" s="6"/>
      <c r="AS425" s="6"/>
      <c r="AT425" s="6"/>
      <c r="AU425" s="6"/>
      <c r="AV425" s="6"/>
      <c r="AW425" s="6"/>
      <c r="AX425" s="6"/>
      <c r="AY425" s="2"/>
    </row>
    <row r="426" spans="39:51" ht="13.8" thickBot="1" x14ac:dyDescent="0.3">
      <c r="AM426" s="8"/>
      <c r="AN426" s="3"/>
      <c r="AO426" s="9" t="str">
        <f>CONCATENATE(AT428,AW441,AW440,AW437,AW436,AW433,AU431,AU447,AU446,AU428)</f>
        <v>(  DIEZ  TRECE  MIL OCHOCIENTOS SESENTA  Y CINCO  03/100 U.S. Cy  )</v>
      </c>
      <c r="AP426" s="3"/>
      <c r="AQ426" s="3"/>
      <c r="AR426" s="3"/>
      <c r="AS426" s="3"/>
      <c r="AT426" s="3"/>
      <c r="AU426" s="3"/>
      <c r="AV426" s="3"/>
      <c r="AW426" s="3"/>
      <c r="AX426" s="3"/>
      <c r="AY426" s="4"/>
    </row>
    <row r="427" spans="39:51" ht="13.8" thickTop="1" x14ac:dyDescent="0.25">
      <c r="AM427" s="10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2"/>
      <c r="AY427" s="7"/>
    </row>
    <row r="428" spans="39:51" x14ac:dyDescent="0.25">
      <c r="AM428" s="14" t="str">
        <f>RIGHT(AM430)</f>
        <v>3</v>
      </c>
      <c r="AN428" s="13"/>
      <c r="AO428" s="13"/>
      <c r="AP428" s="13"/>
      <c r="AQ428" s="13"/>
      <c r="AR428" s="13"/>
      <c r="AS428" s="13"/>
      <c r="AT428" s="15" t="s">
        <v>5</v>
      </c>
      <c r="AU428" s="16" t="s">
        <v>6</v>
      </c>
      <c r="AV428" s="13"/>
      <c r="AW428" s="13"/>
      <c r="AX428" s="17"/>
      <c r="AY428" s="4"/>
    </row>
    <row r="429" spans="39:51" x14ac:dyDescent="0.25">
      <c r="AM429" s="14"/>
      <c r="AN429" s="13"/>
      <c r="AO429" s="13"/>
      <c r="AP429" s="16" t="s">
        <v>7</v>
      </c>
      <c r="AQ429" s="13"/>
      <c r="AR429" s="13"/>
      <c r="AS429" s="13"/>
      <c r="AT429" s="13"/>
      <c r="AU429" s="18" t="str">
        <f>CONCATENATE(AP431,AP430,AP429)</f>
        <v>03/100 M.N.</v>
      </c>
      <c r="AV429" s="13"/>
      <c r="AW429" s="13"/>
      <c r="AX429" s="17"/>
      <c r="AY429" s="13"/>
    </row>
    <row r="430" spans="39:51" x14ac:dyDescent="0.25">
      <c r="AM430" s="14" t="str">
        <f>RIGHT(AM450,AN430)</f>
        <v>3</v>
      </c>
      <c r="AN430" s="13">
        <v>1</v>
      </c>
      <c r="AO430" s="19" t="str">
        <f>MID(AM430,1,1)</f>
        <v>3</v>
      </c>
      <c r="AP430" s="13">
        <f>IF(VLOOKUP(AO430,AM452:AN463,2,FALSE)=0,0,VLOOKUP(AO430,AM452:AN463,2,FALSE))</f>
        <v>3</v>
      </c>
      <c r="AQ430" s="13"/>
      <c r="AR430" s="13"/>
      <c r="AS430" s="20"/>
      <c r="AT430" s="20"/>
      <c r="AU430" s="18" t="str">
        <f>IF(AM425&lt;&gt;1,"PESOS,  ","PESO  ")</f>
        <v xml:space="preserve">PESOS,  </v>
      </c>
      <c r="AV430" s="18"/>
      <c r="AW430" s="13"/>
      <c r="AX430" s="17"/>
      <c r="AY430" s="13"/>
    </row>
    <row r="431" spans="39:51" x14ac:dyDescent="0.25">
      <c r="AM431" s="14" t="str">
        <f>RIGHT(AM450,AN431)</f>
        <v>03</v>
      </c>
      <c r="AN431" s="13">
        <v>2</v>
      </c>
      <c r="AO431" s="19" t="str">
        <f>MID(AM431,1,1)</f>
        <v>0</v>
      </c>
      <c r="AP431" s="13">
        <f>IF(VLOOKUP(AO431,AM452:AN463,2,FALSE)=0,0,VLOOKUP(AO431,AM452:AN463,2,FALSE))</f>
        <v>0</v>
      </c>
      <c r="AQ431" s="13"/>
      <c r="AR431" s="13"/>
      <c r="AS431" s="18" t="str">
        <f>IF(SUM(AP433:AP443)=0,"CERO  ","")</f>
        <v/>
      </c>
      <c r="AT431" s="18" t="str">
        <f>IF(AP433&gt;2,"Y ","")</f>
        <v xml:space="preserve">Y </v>
      </c>
      <c r="AU431" s="18" t="str">
        <f>IF(SUM(AP433:AP443)=0,AS431,"")</f>
        <v/>
      </c>
      <c r="AV431" s="13"/>
      <c r="AW431" s="13"/>
      <c r="AX431" s="17"/>
      <c r="AY431" s="13"/>
    </row>
    <row r="432" spans="39:51" ht="13.8" thickBot="1" x14ac:dyDescent="0.3">
      <c r="AM432" s="14" t="str">
        <f>RIGHT(AM450,AN432)</f>
        <v>.03</v>
      </c>
      <c r="AN432" s="13">
        <v>3</v>
      </c>
      <c r="AO432" s="19" t="str">
        <f>MID(AM432,1,1)</f>
        <v>.</v>
      </c>
      <c r="AP432" s="13">
        <f>IF(VLOOKUP(AO432,AM452:AN463,2,FALSE)=0,0,VLOOKUP(AO432,AM452:AN463,2,FALSE))</f>
        <v>1</v>
      </c>
      <c r="AQ432" s="13"/>
      <c r="AR432" s="19">
        <v>1</v>
      </c>
      <c r="AS432" s="19">
        <v>2</v>
      </c>
      <c r="AT432" s="19">
        <v>3</v>
      </c>
      <c r="AU432" s="19">
        <v>4</v>
      </c>
      <c r="AV432" s="19"/>
      <c r="AW432" s="13"/>
      <c r="AX432" s="17"/>
      <c r="AY432" s="13"/>
    </row>
    <row r="433" spans="39:51" x14ac:dyDescent="0.25">
      <c r="AM433" s="21" t="str">
        <f>RIGHT(AM450,AN433)</f>
        <v>5.03</v>
      </c>
      <c r="AN433" s="22">
        <v>4</v>
      </c>
      <c r="AO433" s="23" t="str">
        <f t="shared" ref="AO433:AO443" si="2">IF(AM433=AM432,"0",MID(AM433,1,1))</f>
        <v>5</v>
      </c>
      <c r="AP433" s="24">
        <f>IF(VLOOKUP(AO433,AM452:AN463,2,FALSE)=0,0,VLOOKUP(AO433,AM452:AN463,2,FALSE))</f>
        <v>5</v>
      </c>
      <c r="AQ433" s="13"/>
      <c r="AR433" s="25" t="str">
        <f>IF(AP433=0,"",VLOOKUP(AP433,AN452:AR461,4,FALSE))</f>
        <v xml:space="preserve">CINCO  </v>
      </c>
      <c r="AS433" s="26" t="str">
        <f>IF(AP434=1,VLOOKUP(AP433,AN452:AR461,5,FALSE),VLOOKUP(AP433,AN452:AR461,4,FALSE))</f>
        <v xml:space="preserve">CINCO  </v>
      </c>
      <c r="AT433" s="26" t="str">
        <f>IF(AP434=1,AS433,AR433)</f>
        <v xml:space="preserve">CINCO  </v>
      </c>
      <c r="AU433" s="27" t="str">
        <f>IF(AP433=0,AR433,AT433)</f>
        <v xml:space="preserve">CINCO  </v>
      </c>
      <c r="AV433" s="13" t="str">
        <f>IF(AND(AP434&gt;2,AP433&gt;0),"Y ","")</f>
        <v xml:space="preserve">Y </v>
      </c>
      <c r="AW433" s="13" t="str">
        <f>CONCATENATE(AU435,AU434,AV433,AU433)</f>
        <v xml:space="preserve">OCHOCIENTOS SESENTA  Y CINCO  </v>
      </c>
      <c r="AX433" s="17"/>
      <c r="AY433" s="13"/>
    </row>
    <row r="434" spans="39:51" x14ac:dyDescent="0.25">
      <c r="AM434" s="14" t="str">
        <f>RIGHT(AM450,AN434)</f>
        <v>65.03</v>
      </c>
      <c r="AN434" s="13">
        <v>5</v>
      </c>
      <c r="AO434" s="19" t="str">
        <f t="shared" si="2"/>
        <v>6</v>
      </c>
      <c r="AP434" s="28">
        <f>IF(VLOOKUP(AO434,AM452:AN463,2,FALSE)=0,0,VLOOKUP(AO434,AM452:AN463,2,FALSE))</f>
        <v>6</v>
      </c>
      <c r="AQ434" s="13"/>
      <c r="AR434" s="29" t="str">
        <f>IF(AP434=0,"",VLOOKUP(AP434,AN452:AR461,3,FALSE))</f>
        <v xml:space="preserve">SESENTA  </v>
      </c>
      <c r="AS434" s="18" t="str">
        <f>IF($G434=1,"",AR434)</f>
        <v xml:space="preserve">SESENTA  </v>
      </c>
      <c r="AT434" s="18" t="str">
        <f>IF(AP434=2,AS450,AS434)</f>
        <v xml:space="preserve">SESENTA  </v>
      </c>
      <c r="AU434" s="30" t="str">
        <f>IF(AP433=0,AR434,AT434)</f>
        <v xml:space="preserve">SESENTA  </v>
      </c>
      <c r="AV434" s="18"/>
      <c r="AW434" s="18"/>
      <c r="AX434" s="17"/>
      <c r="AY434" s="13"/>
    </row>
    <row r="435" spans="39:51" ht="13.8" thickBot="1" x14ac:dyDescent="0.3">
      <c r="AM435" s="31" t="str">
        <f>RIGHT(AM450,AN435)</f>
        <v>865.03</v>
      </c>
      <c r="AN435" s="32">
        <v>6</v>
      </c>
      <c r="AO435" s="33" t="str">
        <f t="shared" si="2"/>
        <v>8</v>
      </c>
      <c r="AP435" s="34">
        <f>IF(VLOOKUP(AO435,AM452:AN463,2,FALSE)=0,0,VLOOKUP(AO435,AM452:AN463,2,FALSE))</f>
        <v>8</v>
      </c>
      <c r="AQ435" s="13"/>
      <c r="AR435" s="35" t="str">
        <f>IF(AP435=0,"",VLOOKUP(AP435,AN452:AR461,2,FALSE))</f>
        <v xml:space="preserve">OCHOCIENTOS </v>
      </c>
      <c r="AS435" s="36"/>
      <c r="AT435" s="37" t="str">
        <f>IF(AP435=1,AO449,AR435)</f>
        <v xml:space="preserve">OCHOCIENTOS </v>
      </c>
      <c r="AU435" s="38" t="str">
        <f>IF(AP433+AP434=0,AR435,AT435)</f>
        <v xml:space="preserve">OCHOCIENTOS </v>
      </c>
      <c r="AV435" s="18"/>
      <c r="AW435" s="18"/>
      <c r="AX435" s="17"/>
      <c r="AY435" s="13"/>
    </row>
    <row r="436" spans="39:51" ht="13.8" thickBot="1" x14ac:dyDescent="0.3">
      <c r="AM436" s="14" t="str">
        <f>RIGHT(AM450,AN436)</f>
        <v>,865.03</v>
      </c>
      <c r="AN436" s="13">
        <v>7</v>
      </c>
      <c r="AO436" s="19" t="str">
        <f t="shared" si="2"/>
        <v>,</v>
      </c>
      <c r="AP436" s="13">
        <f>IF(VLOOKUP(AO436,AM452:AN463,2,FALSE)=0,0,VLOOKUP(AO436,AM452:AN463,2,FALSE))</f>
        <v>0</v>
      </c>
      <c r="AQ436" s="13"/>
      <c r="AR436" s="18" t="str">
        <f>IF(SUM(AP437:AP439)=0,"","MIL ")</f>
        <v xml:space="preserve">MIL </v>
      </c>
      <c r="AS436" s="18"/>
      <c r="AT436" s="18"/>
      <c r="AU436" s="18"/>
      <c r="AV436" s="18"/>
      <c r="AW436" s="18" t="str">
        <f>AR436</f>
        <v xml:space="preserve">MIL </v>
      </c>
      <c r="AX436" s="17"/>
      <c r="AY436" s="13"/>
    </row>
    <row r="437" spans="39:51" x14ac:dyDescent="0.25">
      <c r="AM437" s="21" t="str">
        <f>RIGHT(AM450,AN437)</f>
        <v>3,865.03</v>
      </c>
      <c r="AN437" s="22">
        <v>8</v>
      </c>
      <c r="AO437" s="23" t="str">
        <f t="shared" si="2"/>
        <v>3</v>
      </c>
      <c r="AP437" s="24">
        <f>IF(VLOOKUP(AO437,AM452:AN463,2,FALSE)=0,0,VLOOKUP(AO437,AM452:AN463,2,FALSE))</f>
        <v>3</v>
      </c>
      <c r="AQ437" s="13"/>
      <c r="AR437" s="25" t="str">
        <f>IF(AP437=0,"",VLOOKUP(AP437,AN452:AR461,4,FALSE))</f>
        <v xml:space="preserve">TRES  </v>
      </c>
      <c r="AS437" s="26" t="str">
        <f>IF(AP438=1,VLOOKUP(AP437,AN452:AR461,5,FALSE),VLOOKUP(AP437,AN452:AR461,4,FALSE))</f>
        <v xml:space="preserve">TRECE  </v>
      </c>
      <c r="AT437" s="26" t="str">
        <f>IF(AP438=1,AS437,AR437)</f>
        <v xml:space="preserve">TRECE  </v>
      </c>
      <c r="AU437" s="27" t="str">
        <f>IF(AP437=0,AR437,AT437)</f>
        <v xml:space="preserve">TRECE  </v>
      </c>
      <c r="AV437" s="13" t="str">
        <f>IF(AND(AP438&gt;2,AP437&gt;0),"Y ","")</f>
        <v/>
      </c>
      <c r="AW437" s="13" t="str">
        <f>CONCATENATE(AU439,AU438,AV437,AU437)</f>
        <v xml:space="preserve">DIEZ  TRECE  </v>
      </c>
      <c r="AX437" s="17"/>
      <c r="AY437" s="13"/>
    </row>
    <row r="438" spans="39:51" x14ac:dyDescent="0.25">
      <c r="AM438" s="14" t="str">
        <f>RIGHT(AM450,AN438)</f>
        <v>13,865.03</v>
      </c>
      <c r="AN438" s="13">
        <v>9</v>
      </c>
      <c r="AO438" s="19" t="str">
        <f t="shared" si="2"/>
        <v>1</v>
      </c>
      <c r="AP438" s="28">
        <f>IF(VLOOKUP(AO438,AM452:AN463,2,FALSE)=0,0,VLOOKUP(AO438,AM452:AN463,2,FALSE))</f>
        <v>1</v>
      </c>
      <c r="AQ438" s="13"/>
      <c r="AR438" s="29" t="str">
        <f>IF(AP438=0,"",VLOOKUP(AP438,AN452:AR461,3,FALSE))</f>
        <v xml:space="preserve">DIEZ  </v>
      </c>
      <c r="AS438" s="18" t="str">
        <f>IF($G438=1,"",AR438)</f>
        <v xml:space="preserve">DIEZ  </v>
      </c>
      <c r="AT438" s="18" t="str">
        <f>IF(AP438=2,AS450,AS438)</f>
        <v xml:space="preserve">DIEZ  </v>
      </c>
      <c r="AU438" s="30" t="str">
        <f>IF(AP437=0,AR438,AT438)</f>
        <v xml:space="preserve">DIEZ  </v>
      </c>
      <c r="AV438" s="18"/>
      <c r="AW438" s="18"/>
      <c r="AX438" s="17"/>
      <c r="AY438" s="13"/>
    </row>
    <row r="439" spans="39:51" ht="13.8" thickBot="1" x14ac:dyDescent="0.3">
      <c r="AM439" s="31" t="str">
        <f>RIGHT(AM450,AN439)</f>
        <v>13,865.03</v>
      </c>
      <c r="AN439" s="32">
        <v>10</v>
      </c>
      <c r="AO439" s="33" t="str">
        <f t="shared" si="2"/>
        <v>0</v>
      </c>
      <c r="AP439" s="34">
        <f>IF(VLOOKUP(AO439,AM452:AN463,2,FALSE)=0,0,VLOOKUP(AO439,AM452:AN463,2,FALSE))</f>
        <v>0</v>
      </c>
      <c r="AQ439" s="13"/>
      <c r="AR439" s="35" t="str">
        <f>IF(AP439=0,"",VLOOKUP(AP439,AN452:AR463,2,FALSE))</f>
        <v/>
      </c>
      <c r="AS439" s="36"/>
      <c r="AT439" s="37" t="str">
        <f>IF(AP439=1,AO449,AR439)</f>
        <v/>
      </c>
      <c r="AU439" s="38" t="str">
        <f>IF(AP437+AP438=0,AR439,AT439)</f>
        <v/>
      </c>
      <c r="AV439" s="18"/>
      <c r="AW439" s="18"/>
      <c r="AX439" s="17"/>
      <c r="AY439" s="13"/>
    </row>
    <row r="440" spans="39:51" ht="13.8" thickBot="1" x14ac:dyDescent="0.3">
      <c r="AM440" s="14" t="str">
        <f>RIGHT(AM450,AN440)</f>
        <v>13,865.03</v>
      </c>
      <c r="AN440" s="13">
        <v>11</v>
      </c>
      <c r="AO440" s="19" t="str">
        <f t="shared" si="2"/>
        <v>0</v>
      </c>
      <c r="AP440" s="13">
        <f>IF(VLOOKUP(AO440,AM452:AN463,2,FALSE)=0,0,VLOOKUP(AO440,AM452:AN463,2,FALSE))</f>
        <v>0</v>
      </c>
      <c r="AQ440" s="13"/>
      <c r="AR440" s="18" t="str">
        <f>IF(AM425&gt;1999999.99,"MILLONES","MILLON")</f>
        <v>MILLON</v>
      </c>
      <c r="AS440" s="18"/>
      <c r="AT440" s="18"/>
      <c r="AU440" s="18"/>
      <c r="AV440" s="18" t="str">
        <f>IF(SUM(AP441:AP443)&gt;0,AR440,"")</f>
        <v/>
      </c>
      <c r="AW440" s="13" t="str">
        <f>CONCATENATE(AV440," ",AV442)</f>
        <v xml:space="preserve">  </v>
      </c>
      <c r="AX440" s="17"/>
      <c r="AY440" s="13"/>
    </row>
    <row r="441" spans="39:51" x14ac:dyDescent="0.25">
      <c r="AM441" s="21" t="str">
        <f>RIGHT(AM450,AN441)</f>
        <v>13,865.03</v>
      </c>
      <c r="AN441" s="22">
        <v>12</v>
      </c>
      <c r="AO441" s="23" t="str">
        <f t="shared" si="2"/>
        <v>0</v>
      </c>
      <c r="AP441" s="24">
        <f>IF(VLOOKUP(AO441,AM452:AN463,2,FALSE)=0,0,VLOOKUP(AO441,AM452:AN463,2,FALSE))</f>
        <v>0</v>
      </c>
      <c r="AQ441" s="13"/>
      <c r="AR441" s="25" t="str">
        <f>IF(AP441=0,"",VLOOKUP(AP441,$C$44:$I$51,4,FALSE))</f>
        <v/>
      </c>
      <c r="AS441" s="26" t="e">
        <f>IF(AP442=1,VLOOKUP(AP441,AN452:AR461,5,FALSE),VLOOKUP(AP441,AN452:AR461,4,FALSE))</f>
        <v>#N/A</v>
      </c>
      <c r="AT441" s="26" t="str">
        <f>IF(AP442=1,AS441,AR441)</f>
        <v/>
      </c>
      <c r="AU441" s="27" t="str">
        <f>IF(AP441=0,AR441,AT441)</f>
        <v/>
      </c>
      <c r="AV441" s="13" t="str">
        <f>IF(AND(AP442&gt;2,AP441&gt;0),"Y ","")</f>
        <v/>
      </c>
      <c r="AW441" s="13" t="str">
        <f>CONCATENATE(AU443,AU442,AV441,AU441)</f>
        <v/>
      </c>
      <c r="AX441" s="17"/>
      <c r="AY441" s="13"/>
    </row>
    <row r="442" spans="39:51" x14ac:dyDescent="0.25">
      <c r="AM442" s="14" t="str">
        <f>RIGHT(AM450,AN442)</f>
        <v>13,865.03</v>
      </c>
      <c r="AN442" s="13">
        <v>13</v>
      </c>
      <c r="AO442" s="19" t="str">
        <f t="shared" si="2"/>
        <v>0</v>
      </c>
      <c r="AP442" s="28">
        <f>IF(VLOOKUP(AO442,AM452:AN463,2,FALSE)=0,0,VLOOKUP(AO442,AM452:AN463,2,FALSE))</f>
        <v>0</v>
      </c>
      <c r="AQ442" s="13"/>
      <c r="AR442" s="29" t="str">
        <f>IF(AP442=0,"",VLOOKUP(AP442,AN452:AR461,3,FALSE))</f>
        <v/>
      </c>
      <c r="AS442" s="18" t="str">
        <f>IF($G442=1,"",AR442)</f>
        <v/>
      </c>
      <c r="AT442" s="18" t="str">
        <f>IF($G442=2,AS450,AS442)</f>
        <v/>
      </c>
      <c r="AU442" s="30" t="str">
        <f>IF(AP441=0,AR442,AT442)</f>
        <v/>
      </c>
      <c r="AV442" s="13" t="str">
        <f>IF(AND(AM425&gt;0.99,SUM(AP441:AP443)&gt;0),IF(SUM(AP433:AP439)&gt;0," ","DE ")," ")</f>
        <v xml:space="preserve"> </v>
      </c>
      <c r="AW442" s="18"/>
      <c r="AX442" s="17"/>
      <c r="AY442" s="13"/>
    </row>
    <row r="443" spans="39:51" ht="13.8" thickBot="1" x14ac:dyDescent="0.3">
      <c r="AM443" s="31" t="str">
        <f>RIGHT(AM450,AN443)</f>
        <v>13,865.03</v>
      </c>
      <c r="AN443" s="32">
        <v>14</v>
      </c>
      <c r="AO443" s="33" t="str">
        <f t="shared" si="2"/>
        <v>0</v>
      </c>
      <c r="AP443" s="34">
        <f>IF(VLOOKUP(AO443,AM452:AN463,2,FALSE)=0,0,VLOOKUP(AO443,AM452:AN463,2,FALSE))</f>
        <v>0</v>
      </c>
      <c r="AQ443" s="13"/>
      <c r="AR443" s="35" t="str">
        <f>IF(AP443=0,"",VLOOKUP(AP443,AN452:AR464,2,FALSE))</f>
        <v/>
      </c>
      <c r="AS443" s="36"/>
      <c r="AT443" s="37" t="str">
        <f>IF(AP443=1,AO449,AR443)</f>
        <v/>
      </c>
      <c r="AU443" s="38" t="str">
        <f>IF(AP441+AP442=0,AR443,AT443)</f>
        <v/>
      </c>
      <c r="AV443" s="13"/>
      <c r="AW443" s="18"/>
      <c r="AX443" s="17"/>
      <c r="AY443" s="13"/>
    </row>
    <row r="444" spans="39:51" x14ac:dyDescent="0.25">
      <c r="AM444" s="14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7"/>
      <c r="AY444" s="13"/>
    </row>
    <row r="445" spans="39:51" x14ac:dyDescent="0.25">
      <c r="AM445" s="14"/>
      <c r="AN445" s="13"/>
      <c r="AO445" s="13"/>
      <c r="AP445" s="16" t="s">
        <v>8</v>
      </c>
      <c r="AQ445" s="13"/>
      <c r="AR445" s="13"/>
      <c r="AS445" s="13"/>
      <c r="AT445" s="15" t="s">
        <v>9</v>
      </c>
      <c r="AU445" s="16" t="s">
        <v>6</v>
      </c>
      <c r="AV445" s="13"/>
      <c r="AW445" s="13"/>
      <c r="AX445" s="17"/>
      <c r="AY445" s="13"/>
    </row>
    <row r="446" spans="39:51" x14ac:dyDescent="0.25">
      <c r="AM446" s="14"/>
      <c r="AN446" s="13"/>
      <c r="AO446" s="13"/>
      <c r="AP446" s="13"/>
      <c r="AQ446" s="13"/>
      <c r="AR446" s="13"/>
      <c r="AS446" s="13"/>
      <c r="AT446" s="13"/>
      <c r="AU446" s="18" t="str">
        <f>CONCATENATE(AP431,AP430,AP445)</f>
        <v>03/100 U.S. Cy</v>
      </c>
      <c r="AV446" s="13"/>
      <c r="AW446" s="13"/>
      <c r="AX446" s="17"/>
      <c r="AY446" s="13"/>
    </row>
    <row r="447" spans="39:51" ht="13.8" x14ac:dyDescent="0.25">
      <c r="AM447" s="39" t="str">
        <f>CONCATENATE(AO443,AO442,AO441,AO440,AO439,AO438,AO437,AO436,AO435,AO434,AO433,AO432,AO431,AO430)</f>
        <v>0000013,865.03</v>
      </c>
      <c r="AN447" s="13"/>
      <c r="AO447" s="13"/>
      <c r="AP447" s="13"/>
      <c r="AQ447" s="13"/>
      <c r="AR447" s="13"/>
      <c r="AS447" s="13"/>
      <c r="AT447" s="20"/>
      <c r="AU447" s="18"/>
      <c r="AV447" s="13"/>
      <c r="AW447" s="13"/>
      <c r="AX447" s="17"/>
      <c r="AY447" s="13"/>
    </row>
    <row r="448" spans="39:51" ht="13.8" thickBot="1" x14ac:dyDescent="0.3">
      <c r="AM448" s="14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7"/>
      <c r="AY448" s="13"/>
    </row>
    <row r="449" spans="39:51" x14ac:dyDescent="0.25">
      <c r="AM449" s="40"/>
      <c r="AN449" s="41"/>
      <c r="AO449" s="42" t="s">
        <v>10</v>
      </c>
      <c r="AP449" s="43"/>
      <c r="AQ449" s="42"/>
      <c r="AR449" s="43"/>
      <c r="AS449" s="44"/>
      <c r="AT449" s="13"/>
      <c r="AU449" s="13"/>
      <c r="AV449" s="13"/>
      <c r="AW449" s="13"/>
      <c r="AX449" s="17"/>
      <c r="AY449" s="13"/>
    </row>
    <row r="450" spans="39:51" x14ac:dyDescent="0.25">
      <c r="AM450" s="45" t="str">
        <f>FIXED(AM425)</f>
        <v>13,865.03</v>
      </c>
      <c r="AN450" s="13"/>
      <c r="AO450" s="46" t="s">
        <v>11</v>
      </c>
      <c r="AP450" s="46" t="s">
        <v>12</v>
      </c>
      <c r="AQ450" s="46" t="s">
        <v>13</v>
      </c>
      <c r="AR450" s="47" t="s">
        <v>14</v>
      </c>
      <c r="AS450" s="48" t="s">
        <v>15</v>
      </c>
      <c r="AT450" s="13"/>
      <c r="AU450" s="13"/>
      <c r="AV450" s="13"/>
      <c r="AW450" s="13"/>
      <c r="AX450" s="17"/>
      <c r="AY450" s="13"/>
    </row>
    <row r="451" spans="39:51" x14ac:dyDescent="0.25">
      <c r="AM451" s="14"/>
      <c r="AN451" s="49">
        <v>1</v>
      </c>
      <c r="AO451" s="49">
        <v>8</v>
      </c>
      <c r="AP451" s="49">
        <v>9</v>
      </c>
      <c r="AQ451" s="49">
        <v>10</v>
      </c>
      <c r="AR451" s="49">
        <v>11</v>
      </c>
      <c r="AS451" s="48"/>
      <c r="AT451" s="13"/>
      <c r="AU451" s="13"/>
      <c r="AV451" s="13"/>
      <c r="AW451" s="13"/>
      <c r="AX451" s="17"/>
      <c r="AY451" s="13"/>
    </row>
    <row r="452" spans="39:51" x14ac:dyDescent="0.25">
      <c r="AM452" s="50" t="s">
        <v>16</v>
      </c>
      <c r="AN452" s="13">
        <v>1</v>
      </c>
      <c r="AO452" s="51" t="s">
        <v>17</v>
      </c>
      <c r="AP452" s="51" t="s">
        <v>18</v>
      </c>
      <c r="AQ452" s="51" t="s">
        <v>19</v>
      </c>
      <c r="AR452" s="51" t="s">
        <v>20</v>
      </c>
      <c r="AS452" s="48"/>
      <c r="AT452" s="13"/>
      <c r="AU452" s="13"/>
      <c r="AV452" s="13"/>
      <c r="AW452" s="13"/>
      <c r="AX452" s="17"/>
      <c r="AY452" s="13"/>
    </row>
    <row r="453" spans="39:51" x14ac:dyDescent="0.25">
      <c r="AM453" s="50" t="s">
        <v>21</v>
      </c>
      <c r="AN453" s="13">
        <v>2</v>
      </c>
      <c r="AO453" s="51" t="s">
        <v>22</v>
      </c>
      <c r="AP453" s="51" t="s">
        <v>23</v>
      </c>
      <c r="AQ453" s="51" t="s">
        <v>24</v>
      </c>
      <c r="AR453" s="51" t="s">
        <v>25</v>
      </c>
      <c r="AS453" s="48"/>
      <c r="AT453" s="13"/>
      <c r="AU453" s="13"/>
      <c r="AV453" s="13"/>
      <c r="AW453" s="13"/>
      <c r="AX453" s="17"/>
      <c r="AY453" s="13"/>
    </row>
    <row r="454" spans="39:51" x14ac:dyDescent="0.25">
      <c r="AM454" s="50" t="s">
        <v>26</v>
      </c>
      <c r="AN454" s="13">
        <v>3</v>
      </c>
      <c r="AO454" s="51" t="s">
        <v>27</v>
      </c>
      <c r="AP454" s="51" t="s">
        <v>28</v>
      </c>
      <c r="AQ454" s="51" t="s">
        <v>29</v>
      </c>
      <c r="AR454" s="51" t="s">
        <v>30</v>
      </c>
      <c r="AS454" s="48"/>
      <c r="AT454" s="13"/>
      <c r="AU454" s="13"/>
      <c r="AV454" s="13"/>
      <c r="AW454" s="13"/>
      <c r="AX454" s="17"/>
      <c r="AY454" s="13"/>
    </row>
    <row r="455" spans="39:51" x14ac:dyDescent="0.25">
      <c r="AM455" s="50" t="s">
        <v>31</v>
      </c>
      <c r="AN455" s="13">
        <v>4</v>
      </c>
      <c r="AO455" s="51" t="s">
        <v>32</v>
      </c>
      <c r="AP455" s="51" t="s">
        <v>33</v>
      </c>
      <c r="AQ455" s="51" t="s">
        <v>34</v>
      </c>
      <c r="AR455" s="51" t="s">
        <v>35</v>
      </c>
      <c r="AS455" s="48"/>
      <c r="AT455" s="13"/>
      <c r="AU455" s="13"/>
      <c r="AV455" s="13"/>
      <c r="AW455" s="13"/>
      <c r="AX455" s="17"/>
      <c r="AY455" s="13"/>
    </row>
    <row r="456" spans="39:51" x14ac:dyDescent="0.25">
      <c r="AM456" s="50" t="s">
        <v>36</v>
      </c>
      <c r="AN456" s="13">
        <v>5</v>
      </c>
      <c r="AO456" s="51" t="s">
        <v>37</v>
      </c>
      <c r="AP456" s="51" t="s">
        <v>38</v>
      </c>
      <c r="AQ456" s="51" t="s">
        <v>39</v>
      </c>
      <c r="AR456" s="51" t="s">
        <v>40</v>
      </c>
      <c r="AS456" s="48"/>
      <c r="AT456" s="13"/>
      <c r="AU456" s="13"/>
      <c r="AV456" s="13"/>
      <c r="AW456" s="13"/>
      <c r="AX456" s="17"/>
      <c r="AY456" s="13"/>
    </row>
    <row r="457" spans="39:51" x14ac:dyDescent="0.25">
      <c r="AM457" s="50" t="s">
        <v>41</v>
      </c>
      <c r="AN457" s="13">
        <v>6</v>
      </c>
      <c r="AO457" s="51" t="s">
        <v>42</v>
      </c>
      <c r="AP457" s="51" t="s">
        <v>43</v>
      </c>
      <c r="AQ457" s="51" t="s">
        <v>44</v>
      </c>
      <c r="AR457" s="51" t="s">
        <v>45</v>
      </c>
      <c r="AS457" s="48"/>
      <c r="AT457" s="13"/>
      <c r="AU457" s="13"/>
      <c r="AV457" s="13"/>
      <c r="AW457" s="13"/>
      <c r="AX457" s="17"/>
      <c r="AY457" s="13"/>
    </row>
    <row r="458" spans="39:51" x14ac:dyDescent="0.25">
      <c r="AM458" s="50" t="s">
        <v>46</v>
      </c>
      <c r="AN458" s="13">
        <v>7</v>
      </c>
      <c r="AO458" s="51" t="s">
        <v>47</v>
      </c>
      <c r="AP458" s="51" t="s">
        <v>48</v>
      </c>
      <c r="AQ458" s="51" t="s">
        <v>49</v>
      </c>
      <c r="AR458" s="51" t="s">
        <v>50</v>
      </c>
      <c r="AS458" s="48"/>
      <c r="AT458" s="13"/>
      <c r="AU458" s="13"/>
      <c r="AV458" s="13"/>
      <c r="AW458" s="13"/>
      <c r="AX458" s="17"/>
      <c r="AY458" s="13"/>
    </row>
    <row r="459" spans="39:51" x14ac:dyDescent="0.25">
      <c r="AM459" s="50" t="s">
        <v>51</v>
      </c>
      <c r="AN459" s="13">
        <v>8</v>
      </c>
      <c r="AO459" s="51" t="s">
        <v>52</v>
      </c>
      <c r="AP459" s="51" t="s">
        <v>53</v>
      </c>
      <c r="AQ459" s="51" t="s">
        <v>54</v>
      </c>
      <c r="AR459" s="51" t="s">
        <v>55</v>
      </c>
      <c r="AS459" s="48"/>
      <c r="AT459" s="13"/>
      <c r="AU459" s="13"/>
      <c r="AV459" s="13"/>
      <c r="AW459" s="13"/>
      <c r="AX459" s="17"/>
      <c r="AY459" s="13"/>
    </row>
    <row r="460" spans="39:51" x14ac:dyDescent="0.25">
      <c r="AM460" s="50" t="s">
        <v>56</v>
      </c>
      <c r="AN460" s="13">
        <v>9</v>
      </c>
      <c r="AO460" s="51" t="s">
        <v>57</v>
      </c>
      <c r="AP460" s="51" t="s">
        <v>58</v>
      </c>
      <c r="AQ460" s="51" t="s">
        <v>59</v>
      </c>
      <c r="AR460" s="51" t="s">
        <v>60</v>
      </c>
      <c r="AS460" s="48"/>
      <c r="AT460" s="13"/>
      <c r="AU460" s="13"/>
      <c r="AV460" s="13"/>
      <c r="AW460" s="13"/>
      <c r="AX460" s="17"/>
      <c r="AY460" s="13"/>
    </row>
    <row r="461" spans="39:51" x14ac:dyDescent="0.25">
      <c r="AM461" s="50" t="s">
        <v>61</v>
      </c>
      <c r="AN461" s="13"/>
      <c r="AO461" s="13"/>
      <c r="AP461" s="13"/>
      <c r="AQ461" s="13"/>
      <c r="AR461" s="13"/>
      <c r="AS461" s="48"/>
      <c r="AT461" s="13"/>
      <c r="AU461" s="13"/>
      <c r="AV461" s="13"/>
      <c r="AW461" s="13"/>
      <c r="AX461" s="17"/>
      <c r="AY461" s="13"/>
    </row>
    <row r="462" spans="39:51" x14ac:dyDescent="0.25">
      <c r="AM462" s="50" t="s">
        <v>62</v>
      </c>
      <c r="AN462" s="13">
        <v>1</v>
      </c>
      <c r="AO462" s="13">
        <v>2</v>
      </c>
      <c r="AP462" s="13">
        <v>3</v>
      </c>
      <c r="AQ462" s="13">
        <v>4</v>
      </c>
      <c r="AR462" s="13">
        <v>5</v>
      </c>
      <c r="AS462" s="48"/>
      <c r="AT462" s="13"/>
      <c r="AU462" s="13"/>
      <c r="AV462" s="13"/>
      <c r="AW462" s="13"/>
      <c r="AX462" s="17"/>
      <c r="AY462" s="13"/>
    </row>
    <row r="463" spans="39:51" x14ac:dyDescent="0.25">
      <c r="AM463" s="50" t="s">
        <v>63</v>
      </c>
      <c r="AN463" s="13"/>
      <c r="AO463" s="13"/>
      <c r="AP463" s="13"/>
      <c r="AQ463" s="13"/>
      <c r="AR463" s="13"/>
      <c r="AS463" s="48"/>
      <c r="AT463" s="13"/>
      <c r="AU463" s="13"/>
      <c r="AV463" s="13"/>
      <c r="AW463" s="13"/>
      <c r="AX463" s="17"/>
      <c r="AY463" s="13"/>
    </row>
    <row r="464" spans="39:51" ht="13.8" thickBot="1" x14ac:dyDescent="0.3">
      <c r="AM464" s="52"/>
      <c r="AN464" s="36"/>
      <c r="AO464" s="36"/>
      <c r="AP464" s="36"/>
      <c r="AQ464" s="36"/>
      <c r="AR464" s="36"/>
      <c r="AS464" s="53"/>
      <c r="AT464" s="13"/>
      <c r="AU464" s="13"/>
      <c r="AV464" s="13"/>
      <c r="AW464" s="13"/>
      <c r="AX464" s="17"/>
      <c r="AY464" s="13"/>
    </row>
    <row r="465" spans="39:51" ht="13.8" thickBot="1" x14ac:dyDescent="0.3">
      <c r="AM465" s="54"/>
      <c r="AN465" s="55"/>
      <c r="AO465" s="55"/>
      <c r="AP465" s="55"/>
      <c r="AQ465" s="55"/>
      <c r="AR465" s="55"/>
      <c r="AS465" s="55"/>
      <c r="AT465" s="55"/>
      <c r="AU465" s="55"/>
      <c r="AV465" s="55"/>
      <c r="AW465" s="55"/>
      <c r="AX465" s="56"/>
      <c r="AY465" s="13"/>
    </row>
    <row r="466" spans="39:51" ht="13.8" thickTop="1" x14ac:dyDescent="0.25">
      <c r="AM466" s="2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</row>
  </sheetData>
  <mergeCells count="3">
    <mergeCell ref="C6:D6"/>
    <mergeCell ref="A10:F10"/>
    <mergeCell ref="E4:G4"/>
  </mergeCells>
  <pageMargins left="0.39370078740157483" right="0.39370078740157483" top="0.43307086614173229" bottom="0.39370078740157483" header="0.51181102362204722" footer="0.51181102362204722"/>
  <pageSetup orientation="portrait" r:id="rId1"/>
  <headerFooter>
    <oddFooter>&amp;CAránzazu 205, Rincón de los Arcos. Tel. (462)105-44-48, www.grupoingenieria.com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4FEFE-3009-48C3-A338-AB8305563DEF}">
  <dimension ref="A1:AY451"/>
  <sheetViews>
    <sheetView showGridLines="0" showZeros="0" zoomScaleNormal="100" workbookViewId="0">
      <selection activeCell="B14" sqref="B14"/>
    </sheetView>
  </sheetViews>
  <sheetFormatPr baseColWidth="10" defaultRowHeight="13.2" x14ac:dyDescent="0.25"/>
  <cols>
    <col min="1" max="1" width="13.5546875" style="179" customWidth="1"/>
    <col min="2" max="2" width="47.5546875" style="179" customWidth="1"/>
    <col min="3" max="3" width="16.6640625" style="179" customWidth="1"/>
    <col min="4" max="4" width="21.44140625" style="179" customWidth="1"/>
    <col min="5" max="5" width="16.88671875" style="179" hidden="1" customWidth="1"/>
    <col min="6" max="6" width="15.109375" style="179" hidden="1" customWidth="1"/>
    <col min="7" max="7" width="11.33203125" style="179" customWidth="1"/>
    <col min="8" max="252" width="11.44140625" style="179"/>
    <col min="253" max="253" width="12" style="179" customWidth="1"/>
    <col min="254" max="254" width="39.109375" style="179" customWidth="1"/>
    <col min="255" max="255" width="6.6640625" style="179" customWidth="1"/>
    <col min="256" max="256" width="12.88671875" style="179" customWidth="1"/>
    <col min="257" max="257" width="11.33203125" style="179" customWidth="1"/>
    <col min="258" max="258" width="11.88671875" style="179" customWidth="1"/>
    <col min="259" max="259" width="7.6640625" style="179" customWidth="1"/>
    <col min="260" max="260" width="9" style="179" customWidth="1"/>
    <col min="261" max="508" width="11.44140625" style="179"/>
    <col min="509" max="509" width="12" style="179" customWidth="1"/>
    <col min="510" max="510" width="39.109375" style="179" customWidth="1"/>
    <col min="511" max="511" width="6.6640625" style="179" customWidth="1"/>
    <col min="512" max="512" width="12.88671875" style="179" customWidth="1"/>
    <col min="513" max="513" width="11.33203125" style="179" customWidth="1"/>
    <col min="514" max="514" width="11.88671875" style="179" customWidth="1"/>
    <col min="515" max="515" width="7.6640625" style="179" customWidth="1"/>
    <col min="516" max="516" width="9" style="179" customWidth="1"/>
    <col min="517" max="764" width="11.44140625" style="179"/>
    <col min="765" max="765" width="12" style="179" customWidth="1"/>
    <col min="766" max="766" width="39.109375" style="179" customWidth="1"/>
    <col min="767" max="767" width="6.6640625" style="179" customWidth="1"/>
    <col min="768" max="768" width="12.88671875" style="179" customWidth="1"/>
    <col min="769" max="769" width="11.33203125" style="179" customWidth="1"/>
    <col min="770" max="770" width="11.88671875" style="179" customWidth="1"/>
    <col min="771" max="771" width="7.6640625" style="179" customWidth="1"/>
    <col min="772" max="772" width="9" style="179" customWidth="1"/>
    <col min="773" max="1020" width="11.44140625" style="179"/>
    <col min="1021" max="1021" width="12" style="179" customWidth="1"/>
    <col min="1022" max="1022" width="39.109375" style="179" customWidth="1"/>
    <col min="1023" max="1023" width="6.6640625" style="179" customWidth="1"/>
    <col min="1024" max="1024" width="12.88671875" style="179" customWidth="1"/>
    <col min="1025" max="1025" width="11.33203125" style="179" customWidth="1"/>
    <col min="1026" max="1026" width="11.88671875" style="179" customWidth="1"/>
    <col min="1027" max="1027" width="7.6640625" style="179" customWidth="1"/>
    <col min="1028" max="1028" width="9" style="179" customWidth="1"/>
    <col min="1029" max="1276" width="11.44140625" style="179"/>
    <col min="1277" max="1277" width="12" style="179" customWidth="1"/>
    <col min="1278" max="1278" width="39.109375" style="179" customWidth="1"/>
    <col min="1279" max="1279" width="6.6640625" style="179" customWidth="1"/>
    <col min="1280" max="1280" width="12.88671875" style="179" customWidth="1"/>
    <col min="1281" max="1281" width="11.33203125" style="179" customWidth="1"/>
    <col min="1282" max="1282" width="11.88671875" style="179" customWidth="1"/>
    <col min="1283" max="1283" width="7.6640625" style="179" customWidth="1"/>
    <col min="1284" max="1284" width="9" style="179" customWidth="1"/>
    <col min="1285" max="1532" width="11.44140625" style="179"/>
    <col min="1533" max="1533" width="12" style="179" customWidth="1"/>
    <col min="1534" max="1534" width="39.109375" style="179" customWidth="1"/>
    <col min="1535" max="1535" width="6.6640625" style="179" customWidth="1"/>
    <col min="1536" max="1536" width="12.88671875" style="179" customWidth="1"/>
    <col min="1537" max="1537" width="11.33203125" style="179" customWidth="1"/>
    <col min="1538" max="1538" width="11.88671875" style="179" customWidth="1"/>
    <col min="1539" max="1539" width="7.6640625" style="179" customWidth="1"/>
    <col min="1540" max="1540" width="9" style="179" customWidth="1"/>
    <col min="1541" max="1788" width="11.44140625" style="179"/>
    <col min="1789" max="1789" width="12" style="179" customWidth="1"/>
    <col min="1790" max="1790" width="39.109375" style="179" customWidth="1"/>
    <col min="1791" max="1791" width="6.6640625" style="179" customWidth="1"/>
    <col min="1792" max="1792" width="12.88671875" style="179" customWidth="1"/>
    <col min="1793" max="1793" width="11.33203125" style="179" customWidth="1"/>
    <col min="1794" max="1794" width="11.88671875" style="179" customWidth="1"/>
    <col min="1795" max="1795" width="7.6640625" style="179" customWidth="1"/>
    <col min="1796" max="1796" width="9" style="179" customWidth="1"/>
    <col min="1797" max="2044" width="11.44140625" style="179"/>
    <col min="2045" max="2045" width="12" style="179" customWidth="1"/>
    <col min="2046" max="2046" width="39.109375" style="179" customWidth="1"/>
    <col min="2047" max="2047" width="6.6640625" style="179" customWidth="1"/>
    <col min="2048" max="2048" width="12.88671875" style="179" customWidth="1"/>
    <col min="2049" max="2049" width="11.33203125" style="179" customWidth="1"/>
    <col min="2050" max="2050" width="11.88671875" style="179" customWidth="1"/>
    <col min="2051" max="2051" width="7.6640625" style="179" customWidth="1"/>
    <col min="2052" max="2052" width="9" style="179" customWidth="1"/>
    <col min="2053" max="2300" width="11.44140625" style="179"/>
    <col min="2301" max="2301" width="12" style="179" customWidth="1"/>
    <col min="2302" max="2302" width="39.109375" style="179" customWidth="1"/>
    <col min="2303" max="2303" width="6.6640625" style="179" customWidth="1"/>
    <col min="2304" max="2304" width="12.88671875" style="179" customWidth="1"/>
    <col min="2305" max="2305" width="11.33203125" style="179" customWidth="1"/>
    <col min="2306" max="2306" width="11.88671875" style="179" customWidth="1"/>
    <col min="2307" max="2307" width="7.6640625" style="179" customWidth="1"/>
    <col min="2308" max="2308" width="9" style="179" customWidth="1"/>
    <col min="2309" max="2556" width="11.44140625" style="179"/>
    <col min="2557" max="2557" width="12" style="179" customWidth="1"/>
    <col min="2558" max="2558" width="39.109375" style="179" customWidth="1"/>
    <col min="2559" max="2559" width="6.6640625" style="179" customWidth="1"/>
    <col min="2560" max="2560" width="12.88671875" style="179" customWidth="1"/>
    <col min="2561" max="2561" width="11.33203125" style="179" customWidth="1"/>
    <col min="2562" max="2562" width="11.88671875" style="179" customWidth="1"/>
    <col min="2563" max="2563" width="7.6640625" style="179" customWidth="1"/>
    <col min="2564" max="2564" width="9" style="179" customWidth="1"/>
    <col min="2565" max="2812" width="11.44140625" style="179"/>
    <col min="2813" max="2813" width="12" style="179" customWidth="1"/>
    <col min="2814" max="2814" width="39.109375" style="179" customWidth="1"/>
    <col min="2815" max="2815" width="6.6640625" style="179" customWidth="1"/>
    <col min="2816" max="2816" width="12.88671875" style="179" customWidth="1"/>
    <col min="2817" max="2817" width="11.33203125" style="179" customWidth="1"/>
    <col min="2818" max="2818" width="11.88671875" style="179" customWidth="1"/>
    <col min="2819" max="2819" width="7.6640625" style="179" customWidth="1"/>
    <col min="2820" max="2820" width="9" style="179" customWidth="1"/>
    <col min="2821" max="3068" width="11.44140625" style="179"/>
    <col min="3069" max="3069" width="12" style="179" customWidth="1"/>
    <col min="3070" max="3070" width="39.109375" style="179" customWidth="1"/>
    <col min="3071" max="3071" width="6.6640625" style="179" customWidth="1"/>
    <col min="3072" max="3072" width="12.88671875" style="179" customWidth="1"/>
    <col min="3073" max="3073" width="11.33203125" style="179" customWidth="1"/>
    <col min="3074" max="3074" width="11.88671875" style="179" customWidth="1"/>
    <col min="3075" max="3075" width="7.6640625" style="179" customWidth="1"/>
    <col min="3076" max="3076" width="9" style="179" customWidth="1"/>
    <col min="3077" max="3324" width="11.44140625" style="179"/>
    <col min="3325" max="3325" width="12" style="179" customWidth="1"/>
    <col min="3326" max="3326" width="39.109375" style="179" customWidth="1"/>
    <col min="3327" max="3327" width="6.6640625" style="179" customWidth="1"/>
    <col min="3328" max="3328" width="12.88671875" style="179" customWidth="1"/>
    <col min="3329" max="3329" width="11.33203125" style="179" customWidth="1"/>
    <col min="3330" max="3330" width="11.88671875" style="179" customWidth="1"/>
    <col min="3331" max="3331" width="7.6640625" style="179" customWidth="1"/>
    <col min="3332" max="3332" width="9" style="179" customWidth="1"/>
    <col min="3333" max="3580" width="11.44140625" style="179"/>
    <col min="3581" max="3581" width="12" style="179" customWidth="1"/>
    <col min="3582" max="3582" width="39.109375" style="179" customWidth="1"/>
    <col min="3583" max="3583" width="6.6640625" style="179" customWidth="1"/>
    <col min="3584" max="3584" width="12.88671875" style="179" customWidth="1"/>
    <col min="3585" max="3585" width="11.33203125" style="179" customWidth="1"/>
    <col min="3586" max="3586" width="11.88671875" style="179" customWidth="1"/>
    <col min="3587" max="3587" width="7.6640625" style="179" customWidth="1"/>
    <col min="3588" max="3588" width="9" style="179" customWidth="1"/>
    <col min="3589" max="3836" width="11.44140625" style="179"/>
    <col min="3837" max="3837" width="12" style="179" customWidth="1"/>
    <col min="3838" max="3838" width="39.109375" style="179" customWidth="1"/>
    <col min="3839" max="3839" width="6.6640625" style="179" customWidth="1"/>
    <col min="3840" max="3840" width="12.88671875" style="179" customWidth="1"/>
    <col min="3841" max="3841" width="11.33203125" style="179" customWidth="1"/>
    <col min="3842" max="3842" width="11.88671875" style="179" customWidth="1"/>
    <col min="3843" max="3843" width="7.6640625" style="179" customWidth="1"/>
    <col min="3844" max="3844" width="9" style="179" customWidth="1"/>
    <col min="3845" max="4092" width="11.44140625" style="179"/>
    <col min="4093" max="4093" width="12" style="179" customWidth="1"/>
    <col min="4094" max="4094" width="39.109375" style="179" customWidth="1"/>
    <col min="4095" max="4095" width="6.6640625" style="179" customWidth="1"/>
    <col min="4096" max="4096" width="12.88671875" style="179" customWidth="1"/>
    <col min="4097" max="4097" width="11.33203125" style="179" customWidth="1"/>
    <col min="4098" max="4098" width="11.88671875" style="179" customWidth="1"/>
    <col min="4099" max="4099" width="7.6640625" style="179" customWidth="1"/>
    <col min="4100" max="4100" width="9" style="179" customWidth="1"/>
    <col min="4101" max="4348" width="11.44140625" style="179"/>
    <col min="4349" max="4349" width="12" style="179" customWidth="1"/>
    <col min="4350" max="4350" width="39.109375" style="179" customWidth="1"/>
    <col min="4351" max="4351" width="6.6640625" style="179" customWidth="1"/>
    <col min="4352" max="4352" width="12.88671875" style="179" customWidth="1"/>
    <col min="4353" max="4353" width="11.33203125" style="179" customWidth="1"/>
    <col min="4354" max="4354" width="11.88671875" style="179" customWidth="1"/>
    <col min="4355" max="4355" width="7.6640625" style="179" customWidth="1"/>
    <col min="4356" max="4356" width="9" style="179" customWidth="1"/>
    <col min="4357" max="4604" width="11.44140625" style="179"/>
    <col min="4605" max="4605" width="12" style="179" customWidth="1"/>
    <col min="4606" max="4606" width="39.109375" style="179" customWidth="1"/>
    <col min="4607" max="4607" width="6.6640625" style="179" customWidth="1"/>
    <col min="4608" max="4608" width="12.88671875" style="179" customWidth="1"/>
    <col min="4609" max="4609" width="11.33203125" style="179" customWidth="1"/>
    <col min="4610" max="4610" width="11.88671875" style="179" customWidth="1"/>
    <col min="4611" max="4611" width="7.6640625" style="179" customWidth="1"/>
    <col min="4612" max="4612" width="9" style="179" customWidth="1"/>
    <col min="4613" max="4860" width="11.44140625" style="179"/>
    <col min="4861" max="4861" width="12" style="179" customWidth="1"/>
    <col min="4862" max="4862" width="39.109375" style="179" customWidth="1"/>
    <col min="4863" max="4863" width="6.6640625" style="179" customWidth="1"/>
    <col min="4864" max="4864" width="12.88671875" style="179" customWidth="1"/>
    <col min="4865" max="4865" width="11.33203125" style="179" customWidth="1"/>
    <col min="4866" max="4866" width="11.88671875" style="179" customWidth="1"/>
    <col min="4867" max="4867" width="7.6640625" style="179" customWidth="1"/>
    <col min="4868" max="4868" width="9" style="179" customWidth="1"/>
    <col min="4869" max="5116" width="11.44140625" style="179"/>
    <col min="5117" max="5117" width="12" style="179" customWidth="1"/>
    <col min="5118" max="5118" width="39.109375" style="179" customWidth="1"/>
    <col min="5119" max="5119" width="6.6640625" style="179" customWidth="1"/>
    <col min="5120" max="5120" width="12.88671875" style="179" customWidth="1"/>
    <col min="5121" max="5121" width="11.33203125" style="179" customWidth="1"/>
    <col min="5122" max="5122" width="11.88671875" style="179" customWidth="1"/>
    <col min="5123" max="5123" width="7.6640625" style="179" customWidth="1"/>
    <col min="5124" max="5124" width="9" style="179" customWidth="1"/>
    <col min="5125" max="5372" width="11.44140625" style="179"/>
    <col min="5373" max="5373" width="12" style="179" customWidth="1"/>
    <col min="5374" max="5374" width="39.109375" style="179" customWidth="1"/>
    <col min="5375" max="5375" width="6.6640625" style="179" customWidth="1"/>
    <col min="5376" max="5376" width="12.88671875" style="179" customWidth="1"/>
    <col min="5377" max="5377" width="11.33203125" style="179" customWidth="1"/>
    <col min="5378" max="5378" width="11.88671875" style="179" customWidth="1"/>
    <col min="5379" max="5379" width="7.6640625" style="179" customWidth="1"/>
    <col min="5380" max="5380" width="9" style="179" customWidth="1"/>
    <col min="5381" max="5628" width="11.44140625" style="179"/>
    <col min="5629" max="5629" width="12" style="179" customWidth="1"/>
    <col min="5630" max="5630" width="39.109375" style="179" customWidth="1"/>
    <col min="5631" max="5631" width="6.6640625" style="179" customWidth="1"/>
    <col min="5632" max="5632" width="12.88671875" style="179" customWidth="1"/>
    <col min="5633" max="5633" width="11.33203125" style="179" customWidth="1"/>
    <col min="5634" max="5634" width="11.88671875" style="179" customWidth="1"/>
    <col min="5635" max="5635" width="7.6640625" style="179" customWidth="1"/>
    <col min="5636" max="5636" width="9" style="179" customWidth="1"/>
    <col min="5637" max="5884" width="11.44140625" style="179"/>
    <col min="5885" max="5885" width="12" style="179" customWidth="1"/>
    <col min="5886" max="5886" width="39.109375" style="179" customWidth="1"/>
    <col min="5887" max="5887" width="6.6640625" style="179" customWidth="1"/>
    <col min="5888" max="5888" width="12.88671875" style="179" customWidth="1"/>
    <col min="5889" max="5889" width="11.33203125" style="179" customWidth="1"/>
    <col min="5890" max="5890" width="11.88671875" style="179" customWidth="1"/>
    <col min="5891" max="5891" width="7.6640625" style="179" customWidth="1"/>
    <col min="5892" max="5892" width="9" style="179" customWidth="1"/>
    <col min="5893" max="6140" width="11.44140625" style="179"/>
    <col min="6141" max="6141" width="12" style="179" customWidth="1"/>
    <col min="6142" max="6142" width="39.109375" style="179" customWidth="1"/>
    <col min="6143" max="6143" width="6.6640625" style="179" customWidth="1"/>
    <col min="6144" max="6144" width="12.88671875" style="179" customWidth="1"/>
    <col min="6145" max="6145" width="11.33203125" style="179" customWidth="1"/>
    <col min="6146" max="6146" width="11.88671875" style="179" customWidth="1"/>
    <col min="6147" max="6147" width="7.6640625" style="179" customWidth="1"/>
    <col min="6148" max="6148" width="9" style="179" customWidth="1"/>
    <col min="6149" max="6396" width="11.44140625" style="179"/>
    <col min="6397" max="6397" width="12" style="179" customWidth="1"/>
    <col min="6398" max="6398" width="39.109375" style="179" customWidth="1"/>
    <col min="6399" max="6399" width="6.6640625" style="179" customWidth="1"/>
    <col min="6400" max="6400" width="12.88671875" style="179" customWidth="1"/>
    <col min="6401" max="6401" width="11.33203125" style="179" customWidth="1"/>
    <col min="6402" max="6402" width="11.88671875" style="179" customWidth="1"/>
    <col min="6403" max="6403" width="7.6640625" style="179" customWidth="1"/>
    <col min="6404" max="6404" width="9" style="179" customWidth="1"/>
    <col min="6405" max="6652" width="11.44140625" style="179"/>
    <col min="6653" max="6653" width="12" style="179" customWidth="1"/>
    <col min="6654" max="6654" width="39.109375" style="179" customWidth="1"/>
    <col min="6655" max="6655" width="6.6640625" style="179" customWidth="1"/>
    <col min="6656" max="6656" width="12.88671875" style="179" customWidth="1"/>
    <col min="6657" max="6657" width="11.33203125" style="179" customWidth="1"/>
    <col min="6658" max="6658" width="11.88671875" style="179" customWidth="1"/>
    <col min="6659" max="6659" width="7.6640625" style="179" customWidth="1"/>
    <col min="6660" max="6660" width="9" style="179" customWidth="1"/>
    <col min="6661" max="6908" width="11.44140625" style="179"/>
    <col min="6909" max="6909" width="12" style="179" customWidth="1"/>
    <col min="6910" max="6910" width="39.109375" style="179" customWidth="1"/>
    <col min="6911" max="6911" width="6.6640625" style="179" customWidth="1"/>
    <col min="6912" max="6912" width="12.88671875" style="179" customWidth="1"/>
    <col min="6913" max="6913" width="11.33203125" style="179" customWidth="1"/>
    <col min="6914" max="6914" width="11.88671875" style="179" customWidth="1"/>
    <col min="6915" max="6915" width="7.6640625" style="179" customWidth="1"/>
    <col min="6916" max="6916" width="9" style="179" customWidth="1"/>
    <col min="6917" max="7164" width="11.44140625" style="179"/>
    <col min="7165" max="7165" width="12" style="179" customWidth="1"/>
    <col min="7166" max="7166" width="39.109375" style="179" customWidth="1"/>
    <col min="7167" max="7167" width="6.6640625" style="179" customWidth="1"/>
    <col min="7168" max="7168" width="12.88671875" style="179" customWidth="1"/>
    <col min="7169" max="7169" width="11.33203125" style="179" customWidth="1"/>
    <col min="7170" max="7170" width="11.88671875" style="179" customWidth="1"/>
    <col min="7171" max="7171" width="7.6640625" style="179" customWidth="1"/>
    <col min="7172" max="7172" width="9" style="179" customWidth="1"/>
    <col min="7173" max="7420" width="11.44140625" style="179"/>
    <col min="7421" max="7421" width="12" style="179" customWidth="1"/>
    <col min="7422" max="7422" width="39.109375" style="179" customWidth="1"/>
    <col min="7423" max="7423" width="6.6640625" style="179" customWidth="1"/>
    <col min="7424" max="7424" width="12.88671875" style="179" customWidth="1"/>
    <col min="7425" max="7425" width="11.33203125" style="179" customWidth="1"/>
    <col min="7426" max="7426" width="11.88671875" style="179" customWidth="1"/>
    <col min="7427" max="7427" width="7.6640625" style="179" customWidth="1"/>
    <col min="7428" max="7428" width="9" style="179" customWidth="1"/>
    <col min="7429" max="7676" width="11.44140625" style="179"/>
    <col min="7677" max="7677" width="12" style="179" customWidth="1"/>
    <col min="7678" max="7678" width="39.109375" style="179" customWidth="1"/>
    <col min="7679" max="7679" width="6.6640625" style="179" customWidth="1"/>
    <col min="7680" max="7680" width="12.88671875" style="179" customWidth="1"/>
    <col min="7681" max="7681" width="11.33203125" style="179" customWidth="1"/>
    <col min="7682" max="7682" width="11.88671875" style="179" customWidth="1"/>
    <col min="7683" max="7683" width="7.6640625" style="179" customWidth="1"/>
    <col min="7684" max="7684" width="9" style="179" customWidth="1"/>
    <col min="7685" max="7932" width="11.44140625" style="179"/>
    <col min="7933" max="7933" width="12" style="179" customWidth="1"/>
    <col min="7934" max="7934" width="39.109375" style="179" customWidth="1"/>
    <col min="7935" max="7935" width="6.6640625" style="179" customWidth="1"/>
    <col min="7936" max="7936" width="12.88671875" style="179" customWidth="1"/>
    <col min="7937" max="7937" width="11.33203125" style="179" customWidth="1"/>
    <col min="7938" max="7938" width="11.88671875" style="179" customWidth="1"/>
    <col min="7939" max="7939" width="7.6640625" style="179" customWidth="1"/>
    <col min="7940" max="7940" width="9" style="179" customWidth="1"/>
    <col min="7941" max="8188" width="11.44140625" style="179"/>
    <col min="8189" max="8189" width="12" style="179" customWidth="1"/>
    <col min="8190" max="8190" width="39.109375" style="179" customWidth="1"/>
    <col min="8191" max="8191" width="6.6640625" style="179" customWidth="1"/>
    <col min="8192" max="8192" width="12.88671875" style="179" customWidth="1"/>
    <col min="8193" max="8193" width="11.33203125" style="179" customWidth="1"/>
    <col min="8194" max="8194" width="11.88671875" style="179" customWidth="1"/>
    <col min="8195" max="8195" width="7.6640625" style="179" customWidth="1"/>
    <col min="8196" max="8196" width="9" style="179" customWidth="1"/>
    <col min="8197" max="8444" width="11.44140625" style="179"/>
    <col min="8445" max="8445" width="12" style="179" customWidth="1"/>
    <col min="8446" max="8446" width="39.109375" style="179" customWidth="1"/>
    <col min="8447" max="8447" width="6.6640625" style="179" customWidth="1"/>
    <col min="8448" max="8448" width="12.88671875" style="179" customWidth="1"/>
    <col min="8449" max="8449" width="11.33203125" style="179" customWidth="1"/>
    <col min="8450" max="8450" width="11.88671875" style="179" customWidth="1"/>
    <col min="8451" max="8451" width="7.6640625" style="179" customWidth="1"/>
    <col min="8452" max="8452" width="9" style="179" customWidth="1"/>
    <col min="8453" max="8700" width="11.44140625" style="179"/>
    <col min="8701" max="8701" width="12" style="179" customWidth="1"/>
    <col min="8702" max="8702" width="39.109375" style="179" customWidth="1"/>
    <col min="8703" max="8703" width="6.6640625" style="179" customWidth="1"/>
    <col min="8704" max="8704" width="12.88671875" style="179" customWidth="1"/>
    <col min="8705" max="8705" width="11.33203125" style="179" customWidth="1"/>
    <col min="8706" max="8706" width="11.88671875" style="179" customWidth="1"/>
    <col min="8707" max="8707" width="7.6640625" style="179" customWidth="1"/>
    <col min="8708" max="8708" width="9" style="179" customWidth="1"/>
    <col min="8709" max="8956" width="11.44140625" style="179"/>
    <col min="8957" max="8957" width="12" style="179" customWidth="1"/>
    <col min="8958" max="8958" width="39.109375" style="179" customWidth="1"/>
    <col min="8959" max="8959" width="6.6640625" style="179" customWidth="1"/>
    <col min="8960" max="8960" width="12.88671875" style="179" customWidth="1"/>
    <col min="8961" max="8961" width="11.33203125" style="179" customWidth="1"/>
    <col min="8962" max="8962" width="11.88671875" style="179" customWidth="1"/>
    <col min="8963" max="8963" width="7.6640625" style="179" customWidth="1"/>
    <col min="8964" max="8964" width="9" style="179" customWidth="1"/>
    <col min="8965" max="9212" width="11.44140625" style="179"/>
    <col min="9213" max="9213" width="12" style="179" customWidth="1"/>
    <col min="9214" max="9214" width="39.109375" style="179" customWidth="1"/>
    <col min="9215" max="9215" width="6.6640625" style="179" customWidth="1"/>
    <col min="9216" max="9216" width="12.88671875" style="179" customWidth="1"/>
    <col min="9217" max="9217" width="11.33203125" style="179" customWidth="1"/>
    <col min="9218" max="9218" width="11.88671875" style="179" customWidth="1"/>
    <col min="9219" max="9219" width="7.6640625" style="179" customWidth="1"/>
    <col min="9220" max="9220" width="9" style="179" customWidth="1"/>
    <col min="9221" max="9468" width="11.44140625" style="179"/>
    <col min="9469" max="9469" width="12" style="179" customWidth="1"/>
    <col min="9470" max="9470" width="39.109375" style="179" customWidth="1"/>
    <col min="9471" max="9471" width="6.6640625" style="179" customWidth="1"/>
    <col min="9472" max="9472" width="12.88671875" style="179" customWidth="1"/>
    <col min="9473" max="9473" width="11.33203125" style="179" customWidth="1"/>
    <col min="9474" max="9474" width="11.88671875" style="179" customWidth="1"/>
    <col min="9475" max="9475" width="7.6640625" style="179" customWidth="1"/>
    <col min="9476" max="9476" width="9" style="179" customWidth="1"/>
    <col min="9477" max="9724" width="11.44140625" style="179"/>
    <col min="9725" max="9725" width="12" style="179" customWidth="1"/>
    <col min="9726" max="9726" width="39.109375" style="179" customWidth="1"/>
    <col min="9727" max="9727" width="6.6640625" style="179" customWidth="1"/>
    <col min="9728" max="9728" width="12.88671875" style="179" customWidth="1"/>
    <col min="9729" max="9729" width="11.33203125" style="179" customWidth="1"/>
    <col min="9730" max="9730" width="11.88671875" style="179" customWidth="1"/>
    <col min="9731" max="9731" width="7.6640625" style="179" customWidth="1"/>
    <col min="9732" max="9732" width="9" style="179" customWidth="1"/>
    <col min="9733" max="9980" width="11.44140625" style="179"/>
    <col min="9981" max="9981" width="12" style="179" customWidth="1"/>
    <col min="9982" max="9982" width="39.109375" style="179" customWidth="1"/>
    <col min="9983" max="9983" width="6.6640625" style="179" customWidth="1"/>
    <col min="9984" max="9984" width="12.88671875" style="179" customWidth="1"/>
    <col min="9985" max="9985" width="11.33203125" style="179" customWidth="1"/>
    <col min="9986" max="9986" width="11.88671875" style="179" customWidth="1"/>
    <col min="9987" max="9987" width="7.6640625" style="179" customWidth="1"/>
    <col min="9988" max="9988" width="9" style="179" customWidth="1"/>
    <col min="9989" max="10236" width="11.44140625" style="179"/>
    <col min="10237" max="10237" width="12" style="179" customWidth="1"/>
    <col min="10238" max="10238" width="39.109375" style="179" customWidth="1"/>
    <col min="10239" max="10239" width="6.6640625" style="179" customWidth="1"/>
    <col min="10240" max="10240" width="12.88671875" style="179" customWidth="1"/>
    <col min="10241" max="10241" width="11.33203125" style="179" customWidth="1"/>
    <col min="10242" max="10242" width="11.88671875" style="179" customWidth="1"/>
    <col min="10243" max="10243" width="7.6640625" style="179" customWidth="1"/>
    <col min="10244" max="10244" width="9" style="179" customWidth="1"/>
    <col min="10245" max="10492" width="11.44140625" style="179"/>
    <col min="10493" max="10493" width="12" style="179" customWidth="1"/>
    <col min="10494" max="10494" width="39.109375" style="179" customWidth="1"/>
    <col min="10495" max="10495" width="6.6640625" style="179" customWidth="1"/>
    <col min="10496" max="10496" width="12.88671875" style="179" customWidth="1"/>
    <col min="10497" max="10497" width="11.33203125" style="179" customWidth="1"/>
    <col min="10498" max="10498" width="11.88671875" style="179" customWidth="1"/>
    <col min="10499" max="10499" width="7.6640625" style="179" customWidth="1"/>
    <col min="10500" max="10500" width="9" style="179" customWidth="1"/>
    <col min="10501" max="10748" width="11.44140625" style="179"/>
    <col min="10749" max="10749" width="12" style="179" customWidth="1"/>
    <col min="10750" max="10750" width="39.109375" style="179" customWidth="1"/>
    <col min="10751" max="10751" width="6.6640625" style="179" customWidth="1"/>
    <col min="10752" max="10752" width="12.88671875" style="179" customWidth="1"/>
    <col min="10753" max="10753" width="11.33203125" style="179" customWidth="1"/>
    <col min="10754" max="10754" width="11.88671875" style="179" customWidth="1"/>
    <col min="10755" max="10755" width="7.6640625" style="179" customWidth="1"/>
    <col min="10756" max="10756" width="9" style="179" customWidth="1"/>
    <col min="10757" max="11004" width="11.44140625" style="179"/>
    <col min="11005" max="11005" width="12" style="179" customWidth="1"/>
    <col min="11006" max="11006" width="39.109375" style="179" customWidth="1"/>
    <col min="11007" max="11007" width="6.6640625" style="179" customWidth="1"/>
    <col min="11008" max="11008" width="12.88671875" style="179" customWidth="1"/>
    <col min="11009" max="11009" width="11.33203125" style="179" customWidth="1"/>
    <col min="11010" max="11010" width="11.88671875" style="179" customWidth="1"/>
    <col min="11011" max="11011" width="7.6640625" style="179" customWidth="1"/>
    <col min="11012" max="11012" width="9" style="179" customWidth="1"/>
    <col min="11013" max="11260" width="11.44140625" style="179"/>
    <col min="11261" max="11261" width="12" style="179" customWidth="1"/>
    <col min="11262" max="11262" width="39.109375" style="179" customWidth="1"/>
    <col min="11263" max="11263" width="6.6640625" style="179" customWidth="1"/>
    <col min="11264" max="11264" width="12.88671875" style="179" customWidth="1"/>
    <col min="11265" max="11265" width="11.33203125" style="179" customWidth="1"/>
    <col min="11266" max="11266" width="11.88671875" style="179" customWidth="1"/>
    <col min="11267" max="11267" width="7.6640625" style="179" customWidth="1"/>
    <col min="11268" max="11268" width="9" style="179" customWidth="1"/>
    <col min="11269" max="11516" width="11.44140625" style="179"/>
    <col min="11517" max="11517" width="12" style="179" customWidth="1"/>
    <col min="11518" max="11518" width="39.109375" style="179" customWidth="1"/>
    <col min="11519" max="11519" width="6.6640625" style="179" customWidth="1"/>
    <col min="11520" max="11520" width="12.88671875" style="179" customWidth="1"/>
    <col min="11521" max="11521" width="11.33203125" style="179" customWidth="1"/>
    <col min="11522" max="11522" width="11.88671875" style="179" customWidth="1"/>
    <col min="11523" max="11523" width="7.6640625" style="179" customWidth="1"/>
    <col min="11524" max="11524" width="9" style="179" customWidth="1"/>
    <col min="11525" max="11772" width="11.44140625" style="179"/>
    <col min="11773" max="11773" width="12" style="179" customWidth="1"/>
    <col min="11774" max="11774" width="39.109375" style="179" customWidth="1"/>
    <col min="11775" max="11775" width="6.6640625" style="179" customWidth="1"/>
    <col min="11776" max="11776" width="12.88671875" style="179" customWidth="1"/>
    <col min="11777" max="11777" width="11.33203125" style="179" customWidth="1"/>
    <col min="11778" max="11778" width="11.88671875" style="179" customWidth="1"/>
    <col min="11779" max="11779" width="7.6640625" style="179" customWidth="1"/>
    <col min="11780" max="11780" width="9" style="179" customWidth="1"/>
    <col min="11781" max="12028" width="11.44140625" style="179"/>
    <col min="12029" max="12029" width="12" style="179" customWidth="1"/>
    <col min="12030" max="12030" width="39.109375" style="179" customWidth="1"/>
    <col min="12031" max="12031" width="6.6640625" style="179" customWidth="1"/>
    <col min="12032" max="12032" width="12.88671875" style="179" customWidth="1"/>
    <col min="12033" max="12033" width="11.33203125" style="179" customWidth="1"/>
    <col min="12034" max="12034" width="11.88671875" style="179" customWidth="1"/>
    <col min="12035" max="12035" width="7.6640625" style="179" customWidth="1"/>
    <col min="12036" max="12036" width="9" style="179" customWidth="1"/>
    <col min="12037" max="12284" width="11.44140625" style="179"/>
    <col min="12285" max="12285" width="12" style="179" customWidth="1"/>
    <col min="12286" max="12286" width="39.109375" style="179" customWidth="1"/>
    <col min="12287" max="12287" width="6.6640625" style="179" customWidth="1"/>
    <col min="12288" max="12288" width="12.88671875" style="179" customWidth="1"/>
    <col min="12289" max="12289" width="11.33203125" style="179" customWidth="1"/>
    <col min="12290" max="12290" width="11.88671875" style="179" customWidth="1"/>
    <col min="12291" max="12291" width="7.6640625" style="179" customWidth="1"/>
    <col min="12292" max="12292" width="9" style="179" customWidth="1"/>
    <col min="12293" max="12540" width="11.44140625" style="179"/>
    <col min="12541" max="12541" width="12" style="179" customWidth="1"/>
    <col min="12542" max="12542" width="39.109375" style="179" customWidth="1"/>
    <col min="12543" max="12543" width="6.6640625" style="179" customWidth="1"/>
    <col min="12544" max="12544" width="12.88671875" style="179" customWidth="1"/>
    <col min="12545" max="12545" width="11.33203125" style="179" customWidth="1"/>
    <col min="12546" max="12546" width="11.88671875" style="179" customWidth="1"/>
    <col min="12547" max="12547" width="7.6640625" style="179" customWidth="1"/>
    <col min="12548" max="12548" width="9" style="179" customWidth="1"/>
    <col min="12549" max="12796" width="11.44140625" style="179"/>
    <col min="12797" max="12797" width="12" style="179" customWidth="1"/>
    <col min="12798" max="12798" width="39.109375" style="179" customWidth="1"/>
    <col min="12799" max="12799" width="6.6640625" style="179" customWidth="1"/>
    <col min="12800" max="12800" width="12.88671875" style="179" customWidth="1"/>
    <col min="12801" max="12801" width="11.33203125" style="179" customWidth="1"/>
    <col min="12802" max="12802" width="11.88671875" style="179" customWidth="1"/>
    <col min="12803" max="12803" width="7.6640625" style="179" customWidth="1"/>
    <col min="12804" max="12804" width="9" style="179" customWidth="1"/>
    <col min="12805" max="13052" width="11.44140625" style="179"/>
    <col min="13053" max="13053" width="12" style="179" customWidth="1"/>
    <col min="13054" max="13054" width="39.109375" style="179" customWidth="1"/>
    <col min="13055" max="13055" width="6.6640625" style="179" customWidth="1"/>
    <col min="13056" max="13056" width="12.88671875" style="179" customWidth="1"/>
    <col min="13057" max="13057" width="11.33203125" style="179" customWidth="1"/>
    <col min="13058" max="13058" width="11.88671875" style="179" customWidth="1"/>
    <col min="13059" max="13059" width="7.6640625" style="179" customWidth="1"/>
    <col min="13060" max="13060" width="9" style="179" customWidth="1"/>
    <col min="13061" max="13308" width="11.44140625" style="179"/>
    <col min="13309" max="13309" width="12" style="179" customWidth="1"/>
    <col min="13310" max="13310" width="39.109375" style="179" customWidth="1"/>
    <col min="13311" max="13311" width="6.6640625" style="179" customWidth="1"/>
    <col min="13312" max="13312" width="12.88671875" style="179" customWidth="1"/>
    <col min="13313" max="13313" width="11.33203125" style="179" customWidth="1"/>
    <col min="13314" max="13314" width="11.88671875" style="179" customWidth="1"/>
    <col min="13315" max="13315" width="7.6640625" style="179" customWidth="1"/>
    <col min="13316" max="13316" width="9" style="179" customWidth="1"/>
    <col min="13317" max="13564" width="11.44140625" style="179"/>
    <col min="13565" max="13565" width="12" style="179" customWidth="1"/>
    <col min="13566" max="13566" width="39.109375" style="179" customWidth="1"/>
    <col min="13567" max="13567" width="6.6640625" style="179" customWidth="1"/>
    <col min="13568" max="13568" width="12.88671875" style="179" customWidth="1"/>
    <col min="13569" max="13569" width="11.33203125" style="179" customWidth="1"/>
    <col min="13570" max="13570" width="11.88671875" style="179" customWidth="1"/>
    <col min="13571" max="13571" width="7.6640625" style="179" customWidth="1"/>
    <col min="13572" max="13572" width="9" style="179" customWidth="1"/>
    <col min="13573" max="13820" width="11.44140625" style="179"/>
    <col min="13821" max="13821" width="12" style="179" customWidth="1"/>
    <col min="13822" max="13822" width="39.109375" style="179" customWidth="1"/>
    <col min="13823" max="13823" width="6.6640625" style="179" customWidth="1"/>
    <col min="13824" max="13824" width="12.88671875" style="179" customWidth="1"/>
    <col min="13825" max="13825" width="11.33203125" style="179" customWidth="1"/>
    <col min="13826" max="13826" width="11.88671875" style="179" customWidth="1"/>
    <col min="13827" max="13827" width="7.6640625" style="179" customWidth="1"/>
    <col min="13828" max="13828" width="9" style="179" customWidth="1"/>
    <col min="13829" max="14076" width="11.44140625" style="179"/>
    <col min="14077" max="14077" width="12" style="179" customWidth="1"/>
    <col min="14078" max="14078" width="39.109375" style="179" customWidth="1"/>
    <col min="14079" max="14079" width="6.6640625" style="179" customWidth="1"/>
    <col min="14080" max="14080" width="12.88671875" style="179" customWidth="1"/>
    <col min="14081" max="14081" width="11.33203125" style="179" customWidth="1"/>
    <col min="14082" max="14082" width="11.88671875" style="179" customWidth="1"/>
    <col min="14083" max="14083" width="7.6640625" style="179" customWidth="1"/>
    <col min="14084" max="14084" width="9" style="179" customWidth="1"/>
    <col min="14085" max="14332" width="11.44140625" style="179"/>
    <col min="14333" max="14333" width="12" style="179" customWidth="1"/>
    <col min="14334" max="14334" width="39.109375" style="179" customWidth="1"/>
    <col min="14335" max="14335" width="6.6640625" style="179" customWidth="1"/>
    <col min="14336" max="14336" width="12.88671875" style="179" customWidth="1"/>
    <col min="14337" max="14337" width="11.33203125" style="179" customWidth="1"/>
    <col min="14338" max="14338" width="11.88671875" style="179" customWidth="1"/>
    <col min="14339" max="14339" width="7.6640625" style="179" customWidth="1"/>
    <col min="14340" max="14340" width="9" style="179" customWidth="1"/>
    <col min="14341" max="14588" width="11.44140625" style="179"/>
    <col min="14589" max="14589" width="12" style="179" customWidth="1"/>
    <col min="14590" max="14590" width="39.109375" style="179" customWidth="1"/>
    <col min="14591" max="14591" width="6.6640625" style="179" customWidth="1"/>
    <col min="14592" max="14592" width="12.88671875" style="179" customWidth="1"/>
    <col min="14593" max="14593" width="11.33203125" style="179" customWidth="1"/>
    <col min="14594" max="14594" width="11.88671875" style="179" customWidth="1"/>
    <col min="14595" max="14595" width="7.6640625" style="179" customWidth="1"/>
    <col min="14596" max="14596" width="9" style="179" customWidth="1"/>
    <col min="14597" max="14844" width="11.44140625" style="179"/>
    <col min="14845" max="14845" width="12" style="179" customWidth="1"/>
    <col min="14846" max="14846" width="39.109375" style="179" customWidth="1"/>
    <col min="14847" max="14847" width="6.6640625" style="179" customWidth="1"/>
    <col min="14848" max="14848" width="12.88671875" style="179" customWidth="1"/>
    <col min="14849" max="14849" width="11.33203125" style="179" customWidth="1"/>
    <col min="14850" max="14850" width="11.88671875" style="179" customWidth="1"/>
    <col min="14851" max="14851" width="7.6640625" style="179" customWidth="1"/>
    <col min="14852" max="14852" width="9" style="179" customWidth="1"/>
    <col min="14853" max="15100" width="11.44140625" style="179"/>
    <col min="15101" max="15101" width="12" style="179" customWidth="1"/>
    <col min="15102" max="15102" width="39.109375" style="179" customWidth="1"/>
    <col min="15103" max="15103" width="6.6640625" style="179" customWidth="1"/>
    <col min="15104" max="15104" width="12.88671875" style="179" customWidth="1"/>
    <col min="15105" max="15105" width="11.33203125" style="179" customWidth="1"/>
    <col min="15106" max="15106" width="11.88671875" style="179" customWidth="1"/>
    <col min="15107" max="15107" width="7.6640625" style="179" customWidth="1"/>
    <col min="15108" max="15108" width="9" style="179" customWidth="1"/>
    <col min="15109" max="15356" width="11.44140625" style="179"/>
    <col min="15357" max="15357" width="12" style="179" customWidth="1"/>
    <col min="15358" max="15358" width="39.109375" style="179" customWidth="1"/>
    <col min="15359" max="15359" width="6.6640625" style="179" customWidth="1"/>
    <col min="15360" max="15360" width="12.88671875" style="179" customWidth="1"/>
    <col min="15361" max="15361" width="11.33203125" style="179" customWidth="1"/>
    <col min="15362" max="15362" width="11.88671875" style="179" customWidth="1"/>
    <col min="15363" max="15363" width="7.6640625" style="179" customWidth="1"/>
    <col min="15364" max="15364" width="9" style="179" customWidth="1"/>
    <col min="15365" max="15612" width="11.44140625" style="179"/>
    <col min="15613" max="15613" width="12" style="179" customWidth="1"/>
    <col min="15614" max="15614" width="39.109375" style="179" customWidth="1"/>
    <col min="15615" max="15615" width="6.6640625" style="179" customWidth="1"/>
    <col min="15616" max="15616" width="12.88671875" style="179" customWidth="1"/>
    <col min="15617" max="15617" width="11.33203125" style="179" customWidth="1"/>
    <col min="15618" max="15618" width="11.88671875" style="179" customWidth="1"/>
    <col min="15619" max="15619" width="7.6640625" style="179" customWidth="1"/>
    <col min="15620" max="15620" width="9" style="179" customWidth="1"/>
    <col min="15621" max="15868" width="11.44140625" style="179"/>
    <col min="15869" max="15869" width="12" style="179" customWidth="1"/>
    <col min="15870" max="15870" width="39.109375" style="179" customWidth="1"/>
    <col min="15871" max="15871" width="6.6640625" style="179" customWidth="1"/>
    <col min="15872" max="15872" width="12.88671875" style="179" customWidth="1"/>
    <col min="15873" max="15873" width="11.33203125" style="179" customWidth="1"/>
    <col min="15874" max="15874" width="11.88671875" style="179" customWidth="1"/>
    <col min="15875" max="15875" width="7.6640625" style="179" customWidth="1"/>
    <col min="15876" max="15876" width="9" style="179" customWidth="1"/>
    <col min="15877" max="16124" width="11.44140625" style="179"/>
    <col min="16125" max="16125" width="12" style="179" customWidth="1"/>
    <col min="16126" max="16126" width="39.109375" style="179" customWidth="1"/>
    <col min="16127" max="16127" width="6.6640625" style="179" customWidth="1"/>
    <col min="16128" max="16128" width="12.88671875" style="179" customWidth="1"/>
    <col min="16129" max="16129" width="11.33203125" style="179" customWidth="1"/>
    <col min="16130" max="16130" width="11.88671875" style="179" customWidth="1"/>
    <col min="16131" max="16131" width="7.6640625" style="179" customWidth="1"/>
    <col min="16132" max="16132" width="9" style="179" customWidth="1"/>
    <col min="16133" max="16384" width="11.44140625" style="179"/>
  </cols>
  <sheetData>
    <row r="1" spans="1:9" ht="32.25" customHeight="1" x14ac:dyDescent="0.3">
      <c r="B1" s="180"/>
      <c r="C1" s="181"/>
      <c r="D1" s="181"/>
      <c r="E1" s="181"/>
      <c r="F1" s="181"/>
      <c r="G1" s="181"/>
      <c r="H1" s="181"/>
      <c r="I1" s="181"/>
    </row>
    <row r="2" spans="1:9" ht="12.75" customHeight="1" x14ac:dyDescent="0.3">
      <c r="A2" s="182" t="s">
        <v>66</v>
      </c>
      <c r="B2" s="182"/>
      <c r="C2" s="180"/>
      <c r="D2" s="180"/>
      <c r="E2" s="180"/>
      <c r="F2" s="180"/>
      <c r="G2" s="183"/>
      <c r="H2" s="180"/>
      <c r="I2" s="180"/>
    </row>
    <row r="3" spans="1:9" ht="12.75" customHeight="1" x14ac:dyDescent="0.3">
      <c r="A3" s="182" t="str">
        <f>DETALLE!B1</f>
        <v>Aquien corresponda</v>
      </c>
      <c r="B3" s="182"/>
      <c r="C3" s="183"/>
      <c r="D3" s="184"/>
      <c r="E3" s="185"/>
      <c r="F3" s="183"/>
      <c r="G3" s="180"/>
      <c r="H3" s="180"/>
      <c r="I3" s="180"/>
    </row>
    <row r="4" spans="1:9" ht="12.75" customHeight="1" x14ac:dyDescent="0.3">
      <c r="A4" s="182">
        <f>DETALLE!B3</f>
        <v>0</v>
      </c>
      <c r="B4" s="207" t="s">
        <v>97</v>
      </c>
      <c r="C4" s="269">
        <f ca="1">TODAY()</f>
        <v>45078</v>
      </c>
      <c r="D4" s="269"/>
      <c r="E4" s="272"/>
      <c r="F4" s="272"/>
      <c r="G4" s="272"/>
      <c r="H4" s="180"/>
      <c r="I4" s="180"/>
    </row>
    <row r="5" spans="1:9" ht="12.75" customHeight="1" x14ac:dyDescent="0.25">
      <c r="A5" s="182" t="str">
        <f>DETALLE!B2</f>
        <v>cotización cámaras</v>
      </c>
      <c r="B5" s="182"/>
      <c r="C5" s="183"/>
    </row>
    <row r="6" spans="1:9" ht="12.75" customHeight="1" x14ac:dyDescent="0.3">
      <c r="B6" s="182"/>
      <c r="C6" s="183"/>
      <c r="D6" s="207"/>
      <c r="E6" s="208"/>
      <c r="F6" s="208"/>
      <c r="G6" s="180"/>
      <c r="H6" s="180"/>
      <c r="I6" s="180"/>
    </row>
    <row r="7" spans="1:9" ht="12.75" customHeight="1" x14ac:dyDescent="0.3">
      <c r="A7" s="209" t="s">
        <v>98</v>
      </c>
      <c r="B7" s="182"/>
      <c r="C7" s="183"/>
      <c r="D7" s="207"/>
      <c r="E7" s="208"/>
      <c r="F7" s="208"/>
      <c r="G7" s="180"/>
      <c r="H7" s="180"/>
      <c r="I7" s="180"/>
    </row>
    <row r="8" spans="1:9" ht="12.75" customHeight="1" x14ac:dyDescent="0.3">
      <c r="A8" s="182"/>
      <c r="B8" s="182"/>
      <c r="C8" s="183"/>
      <c r="D8" s="207"/>
      <c r="E8" s="208"/>
      <c r="F8" s="208"/>
      <c r="G8" s="180"/>
      <c r="H8" s="180"/>
      <c r="I8" s="180"/>
    </row>
    <row r="9" spans="1:9" ht="12.75" customHeight="1" x14ac:dyDescent="0.3">
      <c r="B9" s="209"/>
      <c r="C9" s="209"/>
      <c r="D9" s="209"/>
      <c r="E9" s="209"/>
      <c r="F9" s="209"/>
      <c r="G9" s="180"/>
      <c r="H9" s="180"/>
      <c r="I9" s="180"/>
    </row>
    <row r="10" spans="1:9" ht="21" customHeight="1" x14ac:dyDescent="0.3">
      <c r="A10" s="270" t="s">
        <v>65</v>
      </c>
      <c r="B10" s="270"/>
      <c r="C10" s="270"/>
      <c r="D10" s="270"/>
      <c r="E10" s="270"/>
      <c r="F10" s="270"/>
      <c r="G10" s="184"/>
      <c r="H10" s="184"/>
      <c r="I10" s="180"/>
    </row>
    <row r="11" spans="1:9" ht="12.75" customHeight="1" x14ac:dyDescent="0.3">
      <c r="A11" s="186" t="s">
        <v>92</v>
      </c>
      <c r="B11" s="188" t="s">
        <v>82</v>
      </c>
      <c r="C11" s="188" t="s">
        <v>93</v>
      </c>
      <c r="D11" s="188" t="s">
        <v>0</v>
      </c>
      <c r="E11" s="187" t="s">
        <v>94</v>
      </c>
      <c r="F11" s="188" t="s">
        <v>95</v>
      </c>
      <c r="G11" s="180"/>
      <c r="H11" s="180"/>
      <c r="I11" s="180"/>
    </row>
    <row r="12" spans="1:9" ht="19.5" customHeight="1" x14ac:dyDescent="0.3">
      <c r="B12" s="189"/>
      <c r="C12" s="190"/>
      <c r="D12" s="190"/>
      <c r="E12" s="190"/>
      <c r="F12" s="190"/>
      <c r="G12" s="180"/>
      <c r="H12" s="180"/>
      <c r="I12" s="180"/>
    </row>
    <row r="13" spans="1:9" ht="64.5" customHeight="1" x14ac:dyDescent="0.25">
      <c r="A13" s="191">
        <v>1</v>
      </c>
      <c r="B13" s="189" t="str">
        <f>DETALLE!B39</f>
        <v>SUMINISTRAO E IENTALACION DE CCTV</v>
      </c>
      <c r="C13" s="193" t="s">
        <v>96</v>
      </c>
      <c r="D13" s="206">
        <v>1</v>
      </c>
      <c r="E13" s="195">
        <f>DETALLE!D11</f>
        <v>1208.3580000000002</v>
      </c>
      <c r="F13" s="196">
        <f>E13*D13</f>
        <v>1208.3580000000002</v>
      </c>
    </row>
    <row r="14" spans="1:9" ht="30.75" customHeight="1" x14ac:dyDescent="0.25">
      <c r="A14" s="191"/>
      <c r="B14" s="189"/>
      <c r="C14" s="193"/>
      <c r="D14" s="206"/>
      <c r="E14" s="195">
        <f>DETALLE!D12</f>
        <v>533.77649999999994</v>
      </c>
      <c r="F14" s="196">
        <f t="shared" ref="F14:F18" si="0">E14*D14</f>
        <v>0</v>
      </c>
    </row>
    <row r="15" spans="1:9" ht="24" customHeight="1" x14ac:dyDescent="0.25">
      <c r="A15" s="191"/>
      <c r="B15" s="192"/>
      <c r="C15" s="193"/>
      <c r="D15" s="206"/>
      <c r="E15" s="195">
        <f>DETALLE!D13</f>
        <v>1060.6950000000002</v>
      </c>
      <c r="F15" s="196">
        <f t="shared" si="0"/>
        <v>0</v>
      </c>
    </row>
    <row r="16" spans="1:9" ht="25.5" customHeight="1" x14ac:dyDescent="0.25">
      <c r="A16" s="191"/>
      <c r="B16" s="192"/>
      <c r="C16" s="193"/>
      <c r="D16" s="206"/>
      <c r="E16" s="195" t="e">
        <f>DETALLE!#REF!</f>
        <v>#REF!</v>
      </c>
      <c r="F16" s="196" t="e">
        <f t="shared" si="0"/>
        <v>#REF!</v>
      </c>
    </row>
    <row r="17" spans="1:6" ht="48" customHeight="1" x14ac:dyDescent="0.25">
      <c r="A17" s="191"/>
      <c r="B17" s="192"/>
      <c r="C17" s="193"/>
      <c r="D17" s="206"/>
      <c r="E17" s="195"/>
      <c r="F17" s="196"/>
    </row>
    <row r="18" spans="1:6" x14ac:dyDescent="0.25">
      <c r="A18" s="183" t="s">
        <v>101</v>
      </c>
      <c r="D18" s="194"/>
      <c r="E18" s="195"/>
      <c r="F18" s="196">
        <f t="shared" si="0"/>
        <v>0</v>
      </c>
    </row>
    <row r="19" spans="1:6" x14ac:dyDescent="0.25">
      <c r="A19" s="221">
        <f>DETALLE!K6</f>
        <v>13865.0265</v>
      </c>
      <c r="B19" s="210" t="str">
        <f>AO365</f>
        <v>(  TRECE  MIL OCHOCIENTOS SESENTA  Y CINCO  PESOS,  03/100 M.N.  )</v>
      </c>
      <c r="D19" s="198"/>
      <c r="E19" s="197"/>
      <c r="F19" s="200" t="e">
        <f>SUM(F13:F18)</f>
        <v>#REF!</v>
      </c>
    </row>
    <row r="20" spans="1:6" x14ac:dyDescent="0.25">
      <c r="A20" s="198"/>
      <c r="B20" s="222"/>
      <c r="C20" s="198"/>
      <c r="D20" s="198"/>
      <c r="E20" s="197"/>
      <c r="F20" s="200" t="e">
        <f>F19*16%</f>
        <v>#REF!</v>
      </c>
    </row>
    <row r="21" spans="1:6" x14ac:dyDescent="0.25">
      <c r="A21" s="198"/>
      <c r="B21" s="222"/>
      <c r="C21" s="198"/>
      <c r="D21" s="198"/>
      <c r="E21" s="197"/>
      <c r="F21" s="201" t="e">
        <f>SUM(F19:F20)</f>
        <v>#REF!</v>
      </c>
    </row>
    <row r="22" spans="1:6" x14ac:dyDescent="0.25">
      <c r="A22" s="198"/>
      <c r="B22" s="222"/>
      <c r="D22" s="198"/>
      <c r="E22" s="197"/>
      <c r="F22" s="201"/>
    </row>
    <row r="23" spans="1:6" x14ac:dyDescent="0.25">
      <c r="A23" s="198"/>
      <c r="B23" s="222"/>
      <c r="C23" s="198"/>
      <c r="D23" s="198"/>
      <c r="E23" s="197"/>
      <c r="F23" s="201"/>
    </row>
    <row r="24" spans="1:6" x14ac:dyDescent="0.25">
      <c r="A24" s="198"/>
      <c r="B24" s="222"/>
      <c r="C24" s="184"/>
      <c r="D24" s="184"/>
      <c r="E24" s="202"/>
      <c r="F24" s="202"/>
    </row>
    <row r="25" spans="1:6" x14ac:dyDescent="0.25">
      <c r="A25" s="198"/>
      <c r="B25" s="222"/>
      <c r="C25" s="184"/>
      <c r="D25" s="184"/>
      <c r="E25" s="202"/>
      <c r="F25" s="202"/>
    </row>
    <row r="26" spans="1:6" ht="13.8" x14ac:dyDescent="0.25">
      <c r="A26" s="220"/>
      <c r="C26" s="198"/>
      <c r="D26" s="198"/>
      <c r="E26" s="197"/>
      <c r="F26" s="197"/>
    </row>
    <row r="27" spans="1:6" x14ac:dyDescent="0.25">
      <c r="A27" s="198"/>
      <c r="B27" s="198"/>
      <c r="C27" s="198"/>
      <c r="E27" s="197"/>
      <c r="F27" s="197"/>
    </row>
    <row r="28" spans="1:6" x14ac:dyDescent="0.25">
      <c r="A28" s="198"/>
      <c r="B28" s="198"/>
      <c r="C28" s="198"/>
      <c r="E28" s="198"/>
      <c r="F28" s="198"/>
    </row>
    <row r="29" spans="1:6" ht="15.6" x14ac:dyDescent="0.3">
      <c r="A29" s="198"/>
      <c r="C29" s="217" t="s">
        <v>66</v>
      </c>
      <c r="E29" s="198"/>
      <c r="F29" s="198"/>
    </row>
    <row r="30" spans="1:6" x14ac:dyDescent="0.25">
      <c r="A30" s="198"/>
      <c r="C30" s="216" t="s">
        <v>66</v>
      </c>
      <c r="D30" s="198"/>
      <c r="E30" s="198"/>
      <c r="F30" s="198"/>
    </row>
    <row r="31" spans="1:6" x14ac:dyDescent="0.25">
      <c r="B31" s="198"/>
      <c r="C31" s="198"/>
      <c r="D31" s="198"/>
      <c r="E31" s="198"/>
      <c r="F31" s="198"/>
    </row>
    <row r="32" spans="1:6" x14ac:dyDescent="0.25">
      <c r="B32" s="198"/>
      <c r="C32" s="198"/>
      <c r="D32" s="198"/>
      <c r="E32" s="198"/>
      <c r="F32" s="198"/>
    </row>
    <row r="33" spans="1:6" x14ac:dyDescent="0.25">
      <c r="A33" s="198"/>
      <c r="B33" s="198"/>
      <c r="C33" s="198"/>
      <c r="D33" s="198"/>
      <c r="E33" s="198"/>
      <c r="F33" s="198"/>
    </row>
    <row r="34" spans="1:6" x14ac:dyDescent="0.25">
      <c r="A34" s="198"/>
      <c r="B34" s="198"/>
      <c r="C34" s="198"/>
      <c r="D34" s="198"/>
      <c r="E34" s="198"/>
      <c r="F34" s="198"/>
    </row>
    <row r="38" spans="1:6" x14ac:dyDescent="0.25">
      <c r="A38" s="218"/>
    </row>
    <row r="364" spans="39:51" x14ac:dyDescent="0.25">
      <c r="AM364" s="57" t="s">
        <v>3</v>
      </c>
      <c r="AN364" s="57"/>
      <c r="AO364" s="57" t="s">
        <v>4</v>
      </c>
      <c r="AP364" s="57"/>
      <c r="AQ364" s="57"/>
      <c r="AR364" s="57"/>
      <c r="AS364" s="57"/>
      <c r="AT364" s="57"/>
      <c r="AU364" s="57"/>
      <c r="AV364" s="57"/>
      <c r="AW364" s="57"/>
      <c r="AX364" s="57"/>
      <c r="AY364" s="4"/>
    </row>
    <row r="365" spans="39:51" x14ac:dyDescent="0.25">
      <c r="AM365" s="58">
        <f>+A19</f>
        <v>13865.0265</v>
      </c>
      <c r="AN365" s="57"/>
      <c r="AO365" s="59" t="str">
        <f>CONCATENATE(AT368,AW381,AW380,AW377,AW376,AW373,AU371,AU370,AU369,AU368)</f>
        <v>(  TRECE  MIL OCHOCIENTOS SESENTA  Y CINCO  PESOS,  03/100 M.N.  )</v>
      </c>
      <c r="AP365" s="59"/>
      <c r="AQ365" s="59"/>
      <c r="AR365" s="59"/>
      <c r="AS365" s="59"/>
      <c r="AT365" s="59"/>
      <c r="AU365" s="59"/>
      <c r="AV365" s="59"/>
      <c r="AW365" s="59"/>
      <c r="AX365" s="59"/>
      <c r="AY365" s="7"/>
    </row>
    <row r="366" spans="39:51" ht="13.8" thickBot="1" x14ac:dyDescent="0.3">
      <c r="AM366" s="60">
        <v>53</v>
      </c>
      <c r="AN366" s="57"/>
      <c r="AO366" s="59" t="str">
        <f>CONCATENATE(AT368,AW381,AW380,AW377,AW376,AW373,AU371,AU387,AU386,AU368)</f>
        <v>(  TRECE  MIL OCHOCIENTOS SESENTA  Y CINCO  DOLARES,  03/100 U.S. Cy  )</v>
      </c>
      <c r="AP366" s="57"/>
      <c r="AQ366" s="57"/>
      <c r="AR366" s="57"/>
      <c r="AS366" s="57"/>
      <c r="AT366" s="57"/>
      <c r="AU366" s="57"/>
      <c r="AV366" s="57"/>
      <c r="AW366" s="57"/>
      <c r="AX366" s="57"/>
      <c r="AY366" s="4"/>
    </row>
    <row r="367" spans="39:51" ht="13.8" thickTop="1" x14ac:dyDescent="0.25">
      <c r="AM367" s="61"/>
      <c r="AN367" s="62"/>
      <c r="AO367" s="62"/>
      <c r="AP367" s="62"/>
      <c r="AQ367" s="62"/>
      <c r="AR367" s="62"/>
      <c r="AS367" s="62"/>
      <c r="AT367" s="62"/>
      <c r="AU367" s="62"/>
      <c r="AV367" s="62"/>
      <c r="AW367" s="62"/>
      <c r="AX367" s="63"/>
      <c r="AY367" s="13"/>
    </row>
    <row r="368" spans="39:51" x14ac:dyDescent="0.25">
      <c r="AM368" s="64" t="str">
        <f>RIGHT(AM370)</f>
        <v>3</v>
      </c>
      <c r="AN368" s="65"/>
      <c r="AO368" s="65"/>
      <c r="AP368" s="65"/>
      <c r="AQ368" s="65"/>
      <c r="AR368" s="65"/>
      <c r="AS368" s="65"/>
      <c r="AT368" s="66" t="s">
        <v>5</v>
      </c>
      <c r="AU368" s="67" t="s">
        <v>6</v>
      </c>
      <c r="AV368" s="65"/>
      <c r="AW368" s="65"/>
      <c r="AX368" s="68"/>
      <c r="AY368" s="13"/>
    </row>
    <row r="369" spans="39:51" x14ac:dyDescent="0.25">
      <c r="AM369" s="64"/>
      <c r="AN369" s="65"/>
      <c r="AO369" s="65"/>
      <c r="AP369" s="67" t="s">
        <v>7</v>
      </c>
      <c r="AQ369" s="65"/>
      <c r="AR369" s="65"/>
      <c r="AS369" s="65"/>
      <c r="AT369" s="65"/>
      <c r="AU369" s="69" t="str">
        <f>CONCATENATE(AP371,AP370,AP369)</f>
        <v>03/100 M.N.</v>
      </c>
      <c r="AV369" s="65"/>
      <c r="AW369" s="65"/>
      <c r="AX369" s="68"/>
      <c r="AY369" s="13"/>
    </row>
    <row r="370" spans="39:51" x14ac:dyDescent="0.25">
      <c r="AM370" s="64" t="str">
        <f>RIGHT(AM390,AN370)</f>
        <v>3</v>
      </c>
      <c r="AN370" s="65">
        <v>1</v>
      </c>
      <c r="AO370" s="70" t="str">
        <f>MID(AM370,1,1)</f>
        <v>3</v>
      </c>
      <c r="AP370" s="65">
        <f>IF(VLOOKUP(AO370,AM392:AN403,2,FALSE)=0,0,VLOOKUP(AO370,AM392:AN403,2,FALSE))</f>
        <v>3</v>
      </c>
      <c r="AQ370" s="65"/>
      <c r="AR370" s="65"/>
      <c r="AS370" s="71"/>
      <c r="AT370" s="71"/>
      <c r="AU370" s="69" t="str">
        <f>IF(AM365&lt;&gt;1,"PESOS,  ","PESO  ")</f>
        <v xml:space="preserve">PESOS,  </v>
      </c>
      <c r="AV370" s="69"/>
      <c r="AW370" s="65"/>
      <c r="AX370" s="68"/>
      <c r="AY370" s="13"/>
    </row>
    <row r="371" spans="39:51" x14ac:dyDescent="0.25">
      <c r="AM371" s="64" t="str">
        <f>RIGHT(AM390,AN371)</f>
        <v>03</v>
      </c>
      <c r="AN371" s="65">
        <v>2</v>
      </c>
      <c r="AO371" s="70" t="str">
        <f>MID(AM371,1,1)</f>
        <v>0</v>
      </c>
      <c r="AP371" s="65">
        <f>IF(VLOOKUP(AO371,AM392:AN403,2,FALSE)=0,0,VLOOKUP(AO371,AM392:AN403,2,FALSE))</f>
        <v>0</v>
      </c>
      <c r="AQ371" s="65"/>
      <c r="AR371" s="65"/>
      <c r="AS371" s="69" t="str">
        <f>IF(SUM(AP373:AP383)=0,"CERO  ","")</f>
        <v/>
      </c>
      <c r="AT371" s="69" t="str">
        <f>IF(AP373&gt;2,"Y ","")</f>
        <v xml:space="preserve">Y </v>
      </c>
      <c r="AU371" s="69" t="str">
        <f>IF(SUM(AP373:AP383)=0,AS371,"")</f>
        <v/>
      </c>
      <c r="AV371" s="65"/>
      <c r="AW371" s="65"/>
      <c r="AX371" s="68"/>
      <c r="AY371" s="13"/>
    </row>
    <row r="372" spans="39:51" ht="13.8" thickBot="1" x14ac:dyDescent="0.3">
      <c r="AM372" s="64" t="str">
        <f>RIGHT(AM390,AN372)</f>
        <v>.03</v>
      </c>
      <c r="AN372" s="65">
        <v>3</v>
      </c>
      <c r="AO372" s="70" t="str">
        <f>MID(AM372,1,1)</f>
        <v>.</v>
      </c>
      <c r="AP372" s="65">
        <f>IF(VLOOKUP(AO372,AM392:AN403,2,FALSE)=0,0,VLOOKUP(AO372,AM392:AN403,2,FALSE))</f>
        <v>1</v>
      </c>
      <c r="AQ372" s="65"/>
      <c r="AR372" s="70">
        <v>1</v>
      </c>
      <c r="AS372" s="70">
        <v>2</v>
      </c>
      <c r="AT372" s="70">
        <v>3</v>
      </c>
      <c r="AU372" s="70">
        <v>4</v>
      </c>
      <c r="AV372" s="70"/>
      <c r="AW372" s="65"/>
      <c r="AX372" s="68"/>
      <c r="AY372" s="13"/>
    </row>
    <row r="373" spans="39:51" x14ac:dyDescent="0.25">
      <c r="AM373" s="72" t="str">
        <f>RIGHT(AM390,AN373)</f>
        <v>5.03</v>
      </c>
      <c r="AN373" s="73">
        <v>4</v>
      </c>
      <c r="AO373" s="74" t="str">
        <f t="shared" ref="AO373:AO383" si="1">IF(AM373=AM372,"0",MID(AM373,1,1))</f>
        <v>5</v>
      </c>
      <c r="AP373" s="75">
        <f>IF(VLOOKUP(AO373,AM392:AN403,2,FALSE)=0,0,VLOOKUP(AO373,AM392:AN403,2,FALSE))</f>
        <v>5</v>
      </c>
      <c r="AQ373" s="65"/>
      <c r="AR373" s="76" t="str">
        <f>IF(AP373=0,"",VLOOKUP(AP373,AN392:AR401,4,FALSE))</f>
        <v xml:space="preserve">CINCO  </v>
      </c>
      <c r="AS373" s="77" t="str">
        <f>IF(AP374=1,VLOOKUP(AP373,AN392:AR401,5,FALSE),VLOOKUP(AP373,AN392:AR401,4,FALSE))</f>
        <v xml:space="preserve">CINCO  </v>
      </c>
      <c r="AT373" s="77" t="str">
        <f>IF(AP374=1,AS373,AR373)</f>
        <v xml:space="preserve">CINCO  </v>
      </c>
      <c r="AU373" s="78" t="str">
        <f>IF(AP373=0,AR373,AT373)</f>
        <v xml:space="preserve">CINCO  </v>
      </c>
      <c r="AV373" s="65" t="str">
        <f>IF(AND(AP374&gt;2,AP373&gt;0),"Y ","")</f>
        <v xml:space="preserve">Y </v>
      </c>
      <c r="AW373" s="65" t="str">
        <f>CONCATENATE(AU375,AU374,AV373,AU373)</f>
        <v xml:space="preserve">OCHOCIENTOS SESENTA  Y CINCO  </v>
      </c>
      <c r="AX373" s="68"/>
      <c r="AY373" s="13"/>
    </row>
    <row r="374" spans="39:51" x14ac:dyDescent="0.25">
      <c r="AM374" s="64" t="str">
        <f>RIGHT(AM390,AN374)</f>
        <v>65.03</v>
      </c>
      <c r="AN374" s="65">
        <v>5</v>
      </c>
      <c r="AO374" s="70" t="str">
        <f t="shared" si="1"/>
        <v>6</v>
      </c>
      <c r="AP374" s="79">
        <f>IF(VLOOKUP(AO374,AM392:AN403,2,FALSE)=0,0,VLOOKUP(AO374,AM392:AN403,2,FALSE))</f>
        <v>6</v>
      </c>
      <c r="AQ374" s="65"/>
      <c r="AR374" s="80" t="str">
        <f>IF(AP374=0,"",VLOOKUP(AP374,AN392:AR401,3,FALSE))</f>
        <v xml:space="preserve">SESENTA  </v>
      </c>
      <c r="AS374" s="69" t="str">
        <f>IF(AP374=1,"",AR374)</f>
        <v xml:space="preserve">SESENTA  </v>
      </c>
      <c r="AT374" s="69" t="str">
        <f>IF(AP374=2,AS390,AS374)</f>
        <v xml:space="preserve">SESENTA  </v>
      </c>
      <c r="AU374" s="81" t="str">
        <f>IF(AP373=0,AR374,AT374)</f>
        <v xml:space="preserve">SESENTA  </v>
      </c>
      <c r="AV374" s="69"/>
      <c r="AW374" s="69"/>
      <c r="AX374" s="68"/>
      <c r="AY374" s="13"/>
    </row>
    <row r="375" spans="39:51" ht="13.8" thickBot="1" x14ac:dyDescent="0.3">
      <c r="AM375" s="82" t="str">
        <f>RIGHT(AM390,AN375)</f>
        <v>865.03</v>
      </c>
      <c r="AN375" s="83">
        <v>6</v>
      </c>
      <c r="AO375" s="84" t="str">
        <f t="shared" si="1"/>
        <v>8</v>
      </c>
      <c r="AP375" s="85">
        <f>IF(VLOOKUP(AO375,AM392:AN403,2,FALSE)=0,0,VLOOKUP(AO375,AM392:AN403,2,FALSE))</f>
        <v>8</v>
      </c>
      <c r="AQ375" s="65"/>
      <c r="AR375" s="86" t="str">
        <f>IF(AP375=0,"",VLOOKUP(AP375,AN392:AR401,2,FALSE))</f>
        <v xml:space="preserve">OCHOCIENTOS </v>
      </c>
      <c r="AS375" s="87"/>
      <c r="AT375" s="88" t="str">
        <f>IF(AP375=1,AO389,AR375)</f>
        <v xml:space="preserve">OCHOCIENTOS </v>
      </c>
      <c r="AU375" s="89" t="str">
        <f>IF(AP373+AP374=0,AR375,AT375)</f>
        <v xml:space="preserve">OCHOCIENTOS </v>
      </c>
      <c r="AV375" s="69"/>
      <c r="AW375" s="69"/>
      <c r="AX375" s="68"/>
      <c r="AY375" s="13"/>
    </row>
    <row r="376" spans="39:51" ht="13.8" thickBot="1" x14ac:dyDescent="0.3">
      <c r="AM376" s="64" t="str">
        <f>RIGHT(AM390,AN376)</f>
        <v>,865.03</v>
      </c>
      <c r="AN376" s="65">
        <v>7</v>
      </c>
      <c r="AO376" s="70" t="str">
        <f t="shared" si="1"/>
        <v>,</v>
      </c>
      <c r="AP376" s="65">
        <f>IF(VLOOKUP(AO376,AM392:AN403,2,FALSE)=0,0,VLOOKUP(AO376,AM392:AN403,2,FALSE))</f>
        <v>0</v>
      </c>
      <c r="AQ376" s="65"/>
      <c r="AR376" s="69" t="str">
        <f>IF(SUM(AP377:AP379)=0,"","MIL ")</f>
        <v xml:space="preserve">MIL </v>
      </c>
      <c r="AS376" s="69"/>
      <c r="AT376" s="69"/>
      <c r="AU376" s="69"/>
      <c r="AV376" s="69"/>
      <c r="AW376" s="69" t="str">
        <f>AR376</f>
        <v xml:space="preserve">MIL </v>
      </c>
      <c r="AX376" s="68"/>
      <c r="AY376" s="13"/>
    </row>
    <row r="377" spans="39:51" x14ac:dyDescent="0.25">
      <c r="AM377" s="72" t="str">
        <f>RIGHT(AM390,AN377)</f>
        <v>3,865.03</v>
      </c>
      <c r="AN377" s="73">
        <v>8</v>
      </c>
      <c r="AO377" s="74" t="str">
        <f t="shared" si="1"/>
        <v>3</v>
      </c>
      <c r="AP377" s="75">
        <f>IF(VLOOKUP(AO377,AM392:AN403,2,FALSE)=0,0,VLOOKUP(AO377,AM392:AN403,2,FALSE))</f>
        <v>3</v>
      </c>
      <c r="AQ377" s="65"/>
      <c r="AR377" s="76" t="str">
        <f>IF(AP377=0,"",VLOOKUP(AP377,AN392:AR401,4,FALSE))</f>
        <v xml:space="preserve">TRES  </v>
      </c>
      <c r="AS377" s="77" t="str">
        <f>IF(AP378=1,VLOOKUP(AP377,AN392:AR401,5,FALSE),VLOOKUP(AP377,AN392:AR401,4,FALSE))</f>
        <v xml:space="preserve">TRECE  </v>
      </c>
      <c r="AT377" s="77" t="str">
        <f>IF(AP378=1,AS377,AR377)</f>
        <v xml:space="preserve">TRECE  </v>
      </c>
      <c r="AU377" s="78" t="str">
        <f>IF(AP377=0,AR377,AT377)</f>
        <v xml:space="preserve">TRECE  </v>
      </c>
      <c r="AV377" s="65" t="str">
        <f>IF(AND(AP378&gt;2,AP377&gt;0),"Y ","")</f>
        <v/>
      </c>
      <c r="AW377" s="65" t="str">
        <f>CONCATENATE(AU379,AU378,AV377,AU377)</f>
        <v xml:space="preserve">TRECE  </v>
      </c>
      <c r="AX377" s="68"/>
      <c r="AY377" s="13"/>
    </row>
    <row r="378" spans="39:51" x14ac:dyDescent="0.25">
      <c r="AM378" s="64" t="str">
        <f>RIGHT(AM390,AN378)</f>
        <v>13,865.03</v>
      </c>
      <c r="AN378" s="65">
        <v>9</v>
      </c>
      <c r="AO378" s="70" t="str">
        <f t="shared" si="1"/>
        <v>1</v>
      </c>
      <c r="AP378" s="79">
        <f>IF(VLOOKUP(AO378,AM392:AN403,2,FALSE)=0,0,VLOOKUP(AO378,AM392:AN403,2,FALSE))</f>
        <v>1</v>
      </c>
      <c r="AQ378" s="65"/>
      <c r="AR378" s="80" t="str">
        <f>IF(AP378=0,"",VLOOKUP(AP378,AN392:AR401,3,FALSE))</f>
        <v xml:space="preserve">DIEZ  </v>
      </c>
      <c r="AS378" s="69" t="str">
        <f>IF(AP378=1,"",AR378)</f>
        <v/>
      </c>
      <c r="AT378" s="69" t="str">
        <f>IF(AP378=2,AS390,AS378)</f>
        <v/>
      </c>
      <c r="AU378" s="81" t="str">
        <f>IF(AP377=0,AR378,AT378)</f>
        <v/>
      </c>
      <c r="AV378" s="69"/>
      <c r="AW378" s="69"/>
      <c r="AX378" s="68"/>
      <c r="AY378" s="13"/>
    </row>
    <row r="379" spans="39:51" ht="13.8" thickBot="1" x14ac:dyDescent="0.3">
      <c r="AM379" s="82" t="str">
        <f>RIGHT(AM390,AN379)</f>
        <v>13,865.03</v>
      </c>
      <c r="AN379" s="83">
        <v>10</v>
      </c>
      <c r="AO379" s="84" t="str">
        <f t="shared" si="1"/>
        <v>0</v>
      </c>
      <c r="AP379" s="85">
        <f>IF(VLOOKUP(AO379,AM392:AN403,2,FALSE)=0,0,VLOOKUP(AO379,AM392:AN403,2,FALSE))</f>
        <v>0</v>
      </c>
      <c r="AQ379" s="65"/>
      <c r="AR379" s="86" t="str">
        <f>IF(AP379=0,"",VLOOKUP(AP379,AN392:AR403,2,FALSE))</f>
        <v/>
      </c>
      <c r="AS379" s="87"/>
      <c r="AT379" s="88" t="str">
        <f>IF(AP379=1,AO389,AR379)</f>
        <v/>
      </c>
      <c r="AU379" s="89" t="str">
        <f>IF(AP377+AP378=0,AR379,AT379)</f>
        <v/>
      </c>
      <c r="AV379" s="69"/>
      <c r="AW379" s="69"/>
      <c r="AX379" s="68"/>
      <c r="AY379" s="13"/>
    </row>
    <row r="380" spans="39:51" ht="13.8" thickBot="1" x14ac:dyDescent="0.3">
      <c r="AM380" s="64" t="str">
        <f>RIGHT(AM390,AN380)</f>
        <v>13,865.03</v>
      </c>
      <c r="AN380" s="65">
        <v>11</v>
      </c>
      <c r="AO380" s="70" t="str">
        <f t="shared" si="1"/>
        <v>0</v>
      </c>
      <c r="AP380" s="65">
        <f>IF(VLOOKUP(AO380,AM392:AN403,2,FALSE)=0,0,VLOOKUP(AO380,AM392:AN403,2,FALSE))</f>
        <v>0</v>
      </c>
      <c r="AQ380" s="65"/>
      <c r="AR380" s="69" t="str">
        <f>IF(AM365&gt;1999999.99,"MILLONES","MILLON")</f>
        <v>MILLON</v>
      </c>
      <c r="AS380" s="69"/>
      <c r="AT380" s="69"/>
      <c r="AU380" s="69"/>
      <c r="AV380" s="69" t="str">
        <f>IF(SUM(AP381:AP383)&gt;0,AR380,"")</f>
        <v/>
      </c>
      <c r="AW380" s="65" t="str">
        <f>CONCATENATE(AV380," ",AV382)</f>
        <v xml:space="preserve">  </v>
      </c>
      <c r="AX380" s="68"/>
      <c r="AY380" s="13"/>
    </row>
    <row r="381" spans="39:51" x14ac:dyDescent="0.25">
      <c r="AM381" s="72" t="str">
        <f>RIGHT(AM390,AN381)</f>
        <v>13,865.03</v>
      </c>
      <c r="AN381" s="73">
        <v>12</v>
      </c>
      <c r="AO381" s="74" t="str">
        <f t="shared" si="1"/>
        <v>0</v>
      </c>
      <c r="AP381" s="75">
        <f>IF(VLOOKUP(AO381,AM392:AN403,2,FALSE)=0,0,VLOOKUP(AO381,AM392:AN403,2,FALSE))</f>
        <v>0</v>
      </c>
      <c r="AQ381" s="65"/>
      <c r="AR381" s="76" t="str">
        <f>IF(AP381=0,"",VLOOKUP(AP381,AN392:AR401,4,FALSE))</f>
        <v/>
      </c>
      <c r="AS381" s="77" t="e">
        <f>IF(AP382=1,VLOOKUP(AP381,AN392:AR401,5,FALSE),VLOOKUP(AP381,AN392:AR401,4,FALSE))</f>
        <v>#N/A</v>
      </c>
      <c r="AT381" s="77" t="str">
        <f>IF(AP382=1,AS381,AR381)</f>
        <v/>
      </c>
      <c r="AU381" s="78" t="str">
        <f>IF(AP381=0,AR381,AT381)</f>
        <v/>
      </c>
      <c r="AV381" s="65" t="str">
        <f>IF(AND(AP382&gt;2,AP381&gt;0),"Y ","")</f>
        <v/>
      </c>
      <c r="AW381" s="65" t="str">
        <f>CONCATENATE(AU383,AU382,AV381,AU381)</f>
        <v/>
      </c>
      <c r="AX381" s="68"/>
      <c r="AY381" s="13"/>
    </row>
    <row r="382" spans="39:51" x14ac:dyDescent="0.25">
      <c r="AM382" s="64" t="str">
        <f>RIGHT(AM390,AN382)</f>
        <v>13,865.03</v>
      </c>
      <c r="AN382" s="65">
        <v>13</v>
      </c>
      <c r="AO382" s="70" t="str">
        <f t="shared" si="1"/>
        <v>0</v>
      </c>
      <c r="AP382" s="79">
        <f>IF(VLOOKUP(AO382,AM392:AN403,2,FALSE)=0,0,VLOOKUP(AO382,AM392:AN403,2,FALSE))</f>
        <v>0</v>
      </c>
      <c r="AQ382" s="65"/>
      <c r="AR382" s="80" t="str">
        <f>IF(AP382=0,"",VLOOKUP(AP382,AN392:AR401,3,FALSE))</f>
        <v/>
      </c>
      <c r="AS382" s="69" t="str">
        <f>IF(AP382=1,"",AR382)</f>
        <v/>
      </c>
      <c r="AT382" s="69" t="str">
        <f>IF(AP382=2,AS390,AS382)</f>
        <v/>
      </c>
      <c r="AU382" s="81" t="str">
        <f>IF(AP381=0,AR382,AT382)</f>
        <v/>
      </c>
      <c r="AV382" s="65" t="str">
        <f>IF(AND(AM365&gt;0.99,SUM(AP381:AP383)&gt;0),IF(SUM(AP373:AP379)&gt;0," ","DE ")," ")</f>
        <v xml:space="preserve"> </v>
      </c>
      <c r="AW382" s="69"/>
      <c r="AX382" s="68"/>
      <c r="AY382" s="13"/>
    </row>
    <row r="383" spans="39:51" ht="13.8" thickBot="1" x14ac:dyDescent="0.3">
      <c r="AM383" s="82" t="str">
        <f>RIGHT(AM390,AN383)</f>
        <v>13,865.03</v>
      </c>
      <c r="AN383" s="83">
        <v>14</v>
      </c>
      <c r="AO383" s="84" t="str">
        <f t="shared" si="1"/>
        <v>0</v>
      </c>
      <c r="AP383" s="85">
        <f>IF(VLOOKUP(AO383,AM392:AN403,2,FALSE)=0,0,VLOOKUP(AO383,AM392:AN403,2,FALSE))</f>
        <v>0</v>
      </c>
      <c r="AQ383" s="65"/>
      <c r="AR383" s="86" t="str">
        <f>IF(AP383=0,"",VLOOKUP(AP383,AN392:AR404,2,FALSE))</f>
        <v/>
      </c>
      <c r="AS383" s="87"/>
      <c r="AT383" s="88" t="str">
        <f>IF(AP383=1,AO389,AR383)</f>
        <v/>
      </c>
      <c r="AU383" s="89" t="str">
        <f>IF(AP381+AP382=0,AR383,AT383)</f>
        <v/>
      </c>
      <c r="AV383" s="65"/>
      <c r="AW383" s="69"/>
      <c r="AX383" s="68"/>
      <c r="AY383" s="13"/>
    </row>
    <row r="384" spans="39:51" x14ac:dyDescent="0.25">
      <c r="AM384" s="64"/>
      <c r="AN384" s="65"/>
      <c r="AO384" s="65"/>
      <c r="AP384" s="65"/>
      <c r="AQ384" s="65"/>
      <c r="AR384" s="65"/>
      <c r="AS384" s="65"/>
      <c r="AT384" s="65"/>
      <c r="AU384" s="65"/>
      <c r="AV384" s="65"/>
      <c r="AW384" s="65"/>
      <c r="AX384" s="68"/>
      <c r="AY384" s="13"/>
    </row>
    <row r="385" spans="39:51" x14ac:dyDescent="0.25">
      <c r="AM385" s="64"/>
      <c r="AN385" s="65"/>
      <c r="AO385" s="65"/>
      <c r="AP385" s="67" t="s">
        <v>8</v>
      </c>
      <c r="AQ385" s="65"/>
      <c r="AR385" s="65"/>
      <c r="AS385" s="65"/>
      <c r="AT385" s="66" t="s">
        <v>9</v>
      </c>
      <c r="AU385" s="67" t="s">
        <v>6</v>
      </c>
      <c r="AV385" s="65"/>
      <c r="AW385" s="65"/>
      <c r="AX385" s="68"/>
      <c r="AY385" s="13"/>
    </row>
    <row r="386" spans="39:51" x14ac:dyDescent="0.25">
      <c r="AM386" s="64"/>
      <c r="AN386" s="65"/>
      <c r="AO386" s="65"/>
      <c r="AP386" s="65"/>
      <c r="AQ386" s="65"/>
      <c r="AR386" s="65"/>
      <c r="AS386" s="65"/>
      <c r="AT386" s="65"/>
      <c r="AU386" s="69" t="str">
        <f>CONCATENATE(AP371,AP370,AP385)</f>
        <v>03/100 U.S. Cy</v>
      </c>
      <c r="AV386" s="65"/>
      <c r="AW386" s="65"/>
      <c r="AX386" s="68"/>
      <c r="AY386" s="13"/>
    </row>
    <row r="387" spans="39:51" ht="13.8" x14ac:dyDescent="0.25">
      <c r="AM387" s="90" t="str">
        <f>CONCATENATE(AO383,AO382,AO381,AO380,AO379,AO378,AO377,AO376,AO375,AO374,AO373,AO372,AO371,AO370)</f>
        <v>0000013,865.03</v>
      </c>
      <c r="AN387" s="65"/>
      <c r="AO387" s="65"/>
      <c r="AP387" s="65"/>
      <c r="AQ387" s="65"/>
      <c r="AR387" s="65"/>
      <c r="AS387" s="65"/>
      <c r="AT387" s="71"/>
      <c r="AU387" s="69" t="str">
        <f>IF(AM365&lt;&gt;1,"DOLARES,  ","PESO  ")</f>
        <v xml:space="preserve">DOLARES,  </v>
      </c>
      <c r="AV387" s="65"/>
      <c r="AW387" s="65"/>
      <c r="AX387" s="68"/>
      <c r="AY387" s="13"/>
    </row>
    <row r="388" spans="39:51" ht="13.8" thickBot="1" x14ac:dyDescent="0.3">
      <c r="AM388" s="64"/>
      <c r="AN388" s="65"/>
      <c r="AO388" s="65"/>
      <c r="AP388" s="65"/>
      <c r="AQ388" s="65"/>
      <c r="AR388" s="65"/>
      <c r="AS388" s="65"/>
      <c r="AT388" s="65"/>
      <c r="AU388" s="65"/>
      <c r="AV388" s="65"/>
      <c r="AW388" s="65"/>
      <c r="AX388" s="68"/>
      <c r="AY388" s="13"/>
    </row>
    <row r="389" spans="39:51" x14ac:dyDescent="0.25">
      <c r="AM389" s="91"/>
      <c r="AN389" s="92"/>
      <c r="AO389" s="93" t="s">
        <v>10</v>
      </c>
      <c r="AP389" s="94"/>
      <c r="AQ389" s="93"/>
      <c r="AR389" s="94"/>
      <c r="AS389" s="95"/>
      <c r="AT389" s="65"/>
      <c r="AU389" s="65"/>
      <c r="AV389" s="65"/>
      <c r="AW389" s="65"/>
      <c r="AX389" s="68"/>
      <c r="AY389" s="13"/>
    </row>
    <row r="390" spans="39:51" x14ac:dyDescent="0.25">
      <c r="AM390" s="96" t="str">
        <f>FIXED(AM365)</f>
        <v>13,865.03</v>
      </c>
      <c r="AN390" s="65"/>
      <c r="AO390" s="97" t="s">
        <v>11</v>
      </c>
      <c r="AP390" s="97" t="s">
        <v>12</v>
      </c>
      <c r="AQ390" s="97" t="s">
        <v>13</v>
      </c>
      <c r="AR390" s="98" t="s">
        <v>14</v>
      </c>
      <c r="AS390" s="99" t="s">
        <v>15</v>
      </c>
      <c r="AT390" s="65"/>
      <c r="AU390" s="65"/>
      <c r="AV390" s="65"/>
      <c r="AW390" s="65"/>
      <c r="AX390" s="68"/>
      <c r="AY390" s="13"/>
    </row>
    <row r="391" spans="39:51" x14ac:dyDescent="0.25">
      <c r="AM391" s="64"/>
      <c r="AN391" s="100">
        <v>1</v>
      </c>
      <c r="AO391" s="100">
        <v>8</v>
      </c>
      <c r="AP391" s="100">
        <v>9</v>
      </c>
      <c r="AQ391" s="100">
        <v>10</v>
      </c>
      <c r="AR391" s="100">
        <v>11</v>
      </c>
      <c r="AS391" s="99"/>
      <c r="AT391" s="65"/>
      <c r="AU391" s="65"/>
      <c r="AV391" s="65"/>
      <c r="AW391" s="65"/>
      <c r="AX391" s="68"/>
      <c r="AY391" s="13"/>
    </row>
    <row r="392" spans="39:51" x14ac:dyDescent="0.25">
      <c r="AM392" s="101" t="s">
        <v>16</v>
      </c>
      <c r="AN392" s="65">
        <v>1</v>
      </c>
      <c r="AO392" s="102" t="s">
        <v>17</v>
      </c>
      <c r="AP392" s="102" t="s">
        <v>18</v>
      </c>
      <c r="AQ392" s="102" t="s">
        <v>19</v>
      </c>
      <c r="AR392" s="102" t="s">
        <v>20</v>
      </c>
      <c r="AS392" s="99"/>
      <c r="AT392" s="65"/>
      <c r="AU392" s="65"/>
      <c r="AV392" s="65"/>
      <c r="AW392" s="65"/>
      <c r="AX392" s="68"/>
      <c r="AY392" s="13"/>
    </row>
    <row r="393" spans="39:51" x14ac:dyDescent="0.25">
      <c r="AM393" s="101" t="s">
        <v>21</v>
      </c>
      <c r="AN393" s="65">
        <v>2</v>
      </c>
      <c r="AO393" s="102" t="s">
        <v>22</v>
      </c>
      <c r="AP393" s="102" t="s">
        <v>23</v>
      </c>
      <c r="AQ393" s="102" t="s">
        <v>24</v>
      </c>
      <c r="AR393" s="102" t="s">
        <v>25</v>
      </c>
      <c r="AS393" s="99"/>
      <c r="AT393" s="65"/>
      <c r="AU393" s="65"/>
      <c r="AV393" s="65"/>
      <c r="AW393" s="65"/>
      <c r="AX393" s="68"/>
      <c r="AY393" s="13"/>
    </row>
    <row r="394" spans="39:51" x14ac:dyDescent="0.25">
      <c r="AM394" s="101" t="s">
        <v>26</v>
      </c>
      <c r="AN394" s="65">
        <v>3</v>
      </c>
      <c r="AO394" s="102" t="s">
        <v>27</v>
      </c>
      <c r="AP394" s="102" t="s">
        <v>28</v>
      </c>
      <c r="AQ394" s="102" t="s">
        <v>29</v>
      </c>
      <c r="AR394" s="102" t="s">
        <v>30</v>
      </c>
      <c r="AS394" s="99"/>
      <c r="AT394" s="65"/>
      <c r="AU394" s="65"/>
      <c r="AV394" s="65"/>
      <c r="AW394" s="65"/>
      <c r="AX394" s="68"/>
      <c r="AY394" s="13"/>
    </row>
    <row r="395" spans="39:51" x14ac:dyDescent="0.25">
      <c r="AM395" s="101" t="s">
        <v>31</v>
      </c>
      <c r="AN395" s="65">
        <v>4</v>
      </c>
      <c r="AO395" s="102" t="s">
        <v>32</v>
      </c>
      <c r="AP395" s="102" t="s">
        <v>33</v>
      </c>
      <c r="AQ395" s="102" t="s">
        <v>34</v>
      </c>
      <c r="AR395" s="102" t="s">
        <v>35</v>
      </c>
      <c r="AS395" s="99"/>
      <c r="AT395" s="65"/>
      <c r="AU395" s="65"/>
      <c r="AV395" s="65"/>
      <c r="AW395" s="65"/>
      <c r="AX395" s="68"/>
      <c r="AY395" s="13"/>
    </row>
    <row r="396" spans="39:51" x14ac:dyDescent="0.25">
      <c r="AM396" s="101" t="s">
        <v>36</v>
      </c>
      <c r="AN396" s="65">
        <v>5</v>
      </c>
      <c r="AO396" s="102" t="s">
        <v>37</v>
      </c>
      <c r="AP396" s="102" t="s">
        <v>38</v>
      </c>
      <c r="AQ396" s="102" t="s">
        <v>39</v>
      </c>
      <c r="AR396" s="102" t="s">
        <v>40</v>
      </c>
      <c r="AS396" s="99"/>
      <c r="AT396" s="65"/>
      <c r="AU396" s="65"/>
      <c r="AV396" s="65"/>
      <c r="AW396" s="65"/>
      <c r="AX396" s="68"/>
      <c r="AY396" s="13"/>
    </row>
    <row r="397" spans="39:51" x14ac:dyDescent="0.25">
      <c r="AM397" s="101" t="s">
        <v>41</v>
      </c>
      <c r="AN397" s="65">
        <v>6</v>
      </c>
      <c r="AO397" s="102" t="s">
        <v>42</v>
      </c>
      <c r="AP397" s="102" t="s">
        <v>43</v>
      </c>
      <c r="AQ397" s="102" t="s">
        <v>44</v>
      </c>
      <c r="AR397" s="102" t="s">
        <v>45</v>
      </c>
      <c r="AS397" s="99"/>
      <c r="AT397" s="65"/>
      <c r="AU397" s="65"/>
      <c r="AV397" s="65"/>
      <c r="AW397" s="65"/>
      <c r="AX397" s="68"/>
      <c r="AY397" s="13"/>
    </row>
    <row r="398" spans="39:51" x14ac:dyDescent="0.25">
      <c r="AM398" s="101" t="s">
        <v>46</v>
      </c>
      <c r="AN398" s="65">
        <v>7</v>
      </c>
      <c r="AO398" s="102" t="s">
        <v>47</v>
      </c>
      <c r="AP398" s="102" t="s">
        <v>48</v>
      </c>
      <c r="AQ398" s="102" t="s">
        <v>49</v>
      </c>
      <c r="AR398" s="102" t="s">
        <v>50</v>
      </c>
      <c r="AS398" s="99"/>
      <c r="AT398" s="65"/>
      <c r="AU398" s="65"/>
      <c r="AV398" s="65"/>
      <c r="AW398" s="65"/>
      <c r="AX398" s="68"/>
      <c r="AY398" s="13"/>
    </row>
    <row r="399" spans="39:51" x14ac:dyDescent="0.25">
      <c r="AM399" s="101" t="s">
        <v>51</v>
      </c>
      <c r="AN399" s="65">
        <v>8</v>
      </c>
      <c r="AO399" s="102" t="s">
        <v>52</v>
      </c>
      <c r="AP399" s="102" t="s">
        <v>53</v>
      </c>
      <c r="AQ399" s="102" t="s">
        <v>54</v>
      </c>
      <c r="AR399" s="102" t="s">
        <v>55</v>
      </c>
      <c r="AS399" s="99"/>
      <c r="AT399" s="65"/>
      <c r="AU399" s="65"/>
      <c r="AV399" s="65"/>
      <c r="AW399" s="65"/>
      <c r="AX399" s="68"/>
      <c r="AY399" s="13"/>
    </row>
    <row r="400" spans="39:51" x14ac:dyDescent="0.25">
      <c r="AM400" s="101" t="s">
        <v>56</v>
      </c>
      <c r="AN400" s="65">
        <v>9</v>
      </c>
      <c r="AO400" s="102" t="s">
        <v>57</v>
      </c>
      <c r="AP400" s="102" t="s">
        <v>58</v>
      </c>
      <c r="AQ400" s="102" t="s">
        <v>59</v>
      </c>
      <c r="AR400" s="102" t="s">
        <v>60</v>
      </c>
      <c r="AS400" s="99"/>
      <c r="AT400" s="65"/>
      <c r="AU400" s="65"/>
      <c r="AV400" s="65"/>
      <c r="AW400" s="65"/>
      <c r="AX400" s="68"/>
      <c r="AY400" s="13"/>
    </row>
    <row r="401" spans="39:51" x14ac:dyDescent="0.25">
      <c r="AM401" s="101" t="s">
        <v>61</v>
      </c>
      <c r="AN401" s="65"/>
      <c r="AO401" s="65"/>
      <c r="AP401" s="65"/>
      <c r="AQ401" s="65"/>
      <c r="AR401" s="65"/>
      <c r="AS401" s="99"/>
      <c r="AT401" s="65"/>
      <c r="AU401" s="65"/>
      <c r="AV401" s="65"/>
      <c r="AW401" s="65"/>
      <c r="AX401" s="68"/>
      <c r="AY401" s="13"/>
    </row>
    <row r="402" spans="39:51" x14ac:dyDescent="0.25">
      <c r="AM402" s="101" t="s">
        <v>62</v>
      </c>
      <c r="AN402" s="65">
        <v>1</v>
      </c>
      <c r="AO402" s="65">
        <v>2</v>
      </c>
      <c r="AP402" s="65">
        <v>3</v>
      </c>
      <c r="AQ402" s="65">
        <v>4</v>
      </c>
      <c r="AR402" s="65">
        <v>5</v>
      </c>
      <c r="AS402" s="99"/>
      <c r="AT402" s="65"/>
      <c r="AU402" s="65"/>
      <c r="AV402" s="65"/>
      <c r="AW402" s="65"/>
      <c r="AX402" s="68"/>
      <c r="AY402" s="13"/>
    </row>
    <row r="403" spans="39:51" x14ac:dyDescent="0.25">
      <c r="AM403" s="101" t="s">
        <v>63</v>
      </c>
      <c r="AN403" s="65"/>
      <c r="AO403" s="65"/>
      <c r="AP403" s="65"/>
      <c r="AQ403" s="65"/>
      <c r="AR403" s="65"/>
      <c r="AS403" s="99"/>
      <c r="AT403" s="65"/>
      <c r="AU403" s="65"/>
      <c r="AV403" s="65"/>
      <c r="AW403" s="65"/>
      <c r="AX403" s="68"/>
      <c r="AY403" s="13"/>
    </row>
    <row r="404" spans="39:51" ht="13.8" thickBot="1" x14ac:dyDescent="0.3">
      <c r="AM404" s="103"/>
      <c r="AN404" s="87"/>
      <c r="AO404" s="87"/>
      <c r="AP404" s="87"/>
      <c r="AQ404" s="87"/>
      <c r="AR404" s="87"/>
      <c r="AS404" s="104"/>
      <c r="AT404" s="65"/>
      <c r="AU404" s="65"/>
      <c r="AV404" s="65"/>
      <c r="AW404" s="65"/>
      <c r="AX404" s="68"/>
      <c r="AY404" s="13"/>
    </row>
    <row r="405" spans="39:51" ht="13.8" thickBot="1" x14ac:dyDescent="0.3">
      <c r="AM405" s="105"/>
      <c r="AN405" s="106"/>
      <c r="AO405" s="106"/>
      <c r="AP405" s="106"/>
      <c r="AQ405" s="106"/>
      <c r="AR405" s="106"/>
      <c r="AS405" s="106"/>
      <c r="AT405" s="106"/>
      <c r="AU405" s="106"/>
      <c r="AV405" s="106"/>
      <c r="AW405" s="106"/>
      <c r="AX405" s="107"/>
      <c r="AY405" s="13"/>
    </row>
    <row r="406" spans="39:51" ht="13.8" thickTop="1" x14ac:dyDescent="0.25"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</row>
    <row r="407" spans="39:51" x14ac:dyDescent="0.25"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</row>
    <row r="408" spans="39:51" x14ac:dyDescent="0.25"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</row>
    <row r="409" spans="39:51" x14ac:dyDescent="0.25">
      <c r="AM409" s="3" t="s">
        <v>3</v>
      </c>
      <c r="AN409" s="3"/>
      <c r="AO409" s="3" t="s">
        <v>4</v>
      </c>
      <c r="AP409" s="3"/>
      <c r="AQ409" s="3"/>
      <c r="AR409" s="3"/>
      <c r="AS409" s="3"/>
      <c r="AT409" s="3"/>
      <c r="AU409" s="3"/>
      <c r="AV409" s="3"/>
      <c r="AW409" s="3"/>
      <c r="AX409" s="3"/>
      <c r="AY409" s="2"/>
    </row>
    <row r="410" spans="39:51" x14ac:dyDescent="0.25">
      <c r="AM410" s="5">
        <f>DETALLE!K6</f>
        <v>13865.0265</v>
      </c>
      <c r="AN410" s="3"/>
      <c r="AO410" s="6" t="str">
        <f>CONCATENATE(AT413,AW426,AW425,AW422,AW421,AW418,AU416,AU415,AU414,AU413)</f>
        <v>(  DIEZ  TRECE  MIL OCHOCIENTOS SESENTA  Y CINCO  PESOS,  03/100 M.N.  )</v>
      </c>
      <c r="AP410" s="6"/>
      <c r="AQ410" s="6"/>
      <c r="AR410" s="6"/>
      <c r="AS410" s="6"/>
      <c r="AT410" s="6"/>
      <c r="AU410" s="6"/>
      <c r="AV410" s="6"/>
      <c r="AW410" s="6"/>
      <c r="AX410" s="6"/>
      <c r="AY410" s="2"/>
    </row>
    <row r="411" spans="39:51" ht="13.8" thickBot="1" x14ac:dyDescent="0.3">
      <c r="AM411" s="8"/>
      <c r="AN411" s="3"/>
      <c r="AO411" s="9" t="str">
        <f>CONCATENATE(AT413,AW426,AW425,AW422,AW421,AW418,AU416,AU432,AU431,AU413)</f>
        <v>(  DIEZ  TRECE  MIL OCHOCIENTOS SESENTA  Y CINCO  03/100 U.S. Cy  )</v>
      </c>
      <c r="AP411" s="3"/>
      <c r="AQ411" s="3"/>
      <c r="AR411" s="3"/>
      <c r="AS411" s="3"/>
      <c r="AT411" s="3"/>
      <c r="AU411" s="3"/>
      <c r="AV411" s="3"/>
      <c r="AW411" s="3"/>
      <c r="AX411" s="3"/>
      <c r="AY411" s="4"/>
    </row>
    <row r="412" spans="39:51" ht="13.8" thickTop="1" x14ac:dyDescent="0.25">
      <c r="AM412" s="10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2"/>
      <c r="AY412" s="7"/>
    </row>
    <row r="413" spans="39:51" x14ac:dyDescent="0.25">
      <c r="AM413" s="14" t="str">
        <f>RIGHT(AM415)</f>
        <v>3</v>
      </c>
      <c r="AN413" s="13"/>
      <c r="AO413" s="13"/>
      <c r="AP413" s="13"/>
      <c r="AQ413" s="13"/>
      <c r="AR413" s="13"/>
      <c r="AS413" s="13"/>
      <c r="AT413" s="15" t="s">
        <v>5</v>
      </c>
      <c r="AU413" s="16" t="s">
        <v>6</v>
      </c>
      <c r="AV413" s="13"/>
      <c r="AW413" s="13"/>
      <c r="AX413" s="17"/>
      <c r="AY413" s="4"/>
    </row>
    <row r="414" spans="39:51" x14ac:dyDescent="0.25">
      <c r="AM414" s="14"/>
      <c r="AN414" s="13"/>
      <c r="AO414" s="13"/>
      <c r="AP414" s="16" t="s">
        <v>7</v>
      </c>
      <c r="AQ414" s="13"/>
      <c r="AR414" s="13"/>
      <c r="AS414" s="13"/>
      <c r="AT414" s="13"/>
      <c r="AU414" s="18" t="str">
        <f>CONCATENATE(AP416,AP415,AP414)</f>
        <v>03/100 M.N.</v>
      </c>
      <c r="AV414" s="13"/>
      <c r="AW414" s="13"/>
      <c r="AX414" s="17"/>
      <c r="AY414" s="13"/>
    </row>
    <row r="415" spans="39:51" x14ac:dyDescent="0.25">
      <c r="AM415" s="14" t="str">
        <f>RIGHT(AM435,AN415)</f>
        <v>3</v>
      </c>
      <c r="AN415" s="13">
        <v>1</v>
      </c>
      <c r="AO415" s="19" t="str">
        <f>MID(AM415,1,1)</f>
        <v>3</v>
      </c>
      <c r="AP415" s="13">
        <f>IF(VLOOKUP(AO415,AM437:AN448,2,FALSE)=0,0,VLOOKUP(AO415,AM437:AN448,2,FALSE))</f>
        <v>3</v>
      </c>
      <c r="AQ415" s="13"/>
      <c r="AR415" s="13"/>
      <c r="AS415" s="20"/>
      <c r="AT415" s="20"/>
      <c r="AU415" s="18" t="str">
        <f>IF(AM410&lt;&gt;1,"PESOS,  ","PESO  ")</f>
        <v xml:space="preserve">PESOS,  </v>
      </c>
      <c r="AV415" s="18"/>
      <c r="AW415" s="13"/>
      <c r="AX415" s="17"/>
      <c r="AY415" s="13"/>
    </row>
    <row r="416" spans="39:51" x14ac:dyDescent="0.25">
      <c r="AM416" s="14" t="str">
        <f>RIGHT(AM435,AN416)</f>
        <v>03</v>
      </c>
      <c r="AN416" s="13">
        <v>2</v>
      </c>
      <c r="AO416" s="19" t="str">
        <f>MID(AM416,1,1)</f>
        <v>0</v>
      </c>
      <c r="AP416" s="13">
        <f>IF(VLOOKUP(AO416,AM437:AN448,2,FALSE)=0,0,VLOOKUP(AO416,AM437:AN448,2,FALSE))</f>
        <v>0</v>
      </c>
      <c r="AQ416" s="13"/>
      <c r="AR416" s="13"/>
      <c r="AS416" s="18" t="str">
        <f>IF(SUM(AP418:AP428)=0,"CERO  ","")</f>
        <v/>
      </c>
      <c r="AT416" s="18" t="str">
        <f>IF(AP418&gt;2,"Y ","")</f>
        <v xml:space="preserve">Y </v>
      </c>
      <c r="AU416" s="18" t="str">
        <f>IF(SUM(AP418:AP428)=0,AS416,"")</f>
        <v/>
      </c>
      <c r="AV416" s="13"/>
      <c r="AW416" s="13"/>
      <c r="AX416" s="17"/>
      <c r="AY416" s="13"/>
    </row>
    <row r="417" spans="39:51" ht="13.8" thickBot="1" x14ac:dyDescent="0.3">
      <c r="AM417" s="14" t="str">
        <f>RIGHT(AM435,AN417)</f>
        <v>.03</v>
      </c>
      <c r="AN417" s="13">
        <v>3</v>
      </c>
      <c r="AO417" s="19" t="str">
        <f>MID(AM417,1,1)</f>
        <v>.</v>
      </c>
      <c r="AP417" s="13">
        <f>IF(VLOOKUP(AO417,AM437:AN448,2,FALSE)=0,0,VLOOKUP(AO417,AM437:AN448,2,FALSE))</f>
        <v>1</v>
      </c>
      <c r="AQ417" s="13"/>
      <c r="AR417" s="19">
        <v>1</v>
      </c>
      <c r="AS417" s="19">
        <v>2</v>
      </c>
      <c r="AT417" s="19">
        <v>3</v>
      </c>
      <c r="AU417" s="19">
        <v>4</v>
      </c>
      <c r="AV417" s="19"/>
      <c r="AW417" s="13"/>
      <c r="AX417" s="17"/>
      <c r="AY417" s="13"/>
    </row>
    <row r="418" spans="39:51" x14ac:dyDescent="0.25">
      <c r="AM418" s="21" t="str">
        <f>RIGHT(AM435,AN418)</f>
        <v>5.03</v>
      </c>
      <c r="AN418" s="22">
        <v>4</v>
      </c>
      <c r="AO418" s="23" t="str">
        <f t="shared" ref="AO418:AO428" si="2">IF(AM418=AM417,"0",MID(AM418,1,1))</f>
        <v>5</v>
      </c>
      <c r="AP418" s="24">
        <f>IF(VLOOKUP(AO418,AM437:AN448,2,FALSE)=0,0,VLOOKUP(AO418,AM437:AN448,2,FALSE))</f>
        <v>5</v>
      </c>
      <c r="AQ418" s="13"/>
      <c r="AR418" s="25" t="str">
        <f>IF(AP418=0,"",VLOOKUP(AP418,AN437:AR446,4,FALSE))</f>
        <v xml:space="preserve">CINCO  </v>
      </c>
      <c r="AS418" s="26" t="str">
        <f>IF(AP419=1,VLOOKUP(AP418,AN437:AR446,5,FALSE),VLOOKUP(AP418,AN437:AR446,4,FALSE))</f>
        <v xml:space="preserve">CINCO  </v>
      </c>
      <c r="AT418" s="26" t="str">
        <f>IF(AP419=1,AS418,AR418)</f>
        <v xml:space="preserve">CINCO  </v>
      </c>
      <c r="AU418" s="27" t="str">
        <f>IF(AP418=0,AR418,AT418)</f>
        <v xml:space="preserve">CINCO  </v>
      </c>
      <c r="AV418" s="13" t="str">
        <f>IF(AND(AP419&gt;2,AP418&gt;0),"Y ","")</f>
        <v xml:space="preserve">Y </v>
      </c>
      <c r="AW418" s="13" t="str">
        <f>CONCATENATE(AU420,AU419,AV418,AU418)</f>
        <v xml:space="preserve">OCHOCIENTOS SESENTA  Y CINCO  </v>
      </c>
      <c r="AX418" s="17"/>
      <c r="AY418" s="13"/>
    </row>
    <row r="419" spans="39:51" x14ac:dyDescent="0.25">
      <c r="AM419" s="14" t="str">
        <f>RIGHT(AM435,AN419)</f>
        <v>65.03</v>
      </c>
      <c r="AN419" s="13">
        <v>5</v>
      </c>
      <c r="AO419" s="19" t="str">
        <f t="shared" si="2"/>
        <v>6</v>
      </c>
      <c r="AP419" s="28">
        <f>IF(VLOOKUP(AO419,AM437:AN448,2,FALSE)=0,0,VLOOKUP(AO419,AM437:AN448,2,FALSE))</f>
        <v>6</v>
      </c>
      <c r="AQ419" s="13"/>
      <c r="AR419" s="29" t="str">
        <f>IF(AP419=0,"",VLOOKUP(AP419,AN437:AR446,3,FALSE))</f>
        <v xml:space="preserve">SESENTA  </v>
      </c>
      <c r="AS419" s="18" t="str">
        <f>IF($G419=1,"",AR419)</f>
        <v xml:space="preserve">SESENTA  </v>
      </c>
      <c r="AT419" s="18" t="str">
        <f>IF(AP419=2,AS435,AS419)</f>
        <v xml:space="preserve">SESENTA  </v>
      </c>
      <c r="AU419" s="30" t="str">
        <f>IF(AP418=0,AR419,AT419)</f>
        <v xml:space="preserve">SESENTA  </v>
      </c>
      <c r="AV419" s="18"/>
      <c r="AW419" s="18"/>
      <c r="AX419" s="17"/>
      <c r="AY419" s="13"/>
    </row>
    <row r="420" spans="39:51" ht="13.8" thickBot="1" x14ac:dyDescent="0.3">
      <c r="AM420" s="31" t="str">
        <f>RIGHT(AM435,AN420)</f>
        <v>865.03</v>
      </c>
      <c r="AN420" s="32">
        <v>6</v>
      </c>
      <c r="AO420" s="33" t="str">
        <f t="shared" si="2"/>
        <v>8</v>
      </c>
      <c r="AP420" s="34">
        <f>IF(VLOOKUP(AO420,AM437:AN448,2,FALSE)=0,0,VLOOKUP(AO420,AM437:AN448,2,FALSE))</f>
        <v>8</v>
      </c>
      <c r="AQ420" s="13"/>
      <c r="AR420" s="35" t="str">
        <f>IF(AP420=0,"",VLOOKUP(AP420,AN437:AR446,2,FALSE))</f>
        <v xml:space="preserve">OCHOCIENTOS </v>
      </c>
      <c r="AS420" s="36"/>
      <c r="AT420" s="37" t="str">
        <f>IF(AP420=1,AO434,AR420)</f>
        <v xml:space="preserve">OCHOCIENTOS </v>
      </c>
      <c r="AU420" s="38" t="str">
        <f>IF(AP418+AP419=0,AR420,AT420)</f>
        <v xml:space="preserve">OCHOCIENTOS </v>
      </c>
      <c r="AV420" s="18"/>
      <c r="AW420" s="18"/>
      <c r="AX420" s="17"/>
      <c r="AY420" s="13"/>
    </row>
    <row r="421" spans="39:51" ht="13.8" thickBot="1" x14ac:dyDescent="0.3">
      <c r="AM421" s="14" t="str">
        <f>RIGHT(AM435,AN421)</f>
        <v>,865.03</v>
      </c>
      <c r="AN421" s="13">
        <v>7</v>
      </c>
      <c r="AO421" s="19" t="str">
        <f t="shared" si="2"/>
        <v>,</v>
      </c>
      <c r="AP421" s="13">
        <f>IF(VLOOKUP(AO421,AM437:AN448,2,FALSE)=0,0,VLOOKUP(AO421,AM437:AN448,2,FALSE))</f>
        <v>0</v>
      </c>
      <c r="AQ421" s="13"/>
      <c r="AR421" s="18" t="str">
        <f>IF(SUM(AP422:AP424)=0,"","MIL ")</f>
        <v xml:space="preserve">MIL </v>
      </c>
      <c r="AS421" s="18"/>
      <c r="AT421" s="18"/>
      <c r="AU421" s="18"/>
      <c r="AV421" s="18"/>
      <c r="AW421" s="18" t="str">
        <f>AR421</f>
        <v xml:space="preserve">MIL </v>
      </c>
      <c r="AX421" s="17"/>
      <c r="AY421" s="13"/>
    </row>
    <row r="422" spans="39:51" x14ac:dyDescent="0.25">
      <c r="AM422" s="21" t="str">
        <f>RIGHT(AM435,AN422)</f>
        <v>3,865.03</v>
      </c>
      <c r="AN422" s="22">
        <v>8</v>
      </c>
      <c r="AO422" s="23" t="str">
        <f t="shared" si="2"/>
        <v>3</v>
      </c>
      <c r="AP422" s="24">
        <f>IF(VLOOKUP(AO422,AM437:AN448,2,FALSE)=0,0,VLOOKUP(AO422,AM437:AN448,2,FALSE))</f>
        <v>3</v>
      </c>
      <c r="AQ422" s="13"/>
      <c r="AR422" s="25" t="str">
        <f>IF(AP422=0,"",VLOOKUP(AP422,AN437:AR446,4,FALSE))</f>
        <v xml:space="preserve">TRES  </v>
      </c>
      <c r="AS422" s="26" t="str">
        <f>IF(AP423=1,VLOOKUP(AP422,AN437:AR446,5,FALSE),VLOOKUP(AP422,AN437:AR446,4,FALSE))</f>
        <v xml:space="preserve">TRECE  </v>
      </c>
      <c r="AT422" s="26" t="str">
        <f>IF(AP423=1,AS422,AR422)</f>
        <v xml:space="preserve">TRECE  </v>
      </c>
      <c r="AU422" s="27" t="str">
        <f>IF(AP422=0,AR422,AT422)</f>
        <v xml:space="preserve">TRECE  </v>
      </c>
      <c r="AV422" s="13" t="str">
        <f>IF(AND(AP423&gt;2,AP422&gt;0),"Y ","")</f>
        <v/>
      </c>
      <c r="AW422" s="13" t="str">
        <f>CONCATENATE(AU424,AU423,AV422,AU422)</f>
        <v xml:space="preserve">DIEZ  TRECE  </v>
      </c>
      <c r="AX422" s="17"/>
      <c r="AY422" s="13"/>
    </row>
    <row r="423" spans="39:51" x14ac:dyDescent="0.25">
      <c r="AM423" s="14" t="str">
        <f>RIGHT(AM435,AN423)</f>
        <v>13,865.03</v>
      </c>
      <c r="AN423" s="13">
        <v>9</v>
      </c>
      <c r="AO423" s="19" t="str">
        <f t="shared" si="2"/>
        <v>1</v>
      </c>
      <c r="AP423" s="28">
        <f>IF(VLOOKUP(AO423,AM437:AN448,2,FALSE)=0,0,VLOOKUP(AO423,AM437:AN448,2,FALSE))</f>
        <v>1</v>
      </c>
      <c r="AQ423" s="13"/>
      <c r="AR423" s="29" t="str">
        <f>IF(AP423=0,"",VLOOKUP(AP423,AN437:AR446,3,FALSE))</f>
        <v xml:space="preserve">DIEZ  </v>
      </c>
      <c r="AS423" s="18" t="str">
        <f>IF($G423=1,"",AR423)</f>
        <v xml:space="preserve">DIEZ  </v>
      </c>
      <c r="AT423" s="18" t="str">
        <f>IF(AP423=2,AS435,AS423)</f>
        <v xml:space="preserve">DIEZ  </v>
      </c>
      <c r="AU423" s="30" t="str">
        <f>IF(AP422=0,AR423,AT423)</f>
        <v xml:space="preserve">DIEZ  </v>
      </c>
      <c r="AV423" s="18"/>
      <c r="AW423" s="18"/>
      <c r="AX423" s="17"/>
      <c r="AY423" s="13"/>
    </row>
    <row r="424" spans="39:51" ht="13.8" thickBot="1" x14ac:dyDescent="0.3">
      <c r="AM424" s="31" t="str">
        <f>RIGHT(AM435,AN424)</f>
        <v>13,865.03</v>
      </c>
      <c r="AN424" s="32">
        <v>10</v>
      </c>
      <c r="AO424" s="33" t="str">
        <f t="shared" si="2"/>
        <v>0</v>
      </c>
      <c r="AP424" s="34">
        <f>IF(VLOOKUP(AO424,AM437:AN448,2,FALSE)=0,0,VLOOKUP(AO424,AM437:AN448,2,FALSE))</f>
        <v>0</v>
      </c>
      <c r="AQ424" s="13"/>
      <c r="AR424" s="35" t="str">
        <f>IF(AP424=0,"",VLOOKUP(AP424,AN437:AR448,2,FALSE))</f>
        <v/>
      </c>
      <c r="AS424" s="36"/>
      <c r="AT424" s="37" t="str">
        <f>IF(AP424=1,AO434,AR424)</f>
        <v/>
      </c>
      <c r="AU424" s="38" t="str">
        <f>IF(AP422+AP423=0,AR424,AT424)</f>
        <v/>
      </c>
      <c r="AV424" s="18"/>
      <c r="AW424" s="18"/>
      <c r="AX424" s="17"/>
      <c r="AY424" s="13"/>
    </row>
    <row r="425" spans="39:51" ht="13.8" thickBot="1" x14ac:dyDescent="0.3">
      <c r="AM425" s="14" t="str">
        <f>RIGHT(AM435,AN425)</f>
        <v>13,865.03</v>
      </c>
      <c r="AN425" s="13">
        <v>11</v>
      </c>
      <c r="AO425" s="19" t="str">
        <f t="shared" si="2"/>
        <v>0</v>
      </c>
      <c r="AP425" s="13">
        <f>IF(VLOOKUP(AO425,AM437:AN448,2,FALSE)=0,0,VLOOKUP(AO425,AM437:AN448,2,FALSE))</f>
        <v>0</v>
      </c>
      <c r="AQ425" s="13"/>
      <c r="AR425" s="18" t="str">
        <f>IF(AM410&gt;1999999.99,"MILLONES","MILLON")</f>
        <v>MILLON</v>
      </c>
      <c r="AS425" s="18"/>
      <c r="AT425" s="18"/>
      <c r="AU425" s="18"/>
      <c r="AV425" s="18" t="str">
        <f>IF(SUM(AP426:AP428)&gt;0,AR425,"")</f>
        <v/>
      </c>
      <c r="AW425" s="13" t="str">
        <f>CONCATENATE(AV425," ",AV427)</f>
        <v xml:space="preserve">  </v>
      </c>
      <c r="AX425" s="17"/>
      <c r="AY425" s="13"/>
    </row>
    <row r="426" spans="39:51" x14ac:dyDescent="0.25">
      <c r="AM426" s="21" t="str">
        <f>RIGHT(AM435,AN426)</f>
        <v>13,865.03</v>
      </c>
      <c r="AN426" s="22">
        <v>12</v>
      </c>
      <c r="AO426" s="23" t="str">
        <f t="shared" si="2"/>
        <v>0</v>
      </c>
      <c r="AP426" s="24">
        <f>IF(VLOOKUP(AO426,AM437:AN448,2,FALSE)=0,0,VLOOKUP(AO426,AM437:AN448,2,FALSE))</f>
        <v>0</v>
      </c>
      <c r="AQ426" s="13"/>
      <c r="AR426" s="25" t="str">
        <f>IF(AP426=0,"",VLOOKUP(AP426,$C$29:$I$36,4,FALSE))</f>
        <v/>
      </c>
      <c r="AS426" s="26" t="e">
        <f>IF(AP427=1,VLOOKUP(AP426,AN437:AR446,5,FALSE),VLOOKUP(AP426,AN437:AR446,4,FALSE))</f>
        <v>#N/A</v>
      </c>
      <c r="AT426" s="26" t="str">
        <f>IF(AP427=1,AS426,AR426)</f>
        <v/>
      </c>
      <c r="AU426" s="27" t="str">
        <f>IF(AP426=0,AR426,AT426)</f>
        <v/>
      </c>
      <c r="AV426" s="13" t="str">
        <f>IF(AND(AP427&gt;2,AP426&gt;0),"Y ","")</f>
        <v/>
      </c>
      <c r="AW426" s="13" t="str">
        <f>CONCATENATE(AU428,AU427,AV426,AU426)</f>
        <v/>
      </c>
      <c r="AX426" s="17"/>
      <c r="AY426" s="13"/>
    </row>
    <row r="427" spans="39:51" x14ac:dyDescent="0.25">
      <c r="AM427" s="14" t="str">
        <f>RIGHT(AM435,AN427)</f>
        <v>13,865.03</v>
      </c>
      <c r="AN427" s="13">
        <v>13</v>
      </c>
      <c r="AO427" s="19" t="str">
        <f t="shared" si="2"/>
        <v>0</v>
      </c>
      <c r="AP427" s="28">
        <f>IF(VLOOKUP(AO427,AM437:AN448,2,FALSE)=0,0,VLOOKUP(AO427,AM437:AN448,2,FALSE))</f>
        <v>0</v>
      </c>
      <c r="AQ427" s="13"/>
      <c r="AR427" s="29" t="str">
        <f>IF(AP427=0,"",VLOOKUP(AP427,AN437:AR446,3,FALSE))</f>
        <v/>
      </c>
      <c r="AS427" s="18" t="str">
        <f>IF($G427=1,"",AR427)</f>
        <v/>
      </c>
      <c r="AT427" s="18" t="str">
        <f>IF($G427=2,AS435,AS427)</f>
        <v/>
      </c>
      <c r="AU427" s="30" t="str">
        <f>IF(AP426=0,AR427,AT427)</f>
        <v/>
      </c>
      <c r="AV427" s="13" t="str">
        <f>IF(AND(AM410&gt;0.99,SUM(AP426:AP428)&gt;0),IF(SUM(AP418:AP424)&gt;0," ","DE ")," ")</f>
        <v xml:space="preserve"> </v>
      </c>
      <c r="AW427" s="18"/>
      <c r="AX427" s="17"/>
      <c r="AY427" s="13"/>
    </row>
    <row r="428" spans="39:51" ht="13.8" thickBot="1" x14ac:dyDescent="0.3">
      <c r="AM428" s="31" t="str">
        <f>RIGHT(AM435,AN428)</f>
        <v>13,865.03</v>
      </c>
      <c r="AN428" s="32">
        <v>14</v>
      </c>
      <c r="AO428" s="33" t="str">
        <f t="shared" si="2"/>
        <v>0</v>
      </c>
      <c r="AP428" s="34">
        <f>IF(VLOOKUP(AO428,AM437:AN448,2,FALSE)=0,0,VLOOKUP(AO428,AM437:AN448,2,FALSE))</f>
        <v>0</v>
      </c>
      <c r="AQ428" s="13"/>
      <c r="AR428" s="35" t="str">
        <f>IF(AP428=0,"",VLOOKUP(AP428,AN437:AR449,2,FALSE))</f>
        <v/>
      </c>
      <c r="AS428" s="36"/>
      <c r="AT428" s="37" t="str">
        <f>IF(AP428=1,AO434,AR428)</f>
        <v/>
      </c>
      <c r="AU428" s="38" t="str">
        <f>IF(AP426+AP427=0,AR428,AT428)</f>
        <v/>
      </c>
      <c r="AV428" s="13"/>
      <c r="AW428" s="18"/>
      <c r="AX428" s="17"/>
      <c r="AY428" s="13"/>
    </row>
    <row r="429" spans="39:51" x14ac:dyDescent="0.25">
      <c r="AM429" s="14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7"/>
      <c r="AY429" s="13"/>
    </row>
    <row r="430" spans="39:51" x14ac:dyDescent="0.25">
      <c r="AM430" s="14"/>
      <c r="AN430" s="13"/>
      <c r="AO430" s="13"/>
      <c r="AP430" s="16" t="s">
        <v>8</v>
      </c>
      <c r="AQ430" s="13"/>
      <c r="AR430" s="13"/>
      <c r="AS430" s="13"/>
      <c r="AT430" s="15" t="s">
        <v>9</v>
      </c>
      <c r="AU430" s="16" t="s">
        <v>6</v>
      </c>
      <c r="AV430" s="13"/>
      <c r="AW430" s="13"/>
      <c r="AX430" s="17"/>
      <c r="AY430" s="13"/>
    </row>
    <row r="431" spans="39:51" x14ac:dyDescent="0.25">
      <c r="AM431" s="14"/>
      <c r="AN431" s="13"/>
      <c r="AO431" s="13"/>
      <c r="AP431" s="13"/>
      <c r="AQ431" s="13"/>
      <c r="AR431" s="13"/>
      <c r="AS431" s="13"/>
      <c r="AT431" s="13"/>
      <c r="AU431" s="18" t="str">
        <f>CONCATENATE(AP416,AP415,AP430)</f>
        <v>03/100 U.S. Cy</v>
      </c>
      <c r="AV431" s="13"/>
      <c r="AW431" s="13"/>
      <c r="AX431" s="17"/>
      <c r="AY431" s="13"/>
    </row>
    <row r="432" spans="39:51" ht="13.8" x14ac:dyDescent="0.25">
      <c r="AM432" s="39" t="str">
        <f>CONCATENATE(AO428,AO427,AO426,AO425,AO424,AO423,AO422,AO421,AO420,AO419,AO418,AO417,AO416,AO415)</f>
        <v>0000013,865.03</v>
      </c>
      <c r="AN432" s="13"/>
      <c r="AO432" s="13"/>
      <c r="AP432" s="13"/>
      <c r="AQ432" s="13"/>
      <c r="AR432" s="13"/>
      <c r="AS432" s="13"/>
      <c r="AT432" s="20"/>
      <c r="AU432" s="18"/>
      <c r="AV432" s="13"/>
      <c r="AW432" s="13"/>
      <c r="AX432" s="17"/>
      <c r="AY432" s="13"/>
    </row>
    <row r="433" spans="39:51" ht="13.8" thickBot="1" x14ac:dyDescent="0.3">
      <c r="AM433" s="14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7"/>
      <c r="AY433" s="13"/>
    </row>
    <row r="434" spans="39:51" x14ac:dyDescent="0.25">
      <c r="AM434" s="40"/>
      <c r="AN434" s="41"/>
      <c r="AO434" s="42" t="s">
        <v>10</v>
      </c>
      <c r="AP434" s="43"/>
      <c r="AQ434" s="42"/>
      <c r="AR434" s="43"/>
      <c r="AS434" s="44"/>
      <c r="AT434" s="13"/>
      <c r="AU434" s="13"/>
      <c r="AV434" s="13"/>
      <c r="AW434" s="13"/>
      <c r="AX434" s="17"/>
      <c r="AY434" s="13"/>
    </row>
    <row r="435" spans="39:51" x14ac:dyDescent="0.25">
      <c r="AM435" s="45" t="str">
        <f>FIXED(AM410)</f>
        <v>13,865.03</v>
      </c>
      <c r="AN435" s="13"/>
      <c r="AO435" s="46" t="s">
        <v>11</v>
      </c>
      <c r="AP435" s="46" t="s">
        <v>12</v>
      </c>
      <c r="AQ435" s="46" t="s">
        <v>13</v>
      </c>
      <c r="AR435" s="47" t="s">
        <v>14</v>
      </c>
      <c r="AS435" s="48" t="s">
        <v>15</v>
      </c>
      <c r="AT435" s="13"/>
      <c r="AU435" s="13"/>
      <c r="AV435" s="13"/>
      <c r="AW435" s="13"/>
      <c r="AX435" s="17"/>
      <c r="AY435" s="13"/>
    </row>
    <row r="436" spans="39:51" x14ac:dyDescent="0.25">
      <c r="AM436" s="14"/>
      <c r="AN436" s="49">
        <v>1</v>
      </c>
      <c r="AO436" s="49">
        <v>8</v>
      </c>
      <c r="AP436" s="49">
        <v>9</v>
      </c>
      <c r="AQ436" s="49">
        <v>10</v>
      </c>
      <c r="AR436" s="49">
        <v>11</v>
      </c>
      <c r="AS436" s="48"/>
      <c r="AT436" s="13"/>
      <c r="AU436" s="13"/>
      <c r="AV436" s="13"/>
      <c r="AW436" s="13"/>
      <c r="AX436" s="17"/>
      <c r="AY436" s="13"/>
    </row>
    <row r="437" spans="39:51" x14ac:dyDescent="0.25">
      <c r="AM437" s="50" t="s">
        <v>16</v>
      </c>
      <c r="AN437" s="13">
        <v>1</v>
      </c>
      <c r="AO437" s="51" t="s">
        <v>17</v>
      </c>
      <c r="AP437" s="51" t="s">
        <v>18</v>
      </c>
      <c r="AQ437" s="51" t="s">
        <v>19</v>
      </c>
      <c r="AR437" s="51" t="s">
        <v>20</v>
      </c>
      <c r="AS437" s="48"/>
      <c r="AT437" s="13"/>
      <c r="AU437" s="13"/>
      <c r="AV437" s="13"/>
      <c r="AW437" s="13"/>
      <c r="AX437" s="17"/>
      <c r="AY437" s="13"/>
    </row>
    <row r="438" spans="39:51" x14ac:dyDescent="0.25">
      <c r="AM438" s="50" t="s">
        <v>21</v>
      </c>
      <c r="AN438" s="13">
        <v>2</v>
      </c>
      <c r="AO438" s="51" t="s">
        <v>22</v>
      </c>
      <c r="AP438" s="51" t="s">
        <v>23</v>
      </c>
      <c r="AQ438" s="51" t="s">
        <v>24</v>
      </c>
      <c r="AR438" s="51" t="s">
        <v>25</v>
      </c>
      <c r="AS438" s="48"/>
      <c r="AT438" s="13"/>
      <c r="AU438" s="13"/>
      <c r="AV438" s="13"/>
      <c r="AW438" s="13"/>
      <c r="AX438" s="17"/>
      <c r="AY438" s="13"/>
    </row>
    <row r="439" spans="39:51" x14ac:dyDescent="0.25">
      <c r="AM439" s="50" t="s">
        <v>26</v>
      </c>
      <c r="AN439" s="13">
        <v>3</v>
      </c>
      <c r="AO439" s="51" t="s">
        <v>27</v>
      </c>
      <c r="AP439" s="51" t="s">
        <v>28</v>
      </c>
      <c r="AQ439" s="51" t="s">
        <v>29</v>
      </c>
      <c r="AR439" s="51" t="s">
        <v>30</v>
      </c>
      <c r="AS439" s="48"/>
      <c r="AT439" s="13"/>
      <c r="AU439" s="13"/>
      <c r="AV439" s="13"/>
      <c r="AW439" s="13"/>
      <c r="AX439" s="17"/>
      <c r="AY439" s="13"/>
    </row>
    <row r="440" spans="39:51" x14ac:dyDescent="0.25">
      <c r="AM440" s="50" t="s">
        <v>31</v>
      </c>
      <c r="AN440" s="13">
        <v>4</v>
      </c>
      <c r="AO440" s="51" t="s">
        <v>32</v>
      </c>
      <c r="AP440" s="51" t="s">
        <v>33</v>
      </c>
      <c r="AQ440" s="51" t="s">
        <v>34</v>
      </c>
      <c r="AR440" s="51" t="s">
        <v>35</v>
      </c>
      <c r="AS440" s="48"/>
      <c r="AT440" s="13"/>
      <c r="AU440" s="13"/>
      <c r="AV440" s="13"/>
      <c r="AW440" s="13"/>
      <c r="AX440" s="17"/>
      <c r="AY440" s="13"/>
    </row>
    <row r="441" spans="39:51" x14ac:dyDescent="0.25">
      <c r="AM441" s="50" t="s">
        <v>36</v>
      </c>
      <c r="AN441" s="13">
        <v>5</v>
      </c>
      <c r="AO441" s="51" t="s">
        <v>37</v>
      </c>
      <c r="AP441" s="51" t="s">
        <v>38</v>
      </c>
      <c r="AQ441" s="51" t="s">
        <v>39</v>
      </c>
      <c r="AR441" s="51" t="s">
        <v>40</v>
      </c>
      <c r="AS441" s="48"/>
      <c r="AT441" s="13"/>
      <c r="AU441" s="13"/>
      <c r="AV441" s="13"/>
      <c r="AW441" s="13"/>
      <c r="AX441" s="17"/>
      <c r="AY441" s="13"/>
    </row>
    <row r="442" spans="39:51" x14ac:dyDescent="0.25">
      <c r="AM442" s="50" t="s">
        <v>41</v>
      </c>
      <c r="AN442" s="13">
        <v>6</v>
      </c>
      <c r="AO442" s="51" t="s">
        <v>42</v>
      </c>
      <c r="AP442" s="51" t="s">
        <v>43</v>
      </c>
      <c r="AQ442" s="51" t="s">
        <v>44</v>
      </c>
      <c r="AR442" s="51" t="s">
        <v>45</v>
      </c>
      <c r="AS442" s="48"/>
      <c r="AT442" s="13"/>
      <c r="AU442" s="13"/>
      <c r="AV442" s="13"/>
      <c r="AW442" s="13"/>
      <c r="AX442" s="17"/>
      <c r="AY442" s="13"/>
    </row>
    <row r="443" spans="39:51" x14ac:dyDescent="0.25">
      <c r="AM443" s="50" t="s">
        <v>46</v>
      </c>
      <c r="AN443" s="13">
        <v>7</v>
      </c>
      <c r="AO443" s="51" t="s">
        <v>47</v>
      </c>
      <c r="AP443" s="51" t="s">
        <v>48</v>
      </c>
      <c r="AQ443" s="51" t="s">
        <v>49</v>
      </c>
      <c r="AR443" s="51" t="s">
        <v>50</v>
      </c>
      <c r="AS443" s="48"/>
      <c r="AT443" s="13"/>
      <c r="AU443" s="13"/>
      <c r="AV443" s="13"/>
      <c r="AW443" s="13"/>
      <c r="AX443" s="17"/>
      <c r="AY443" s="13"/>
    </row>
    <row r="444" spans="39:51" x14ac:dyDescent="0.25">
      <c r="AM444" s="50" t="s">
        <v>51</v>
      </c>
      <c r="AN444" s="13">
        <v>8</v>
      </c>
      <c r="AO444" s="51" t="s">
        <v>52</v>
      </c>
      <c r="AP444" s="51" t="s">
        <v>53</v>
      </c>
      <c r="AQ444" s="51" t="s">
        <v>54</v>
      </c>
      <c r="AR444" s="51" t="s">
        <v>55</v>
      </c>
      <c r="AS444" s="48"/>
      <c r="AT444" s="13"/>
      <c r="AU444" s="13"/>
      <c r="AV444" s="13"/>
      <c r="AW444" s="13"/>
      <c r="AX444" s="17"/>
      <c r="AY444" s="13"/>
    </row>
    <row r="445" spans="39:51" x14ac:dyDescent="0.25">
      <c r="AM445" s="50" t="s">
        <v>56</v>
      </c>
      <c r="AN445" s="13">
        <v>9</v>
      </c>
      <c r="AO445" s="51" t="s">
        <v>57</v>
      </c>
      <c r="AP445" s="51" t="s">
        <v>58</v>
      </c>
      <c r="AQ445" s="51" t="s">
        <v>59</v>
      </c>
      <c r="AR445" s="51" t="s">
        <v>60</v>
      </c>
      <c r="AS445" s="48"/>
      <c r="AT445" s="13"/>
      <c r="AU445" s="13"/>
      <c r="AV445" s="13"/>
      <c r="AW445" s="13"/>
      <c r="AX445" s="17"/>
      <c r="AY445" s="13"/>
    </row>
    <row r="446" spans="39:51" x14ac:dyDescent="0.25">
      <c r="AM446" s="50" t="s">
        <v>61</v>
      </c>
      <c r="AN446" s="13"/>
      <c r="AO446" s="13"/>
      <c r="AP446" s="13"/>
      <c r="AQ446" s="13"/>
      <c r="AR446" s="13"/>
      <c r="AS446" s="48"/>
      <c r="AT446" s="13"/>
      <c r="AU446" s="13"/>
      <c r="AV446" s="13"/>
      <c r="AW446" s="13"/>
      <c r="AX446" s="17"/>
      <c r="AY446" s="13"/>
    </row>
    <row r="447" spans="39:51" x14ac:dyDescent="0.25">
      <c r="AM447" s="50" t="s">
        <v>62</v>
      </c>
      <c r="AN447" s="13">
        <v>1</v>
      </c>
      <c r="AO447" s="13">
        <v>2</v>
      </c>
      <c r="AP447" s="13">
        <v>3</v>
      </c>
      <c r="AQ447" s="13">
        <v>4</v>
      </c>
      <c r="AR447" s="13">
        <v>5</v>
      </c>
      <c r="AS447" s="48"/>
      <c r="AT447" s="13"/>
      <c r="AU447" s="13"/>
      <c r="AV447" s="13"/>
      <c r="AW447" s="13"/>
      <c r="AX447" s="17"/>
      <c r="AY447" s="13"/>
    </row>
    <row r="448" spans="39:51" x14ac:dyDescent="0.25">
      <c r="AM448" s="50" t="s">
        <v>63</v>
      </c>
      <c r="AN448" s="13"/>
      <c r="AO448" s="13"/>
      <c r="AP448" s="13"/>
      <c r="AQ448" s="13"/>
      <c r="AR448" s="13"/>
      <c r="AS448" s="48"/>
      <c r="AT448" s="13"/>
      <c r="AU448" s="13"/>
      <c r="AV448" s="13"/>
      <c r="AW448" s="13"/>
      <c r="AX448" s="17"/>
      <c r="AY448" s="13"/>
    </row>
    <row r="449" spans="39:51" ht="13.8" thickBot="1" x14ac:dyDescent="0.3">
      <c r="AM449" s="52"/>
      <c r="AN449" s="36"/>
      <c r="AO449" s="36"/>
      <c r="AP449" s="36"/>
      <c r="AQ449" s="36"/>
      <c r="AR449" s="36"/>
      <c r="AS449" s="53"/>
      <c r="AT449" s="13"/>
      <c r="AU449" s="13"/>
      <c r="AV449" s="13"/>
      <c r="AW449" s="13"/>
      <c r="AX449" s="17"/>
      <c r="AY449" s="13"/>
    </row>
    <row r="450" spans="39:51" ht="13.8" thickBot="1" x14ac:dyDescent="0.3">
      <c r="AM450" s="54"/>
      <c r="AN450" s="55"/>
      <c r="AO450" s="55"/>
      <c r="AP450" s="55"/>
      <c r="AQ450" s="55"/>
      <c r="AR450" s="55"/>
      <c r="AS450" s="55"/>
      <c r="AT450" s="55"/>
      <c r="AU450" s="55"/>
      <c r="AV450" s="55"/>
      <c r="AW450" s="55"/>
      <c r="AX450" s="56"/>
      <c r="AY450" s="13"/>
    </row>
    <row r="451" spans="39:51" ht="13.8" thickTop="1" x14ac:dyDescent="0.25">
      <c r="AM451" s="2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</row>
  </sheetData>
  <mergeCells count="3">
    <mergeCell ref="C4:D4"/>
    <mergeCell ref="E4:G4"/>
    <mergeCell ref="A10:F10"/>
  </mergeCells>
  <pageMargins left="0.39370078740157483" right="0.39370078740157483" top="0.43307086614173229" bottom="0.39370078740157483" header="0.51181102362204722" footer="0.51181102362204722"/>
  <pageSetup orientation="portrait" r:id="rId1"/>
  <headerFooter>
    <oddFooter>&amp;CAránzazu 205, Rincón de los Arcos. Tel. (462)105-44-48, www.grupoingenieria.com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0831F-79F9-4E90-A9C4-BD111FDBFAEB}">
  <dimension ref="A1:AY454"/>
  <sheetViews>
    <sheetView showGridLines="0" showZeros="0" zoomScale="115" zoomScaleNormal="115" workbookViewId="0"/>
  </sheetViews>
  <sheetFormatPr baseColWidth="10" defaultRowHeight="13.2" x14ac:dyDescent="0.25"/>
  <cols>
    <col min="1" max="1" width="6" style="179" customWidth="1"/>
    <col min="2" max="2" width="44.88671875" style="179" customWidth="1"/>
    <col min="3" max="3" width="7.88671875" style="179" customWidth="1"/>
    <col min="4" max="4" width="9" style="179" customWidth="1"/>
    <col min="5" max="5" width="16.88671875" style="179" customWidth="1"/>
    <col min="6" max="6" width="14.109375" style="179" customWidth="1"/>
    <col min="7" max="252" width="11.44140625" style="179"/>
    <col min="253" max="253" width="12" style="179" customWidth="1"/>
    <col min="254" max="254" width="39.109375" style="179" customWidth="1"/>
    <col min="255" max="255" width="6.6640625" style="179" customWidth="1"/>
    <col min="256" max="256" width="12.88671875" style="179" customWidth="1"/>
    <col min="257" max="257" width="11.33203125" style="179" customWidth="1"/>
    <col min="258" max="258" width="11.88671875" style="179" customWidth="1"/>
    <col min="259" max="259" width="7.6640625" style="179" customWidth="1"/>
    <col min="260" max="260" width="9" style="179" customWidth="1"/>
    <col min="261" max="508" width="11.44140625" style="179"/>
    <col min="509" max="509" width="12" style="179" customWidth="1"/>
    <col min="510" max="510" width="39.109375" style="179" customWidth="1"/>
    <col min="511" max="511" width="6.6640625" style="179" customWidth="1"/>
    <col min="512" max="512" width="12.88671875" style="179" customWidth="1"/>
    <col min="513" max="513" width="11.33203125" style="179" customWidth="1"/>
    <col min="514" max="514" width="11.88671875" style="179" customWidth="1"/>
    <col min="515" max="515" width="7.6640625" style="179" customWidth="1"/>
    <col min="516" max="516" width="9" style="179" customWidth="1"/>
    <col min="517" max="764" width="11.44140625" style="179"/>
    <col min="765" max="765" width="12" style="179" customWidth="1"/>
    <col min="766" max="766" width="39.109375" style="179" customWidth="1"/>
    <col min="767" max="767" width="6.6640625" style="179" customWidth="1"/>
    <col min="768" max="768" width="12.88671875" style="179" customWidth="1"/>
    <col min="769" max="769" width="11.33203125" style="179" customWidth="1"/>
    <col min="770" max="770" width="11.88671875" style="179" customWidth="1"/>
    <col min="771" max="771" width="7.6640625" style="179" customWidth="1"/>
    <col min="772" max="772" width="9" style="179" customWidth="1"/>
    <col min="773" max="1020" width="11.44140625" style="179"/>
    <col min="1021" max="1021" width="12" style="179" customWidth="1"/>
    <col min="1022" max="1022" width="39.109375" style="179" customWidth="1"/>
    <col min="1023" max="1023" width="6.6640625" style="179" customWidth="1"/>
    <col min="1024" max="1024" width="12.88671875" style="179" customWidth="1"/>
    <col min="1025" max="1025" width="11.33203125" style="179" customWidth="1"/>
    <col min="1026" max="1026" width="11.88671875" style="179" customWidth="1"/>
    <col min="1027" max="1027" width="7.6640625" style="179" customWidth="1"/>
    <col min="1028" max="1028" width="9" style="179" customWidth="1"/>
    <col min="1029" max="1276" width="11.44140625" style="179"/>
    <col min="1277" max="1277" width="12" style="179" customWidth="1"/>
    <col min="1278" max="1278" width="39.109375" style="179" customWidth="1"/>
    <col min="1279" max="1279" width="6.6640625" style="179" customWidth="1"/>
    <col min="1280" max="1280" width="12.88671875" style="179" customWidth="1"/>
    <col min="1281" max="1281" width="11.33203125" style="179" customWidth="1"/>
    <col min="1282" max="1282" width="11.88671875" style="179" customWidth="1"/>
    <col min="1283" max="1283" width="7.6640625" style="179" customWidth="1"/>
    <col min="1284" max="1284" width="9" style="179" customWidth="1"/>
    <col min="1285" max="1532" width="11.44140625" style="179"/>
    <col min="1533" max="1533" width="12" style="179" customWidth="1"/>
    <col min="1534" max="1534" width="39.109375" style="179" customWidth="1"/>
    <col min="1535" max="1535" width="6.6640625" style="179" customWidth="1"/>
    <col min="1536" max="1536" width="12.88671875" style="179" customWidth="1"/>
    <col min="1537" max="1537" width="11.33203125" style="179" customWidth="1"/>
    <col min="1538" max="1538" width="11.88671875" style="179" customWidth="1"/>
    <col min="1539" max="1539" width="7.6640625" style="179" customWidth="1"/>
    <col min="1540" max="1540" width="9" style="179" customWidth="1"/>
    <col min="1541" max="1788" width="11.44140625" style="179"/>
    <col min="1789" max="1789" width="12" style="179" customWidth="1"/>
    <col min="1790" max="1790" width="39.109375" style="179" customWidth="1"/>
    <col min="1791" max="1791" width="6.6640625" style="179" customWidth="1"/>
    <col min="1792" max="1792" width="12.88671875" style="179" customWidth="1"/>
    <col min="1793" max="1793" width="11.33203125" style="179" customWidth="1"/>
    <col min="1794" max="1794" width="11.88671875" style="179" customWidth="1"/>
    <col min="1795" max="1795" width="7.6640625" style="179" customWidth="1"/>
    <col min="1796" max="1796" width="9" style="179" customWidth="1"/>
    <col min="1797" max="2044" width="11.44140625" style="179"/>
    <col min="2045" max="2045" width="12" style="179" customWidth="1"/>
    <col min="2046" max="2046" width="39.109375" style="179" customWidth="1"/>
    <col min="2047" max="2047" width="6.6640625" style="179" customWidth="1"/>
    <col min="2048" max="2048" width="12.88671875" style="179" customWidth="1"/>
    <col min="2049" max="2049" width="11.33203125" style="179" customWidth="1"/>
    <col min="2050" max="2050" width="11.88671875" style="179" customWidth="1"/>
    <col min="2051" max="2051" width="7.6640625" style="179" customWidth="1"/>
    <col min="2052" max="2052" width="9" style="179" customWidth="1"/>
    <col min="2053" max="2300" width="11.44140625" style="179"/>
    <col min="2301" max="2301" width="12" style="179" customWidth="1"/>
    <col min="2302" max="2302" width="39.109375" style="179" customWidth="1"/>
    <col min="2303" max="2303" width="6.6640625" style="179" customWidth="1"/>
    <col min="2304" max="2304" width="12.88671875" style="179" customWidth="1"/>
    <col min="2305" max="2305" width="11.33203125" style="179" customWidth="1"/>
    <col min="2306" max="2306" width="11.88671875" style="179" customWidth="1"/>
    <col min="2307" max="2307" width="7.6640625" style="179" customWidth="1"/>
    <col min="2308" max="2308" width="9" style="179" customWidth="1"/>
    <col min="2309" max="2556" width="11.44140625" style="179"/>
    <col min="2557" max="2557" width="12" style="179" customWidth="1"/>
    <col min="2558" max="2558" width="39.109375" style="179" customWidth="1"/>
    <col min="2559" max="2559" width="6.6640625" style="179" customWidth="1"/>
    <col min="2560" max="2560" width="12.88671875" style="179" customWidth="1"/>
    <col min="2561" max="2561" width="11.33203125" style="179" customWidth="1"/>
    <col min="2562" max="2562" width="11.88671875" style="179" customWidth="1"/>
    <col min="2563" max="2563" width="7.6640625" style="179" customWidth="1"/>
    <col min="2564" max="2564" width="9" style="179" customWidth="1"/>
    <col min="2565" max="2812" width="11.44140625" style="179"/>
    <col min="2813" max="2813" width="12" style="179" customWidth="1"/>
    <col min="2814" max="2814" width="39.109375" style="179" customWidth="1"/>
    <col min="2815" max="2815" width="6.6640625" style="179" customWidth="1"/>
    <col min="2816" max="2816" width="12.88671875" style="179" customWidth="1"/>
    <col min="2817" max="2817" width="11.33203125" style="179" customWidth="1"/>
    <col min="2818" max="2818" width="11.88671875" style="179" customWidth="1"/>
    <col min="2819" max="2819" width="7.6640625" style="179" customWidth="1"/>
    <col min="2820" max="2820" width="9" style="179" customWidth="1"/>
    <col min="2821" max="3068" width="11.44140625" style="179"/>
    <col min="3069" max="3069" width="12" style="179" customWidth="1"/>
    <col min="3070" max="3070" width="39.109375" style="179" customWidth="1"/>
    <col min="3071" max="3071" width="6.6640625" style="179" customWidth="1"/>
    <col min="3072" max="3072" width="12.88671875" style="179" customWidth="1"/>
    <col min="3073" max="3073" width="11.33203125" style="179" customWidth="1"/>
    <col min="3074" max="3074" width="11.88671875" style="179" customWidth="1"/>
    <col min="3075" max="3075" width="7.6640625" style="179" customWidth="1"/>
    <col min="3076" max="3076" width="9" style="179" customWidth="1"/>
    <col min="3077" max="3324" width="11.44140625" style="179"/>
    <col min="3325" max="3325" width="12" style="179" customWidth="1"/>
    <col min="3326" max="3326" width="39.109375" style="179" customWidth="1"/>
    <col min="3327" max="3327" width="6.6640625" style="179" customWidth="1"/>
    <col min="3328" max="3328" width="12.88671875" style="179" customWidth="1"/>
    <col min="3329" max="3329" width="11.33203125" style="179" customWidth="1"/>
    <col min="3330" max="3330" width="11.88671875" style="179" customWidth="1"/>
    <col min="3331" max="3331" width="7.6640625" style="179" customWidth="1"/>
    <col min="3332" max="3332" width="9" style="179" customWidth="1"/>
    <col min="3333" max="3580" width="11.44140625" style="179"/>
    <col min="3581" max="3581" width="12" style="179" customWidth="1"/>
    <col min="3582" max="3582" width="39.109375" style="179" customWidth="1"/>
    <col min="3583" max="3583" width="6.6640625" style="179" customWidth="1"/>
    <col min="3584" max="3584" width="12.88671875" style="179" customWidth="1"/>
    <col min="3585" max="3585" width="11.33203125" style="179" customWidth="1"/>
    <col min="3586" max="3586" width="11.88671875" style="179" customWidth="1"/>
    <col min="3587" max="3587" width="7.6640625" style="179" customWidth="1"/>
    <col min="3588" max="3588" width="9" style="179" customWidth="1"/>
    <col min="3589" max="3836" width="11.44140625" style="179"/>
    <col min="3837" max="3837" width="12" style="179" customWidth="1"/>
    <col min="3838" max="3838" width="39.109375" style="179" customWidth="1"/>
    <col min="3839" max="3839" width="6.6640625" style="179" customWidth="1"/>
    <col min="3840" max="3840" width="12.88671875" style="179" customWidth="1"/>
    <col min="3841" max="3841" width="11.33203125" style="179" customWidth="1"/>
    <col min="3842" max="3842" width="11.88671875" style="179" customWidth="1"/>
    <col min="3843" max="3843" width="7.6640625" style="179" customWidth="1"/>
    <col min="3844" max="3844" width="9" style="179" customWidth="1"/>
    <col min="3845" max="4092" width="11.44140625" style="179"/>
    <col min="4093" max="4093" width="12" style="179" customWidth="1"/>
    <col min="4094" max="4094" width="39.109375" style="179" customWidth="1"/>
    <col min="4095" max="4095" width="6.6640625" style="179" customWidth="1"/>
    <col min="4096" max="4096" width="12.88671875" style="179" customWidth="1"/>
    <col min="4097" max="4097" width="11.33203125" style="179" customWidth="1"/>
    <col min="4098" max="4098" width="11.88671875" style="179" customWidth="1"/>
    <col min="4099" max="4099" width="7.6640625" style="179" customWidth="1"/>
    <col min="4100" max="4100" width="9" style="179" customWidth="1"/>
    <col min="4101" max="4348" width="11.44140625" style="179"/>
    <col min="4349" max="4349" width="12" style="179" customWidth="1"/>
    <col min="4350" max="4350" width="39.109375" style="179" customWidth="1"/>
    <col min="4351" max="4351" width="6.6640625" style="179" customWidth="1"/>
    <col min="4352" max="4352" width="12.88671875" style="179" customWidth="1"/>
    <col min="4353" max="4353" width="11.33203125" style="179" customWidth="1"/>
    <col min="4354" max="4354" width="11.88671875" style="179" customWidth="1"/>
    <col min="4355" max="4355" width="7.6640625" style="179" customWidth="1"/>
    <col min="4356" max="4356" width="9" style="179" customWidth="1"/>
    <col min="4357" max="4604" width="11.44140625" style="179"/>
    <col min="4605" max="4605" width="12" style="179" customWidth="1"/>
    <col min="4606" max="4606" width="39.109375" style="179" customWidth="1"/>
    <col min="4607" max="4607" width="6.6640625" style="179" customWidth="1"/>
    <col min="4608" max="4608" width="12.88671875" style="179" customWidth="1"/>
    <col min="4609" max="4609" width="11.33203125" style="179" customWidth="1"/>
    <col min="4610" max="4610" width="11.88671875" style="179" customWidth="1"/>
    <col min="4611" max="4611" width="7.6640625" style="179" customWidth="1"/>
    <col min="4612" max="4612" width="9" style="179" customWidth="1"/>
    <col min="4613" max="4860" width="11.44140625" style="179"/>
    <col min="4861" max="4861" width="12" style="179" customWidth="1"/>
    <col min="4862" max="4862" width="39.109375" style="179" customWidth="1"/>
    <col min="4863" max="4863" width="6.6640625" style="179" customWidth="1"/>
    <col min="4864" max="4864" width="12.88671875" style="179" customWidth="1"/>
    <col min="4865" max="4865" width="11.33203125" style="179" customWidth="1"/>
    <col min="4866" max="4866" width="11.88671875" style="179" customWidth="1"/>
    <col min="4867" max="4867" width="7.6640625" style="179" customWidth="1"/>
    <col min="4868" max="4868" width="9" style="179" customWidth="1"/>
    <col min="4869" max="5116" width="11.44140625" style="179"/>
    <col min="5117" max="5117" width="12" style="179" customWidth="1"/>
    <col min="5118" max="5118" width="39.109375" style="179" customWidth="1"/>
    <col min="5119" max="5119" width="6.6640625" style="179" customWidth="1"/>
    <col min="5120" max="5120" width="12.88671875" style="179" customWidth="1"/>
    <col min="5121" max="5121" width="11.33203125" style="179" customWidth="1"/>
    <col min="5122" max="5122" width="11.88671875" style="179" customWidth="1"/>
    <col min="5123" max="5123" width="7.6640625" style="179" customWidth="1"/>
    <col min="5124" max="5124" width="9" style="179" customWidth="1"/>
    <col min="5125" max="5372" width="11.44140625" style="179"/>
    <col min="5373" max="5373" width="12" style="179" customWidth="1"/>
    <col min="5374" max="5374" width="39.109375" style="179" customWidth="1"/>
    <col min="5375" max="5375" width="6.6640625" style="179" customWidth="1"/>
    <col min="5376" max="5376" width="12.88671875" style="179" customWidth="1"/>
    <col min="5377" max="5377" width="11.33203125" style="179" customWidth="1"/>
    <col min="5378" max="5378" width="11.88671875" style="179" customWidth="1"/>
    <col min="5379" max="5379" width="7.6640625" style="179" customWidth="1"/>
    <col min="5380" max="5380" width="9" style="179" customWidth="1"/>
    <col min="5381" max="5628" width="11.44140625" style="179"/>
    <col min="5629" max="5629" width="12" style="179" customWidth="1"/>
    <col min="5630" max="5630" width="39.109375" style="179" customWidth="1"/>
    <col min="5631" max="5631" width="6.6640625" style="179" customWidth="1"/>
    <col min="5632" max="5632" width="12.88671875" style="179" customWidth="1"/>
    <col min="5633" max="5633" width="11.33203125" style="179" customWidth="1"/>
    <col min="5634" max="5634" width="11.88671875" style="179" customWidth="1"/>
    <col min="5635" max="5635" width="7.6640625" style="179" customWidth="1"/>
    <col min="5636" max="5636" width="9" style="179" customWidth="1"/>
    <col min="5637" max="5884" width="11.44140625" style="179"/>
    <col min="5885" max="5885" width="12" style="179" customWidth="1"/>
    <col min="5886" max="5886" width="39.109375" style="179" customWidth="1"/>
    <col min="5887" max="5887" width="6.6640625" style="179" customWidth="1"/>
    <col min="5888" max="5888" width="12.88671875" style="179" customWidth="1"/>
    <col min="5889" max="5889" width="11.33203125" style="179" customWidth="1"/>
    <col min="5890" max="5890" width="11.88671875" style="179" customWidth="1"/>
    <col min="5891" max="5891" width="7.6640625" style="179" customWidth="1"/>
    <col min="5892" max="5892" width="9" style="179" customWidth="1"/>
    <col min="5893" max="6140" width="11.44140625" style="179"/>
    <col min="6141" max="6141" width="12" style="179" customWidth="1"/>
    <col min="6142" max="6142" width="39.109375" style="179" customWidth="1"/>
    <col min="6143" max="6143" width="6.6640625" style="179" customWidth="1"/>
    <col min="6144" max="6144" width="12.88671875" style="179" customWidth="1"/>
    <col min="6145" max="6145" width="11.33203125" style="179" customWidth="1"/>
    <col min="6146" max="6146" width="11.88671875" style="179" customWidth="1"/>
    <col min="6147" max="6147" width="7.6640625" style="179" customWidth="1"/>
    <col min="6148" max="6148" width="9" style="179" customWidth="1"/>
    <col min="6149" max="6396" width="11.44140625" style="179"/>
    <col min="6397" max="6397" width="12" style="179" customWidth="1"/>
    <col min="6398" max="6398" width="39.109375" style="179" customWidth="1"/>
    <col min="6399" max="6399" width="6.6640625" style="179" customWidth="1"/>
    <col min="6400" max="6400" width="12.88671875" style="179" customWidth="1"/>
    <col min="6401" max="6401" width="11.33203125" style="179" customWidth="1"/>
    <col min="6402" max="6402" width="11.88671875" style="179" customWidth="1"/>
    <col min="6403" max="6403" width="7.6640625" style="179" customWidth="1"/>
    <col min="6404" max="6404" width="9" style="179" customWidth="1"/>
    <col min="6405" max="6652" width="11.44140625" style="179"/>
    <col min="6653" max="6653" width="12" style="179" customWidth="1"/>
    <col min="6654" max="6654" width="39.109375" style="179" customWidth="1"/>
    <col min="6655" max="6655" width="6.6640625" style="179" customWidth="1"/>
    <col min="6656" max="6656" width="12.88671875" style="179" customWidth="1"/>
    <col min="6657" max="6657" width="11.33203125" style="179" customWidth="1"/>
    <col min="6658" max="6658" width="11.88671875" style="179" customWidth="1"/>
    <col min="6659" max="6659" width="7.6640625" style="179" customWidth="1"/>
    <col min="6660" max="6660" width="9" style="179" customWidth="1"/>
    <col min="6661" max="6908" width="11.44140625" style="179"/>
    <col min="6909" max="6909" width="12" style="179" customWidth="1"/>
    <col min="6910" max="6910" width="39.109375" style="179" customWidth="1"/>
    <col min="6911" max="6911" width="6.6640625" style="179" customWidth="1"/>
    <col min="6912" max="6912" width="12.88671875" style="179" customWidth="1"/>
    <col min="6913" max="6913" width="11.33203125" style="179" customWidth="1"/>
    <col min="6914" max="6914" width="11.88671875" style="179" customWidth="1"/>
    <col min="6915" max="6915" width="7.6640625" style="179" customWidth="1"/>
    <col min="6916" max="6916" width="9" style="179" customWidth="1"/>
    <col min="6917" max="7164" width="11.44140625" style="179"/>
    <col min="7165" max="7165" width="12" style="179" customWidth="1"/>
    <col min="7166" max="7166" width="39.109375" style="179" customWidth="1"/>
    <col min="7167" max="7167" width="6.6640625" style="179" customWidth="1"/>
    <col min="7168" max="7168" width="12.88671875" style="179" customWidth="1"/>
    <col min="7169" max="7169" width="11.33203125" style="179" customWidth="1"/>
    <col min="7170" max="7170" width="11.88671875" style="179" customWidth="1"/>
    <col min="7171" max="7171" width="7.6640625" style="179" customWidth="1"/>
    <col min="7172" max="7172" width="9" style="179" customWidth="1"/>
    <col min="7173" max="7420" width="11.44140625" style="179"/>
    <col min="7421" max="7421" width="12" style="179" customWidth="1"/>
    <col min="7422" max="7422" width="39.109375" style="179" customWidth="1"/>
    <col min="7423" max="7423" width="6.6640625" style="179" customWidth="1"/>
    <col min="7424" max="7424" width="12.88671875" style="179" customWidth="1"/>
    <col min="7425" max="7425" width="11.33203125" style="179" customWidth="1"/>
    <col min="7426" max="7426" width="11.88671875" style="179" customWidth="1"/>
    <col min="7427" max="7427" width="7.6640625" style="179" customWidth="1"/>
    <col min="7428" max="7428" width="9" style="179" customWidth="1"/>
    <col min="7429" max="7676" width="11.44140625" style="179"/>
    <col min="7677" max="7677" width="12" style="179" customWidth="1"/>
    <col min="7678" max="7678" width="39.109375" style="179" customWidth="1"/>
    <col min="7679" max="7679" width="6.6640625" style="179" customWidth="1"/>
    <col min="7680" max="7680" width="12.88671875" style="179" customWidth="1"/>
    <col min="7681" max="7681" width="11.33203125" style="179" customWidth="1"/>
    <col min="7682" max="7682" width="11.88671875" style="179" customWidth="1"/>
    <col min="7683" max="7683" width="7.6640625" style="179" customWidth="1"/>
    <col min="7684" max="7684" width="9" style="179" customWidth="1"/>
    <col min="7685" max="7932" width="11.44140625" style="179"/>
    <col min="7933" max="7933" width="12" style="179" customWidth="1"/>
    <col min="7934" max="7934" width="39.109375" style="179" customWidth="1"/>
    <col min="7935" max="7935" width="6.6640625" style="179" customWidth="1"/>
    <col min="7936" max="7936" width="12.88671875" style="179" customWidth="1"/>
    <col min="7937" max="7937" width="11.33203125" style="179" customWidth="1"/>
    <col min="7938" max="7938" width="11.88671875" style="179" customWidth="1"/>
    <col min="7939" max="7939" width="7.6640625" style="179" customWidth="1"/>
    <col min="7940" max="7940" width="9" style="179" customWidth="1"/>
    <col min="7941" max="8188" width="11.44140625" style="179"/>
    <col min="8189" max="8189" width="12" style="179" customWidth="1"/>
    <col min="8190" max="8190" width="39.109375" style="179" customWidth="1"/>
    <col min="8191" max="8191" width="6.6640625" style="179" customWidth="1"/>
    <col min="8192" max="8192" width="12.88671875" style="179" customWidth="1"/>
    <col min="8193" max="8193" width="11.33203125" style="179" customWidth="1"/>
    <col min="8194" max="8194" width="11.88671875" style="179" customWidth="1"/>
    <col min="8195" max="8195" width="7.6640625" style="179" customWidth="1"/>
    <col min="8196" max="8196" width="9" style="179" customWidth="1"/>
    <col min="8197" max="8444" width="11.44140625" style="179"/>
    <col min="8445" max="8445" width="12" style="179" customWidth="1"/>
    <col min="8446" max="8446" width="39.109375" style="179" customWidth="1"/>
    <col min="8447" max="8447" width="6.6640625" style="179" customWidth="1"/>
    <col min="8448" max="8448" width="12.88671875" style="179" customWidth="1"/>
    <col min="8449" max="8449" width="11.33203125" style="179" customWidth="1"/>
    <col min="8450" max="8450" width="11.88671875" style="179" customWidth="1"/>
    <col min="8451" max="8451" width="7.6640625" style="179" customWidth="1"/>
    <col min="8452" max="8452" width="9" style="179" customWidth="1"/>
    <col min="8453" max="8700" width="11.44140625" style="179"/>
    <col min="8701" max="8701" width="12" style="179" customWidth="1"/>
    <col min="8702" max="8702" width="39.109375" style="179" customWidth="1"/>
    <col min="8703" max="8703" width="6.6640625" style="179" customWidth="1"/>
    <col min="8704" max="8704" width="12.88671875" style="179" customWidth="1"/>
    <col min="8705" max="8705" width="11.33203125" style="179" customWidth="1"/>
    <col min="8706" max="8706" width="11.88671875" style="179" customWidth="1"/>
    <col min="8707" max="8707" width="7.6640625" style="179" customWidth="1"/>
    <col min="8708" max="8708" width="9" style="179" customWidth="1"/>
    <col min="8709" max="8956" width="11.44140625" style="179"/>
    <col min="8957" max="8957" width="12" style="179" customWidth="1"/>
    <col min="8958" max="8958" width="39.109375" style="179" customWidth="1"/>
    <col min="8959" max="8959" width="6.6640625" style="179" customWidth="1"/>
    <col min="8960" max="8960" width="12.88671875" style="179" customWidth="1"/>
    <col min="8961" max="8961" width="11.33203125" style="179" customWidth="1"/>
    <col min="8962" max="8962" width="11.88671875" style="179" customWidth="1"/>
    <col min="8963" max="8963" width="7.6640625" style="179" customWidth="1"/>
    <col min="8964" max="8964" width="9" style="179" customWidth="1"/>
    <col min="8965" max="9212" width="11.44140625" style="179"/>
    <col min="9213" max="9213" width="12" style="179" customWidth="1"/>
    <col min="9214" max="9214" width="39.109375" style="179" customWidth="1"/>
    <col min="9215" max="9215" width="6.6640625" style="179" customWidth="1"/>
    <col min="9216" max="9216" width="12.88671875" style="179" customWidth="1"/>
    <col min="9217" max="9217" width="11.33203125" style="179" customWidth="1"/>
    <col min="9218" max="9218" width="11.88671875" style="179" customWidth="1"/>
    <col min="9219" max="9219" width="7.6640625" style="179" customWidth="1"/>
    <col min="9220" max="9220" width="9" style="179" customWidth="1"/>
    <col min="9221" max="9468" width="11.44140625" style="179"/>
    <col min="9469" max="9469" width="12" style="179" customWidth="1"/>
    <col min="9470" max="9470" width="39.109375" style="179" customWidth="1"/>
    <col min="9471" max="9471" width="6.6640625" style="179" customWidth="1"/>
    <col min="9472" max="9472" width="12.88671875" style="179" customWidth="1"/>
    <col min="9473" max="9473" width="11.33203125" style="179" customWidth="1"/>
    <col min="9474" max="9474" width="11.88671875" style="179" customWidth="1"/>
    <col min="9475" max="9475" width="7.6640625" style="179" customWidth="1"/>
    <col min="9476" max="9476" width="9" style="179" customWidth="1"/>
    <col min="9477" max="9724" width="11.44140625" style="179"/>
    <col min="9725" max="9725" width="12" style="179" customWidth="1"/>
    <col min="9726" max="9726" width="39.109375" style="179" customWidth="1"/>
    <col min="9727" max="9727" width="6.6640625" style="179" customWidth="1"/>
    <col min="9728" max="9728" width="12.88671875" style="179" customWidth="1"/>
    <col min="9729" max="9729" width="11.33203125" style="179" customWidth="1"/>
    <col min="9730" max="9730" width="11.88671875" style="179" customWidth="1"/>
    <col min="9731" max="9731" width="7.6640625" style="179" customWidth="1"/>
    <col min="9732" max="9732" width="9" style="179" customWidth="1"/>
    <col min="9733" max="9980" width="11.44140625" style="179"/>
    <col min="9981" max="9981" width="12" style="179" customWidth="1"/>
    <col min="9982" max="9982" width="39.109375" style="179" customWidth="1"/>
    <col min="9983" max="9983" width="6.6640625" style="179" customWidth="1"/>
    <col min="9984" max="9984" width="12.88671875" style="179" customWidth="1"/>
    <col min="9985" max="9985" width="11.33203125" style="179" customWidth="1"/>
    <col min="9986" max="9986" width="11.88671875" style="179" customWidth="1"/>
    <col min="9987" max="9987" width="7.6640625" style="179" customWidth="1"/>
    <col min="9988" max="9988" width="9" style="179" customWidth="1"/>
    <col min="9989" max="10236" width="11.44140625" style="179"/>
    <col min="10237" max="10237" width="12" style="179" customWidth="1"/>
    <col min="10238" max="10238" width="39.109375" style="179" customWidth="1"/>
    <col min="10239" max="10239" width="6.6640625" style="179" customWidth="1"/>
    <col min="10240" max="10240" width="12.88671875" style="179" customWidth="1"/>
    <col min="10241" max="10241" width="11.33203125" style="179" customWidth="1"/>
    <col min="10242" max="10242" width="11.88671875" style="179" customWidth="1"/>
    <col min="10243" max="10243" width="7.6640625" style="179" customWidth="1"/>
    <col min="10244" max="10244" width="9" style="179" customWidth="1"/>
    <col min="10245" max="10492" width="11.44140625" style="179"/>
    <col min="10493" max="10493" width="12" style="179" customWidth="1"/>
    <col min="10494" max="10494" width="39.109375" style="179" customWidth="1"/>
    <col min="10495" max="10495" width="6.6640625" style="179" customWidth="1"/>
    <col min="10496" max="10496" width="12.88671875" style="179" customWidth="1"/>
    <col min="10497" max="10497" width="11.33203125" style="179" customWidth="1"/>
    <col min="10498" max="10498" width="11.88671875" style="179" customWidth="1"/>
    <col min="10499" max="10499" width="7.6640625" style="179" customWidth="1"/>
    <col min="10500" max="10500" width="9" style="179" customWidth="1"/>
    <col min="10501" max="10748" width="11.44140625" style="179"/>
    <col min="10749" max="10749" width="12" style="179" customWidth="1"/>
    <col min="10750" max="10750" width="39.109375" style="179" customWidth="1"/>
    <col min="10751" max="10751" width="6.6640625" style="179" customWidth="1"/>
    <col min="10752" max="10752" width="12.88671875" style="179" customWidth="1"/>
    <col min="10753" max="10753" width="11.33203125" style="179" customWidth="1"/>
    <col min="10754" max="10754" width="11.88671875" style="179" customWidth="1"/>
    <col min="10755" max="10755" width="7.6640625" style="179" customWidth="1"/>
    <col min="10756" max="10756" width="9" style="179" customWidth="1"/>
    <col min="10757" max="11004" width="11.44140625" style="179"/>
    <col min="11005" max="11005" width="12" style="179" customWidth="1"/>
    <col min="11006" max="11006" width="39.109375" style="179" customWidth="1"/>
    <col min="11007" max="11007" width="6.6640625" style="179" customWidth="1"/>
    <col min="11008" max="11008" width="12.88671875" style="179" customWidth="1"/>
    <col min="11009" max="11009" width="11.33203125" style="179" customWidth="1"/>
    <col min="11010" max="11010" width="11.88671875" style="179" customWidth="1"/>
    <col min="11011" max="11011" width="7.6640625" style="179" customWidth="1"/>
    <col min="11012" max="11012" width="9" style="179" customWidth="1"/>
    <col min="11013" max="11260" width="11.44140625" style="179"/>
    <col min="11261" max="11261" width="12" style="179" customWidth="1"/>
    <col min="11262" max="11262" width="39.109375" style="179" customWidth="1"/>
    <col min="11263" max="11263" width="6.6640625" style="179" customWidth="1"/>
    <col min="11264" max="11264" width="12.88671875" style="179" customWidth="1"/>
    <col min="11265" max="11265" width="11.33203125" style="179" customWidth="1"/>
    <col min="11266" max="11266" width="11.88671875" style="179" customWidth="1"/>
    <col min="11267" max="11267" width="7.6640625" style="179" customWidth="1"/>
    <col min="11268" max="11268" width="9" style="179" customWidth="1"/>
    <col min="11269" max="11516" width="11.44140625" style="179"/>
    <col min="11517" max="11517" width="12" style="179" customWidth="1"/>
    <col min="11518" max="11518" width="39.109375" style="179" customWidth="1"/>
    <col min="11519" max="11519" width="6.6640625" style="179" customWidth="1"/>
    <col min="11520" max="11520" width="12.88671875" style="179" customWidth="1"/>
    <col min="11521" max="11521" width="11.33203125" style="179" customWidth="1"/>
    <col min="11522" max="11522" width="11.88671875" style="179" customWidth="1"/>
    <col min="11523" max="11523" width="7.6640625" style="179" customWidth="1"/>
    <col min="11524" max="11524" width="9" style="179" customWidth="1"/>
    <col min="11525" max="11772" width="11.44140625" style="179"/>
    <col min="11773" max="11773" width="12" style="179" customWidth="1"/>
    <col min="11774" max="11774" width="39.109375" style="179" customWidth="1"/>
    <col min="11775" max="11775" width="6.6640625" style="179" customWidth="1"/>
    <col min="11776" max="11776" width="12.88671875" style="179" customWidth="1"/>
    <col min="11777" max="11777" width="11.33203125" style="179" customWidth="1"/>
    <col min="11778" max="11778" width="11.88671875" style="179" customWidth="1"/>
    <col min="11779" max="11779" width="7.6640625" style="179" customWidth="1"/>
    <col min="11780" max="11780" width="9" style="179" customWidth="1"/>
    <col min="11781" max="12028" width="11.44140625" style="179"/>
    <col min="12029" max="12029" width="12" style="179" customWidth="1"/>
    <col min="12030" max="12030" width="39.109375" style="179" customWidth="1"/>
    <col min="12031" max="12031" width="6.6640625" style="179" customWidth="1"/>
    <col min="12032" max="12032" width="12.88671875" style="179" customWidth="1"/>
    <col min="12033" max="12033" width="11.33203125" style="179" customWidth="1"/>
    <col min="12034" max="12034" width="11.88671875" style="179" customWidth="1"/>
    <col min="12035" max="12035" width="7.6640625" style="179" customWidth="1"/>
    <col min="12036" max="12036" width="9" style="179" customWidth="1"/>
    <col min="12037" max="12284" width="11.44140625" style="179"/>
    <col min="12285" max="12285" width="12" style="179" customWidth="1"/>
    <col min="12286" max="12286" width="39.109375" style="179" customWidth="1"/>
    <col min="12287" max="12287" width="6.6640625" style="179" customWidth="1"/>
    <col min="12288" max="12288" width="12.88671875" style="179" customWidth="1"/>
    <col min="12289" max="12289" width="11.33203125" style="179" customWidth="1"/>
    <col min="12290" max="12290" width="11.88671875" style="179" customWidth="1"/>
    <col min="12291" max="12291" width="7.6640625" style="179" customWidth="1"/>
    <col min="12292" max="12292" width="9" style="179" customWidth="1"/>
    <col min="12293" max="12540" width="11.44140625" style="179"/>
    <col min="12541" max="12541" width="12" style="179" customWidth="1"/>
    <col min="12542" max="12542" width="39.109375" style="179" customWidth="1"/>
    <col min="12543" max="12543" width="6.6640625" style="179" customWidth="1"/>
    <col min="12544" max="12544" width="12.88671875" style="179" customWidth="1"/>
    <col min="12545" max="12545" width="11.33203125" style="179" customWidth="1"/>
    <col min="12546" max="12546" width="11.88671875" style="179" customWidth="1"/>
    <col min="12547" max="12547" width="7.6640625" style="179" customWidth="1"/>
    <col min="12548" max="12548" width="9" style="179" customWidth="1"/>
    <col min="12549" max="12796" width="11.44140625" style="179"/>
    <col min="12797" max="12797" width="12" style="179" customWidth="1"/>
    <col min="12798" max="12798" width="39.109375" style="179" customWidth="1"/>
    <col min="12799" max="12799" width="6.6640625" style="179" customWidth="1"/>
    <col min="12800" max="12800" width="12.88671875" style="179" customWidth="1"/>
    <col min="12801" max="12801" width="11.33203125" style="179" customWidth="1"/>
    <col min="12802" max="12802" width="11.88671875" style="179" customWidth="1"/>
    <col min="12803" max="12803" width="7.6640625" style="179" customWidth="1"/>
    <col min="12804" max="12804" width="9" style="179" customWidth="1"/>
    <col min="12805" max="13052" width="11.44140625" style="179"/>
    <col min="13053" max="13053" width="12" style="179" customWidth="1"/>
    <col min="13054" max="13054" width="39.109375" style="179" customWidth="1"/>
    <col min="13055" max="13055" width="6.6640625" style="179" customWidth="1"/>
    <col min="13056" max="13056" width="12.88671875" style="179" customWidth="1"/>
    <col min="13057" max="13057" width="11.33203125" style="179" customWidth="1"/>
    <col min="13058" max="13058" width="11.88671875" style="179" customWidth="1"/>
    <col min="13059" max="13059" width="7.6640625" style="179" customWidth="1"/>
    <col min="13060" max="13060" width="9" style="179" customWidth="1"/>
    <col min="13061" max="13308" width="11.44140625" style="179"/>
    <col min="13309" max="13309" width="12" style="179" customWidth="1"/>
    <col min="13310" max="13310" width="39.109375" style="179" customWidth="1"/>
    <col min="13311" max="13311" width="6.6640625" style="179" customWidth="1"/>
    <col min="13312" max="13312" width="12.88671875" style="179" customWidth="1"/>
    <col min="13313" max="13313" width="11.33203125" style="179" customWidth="1"/>
    <col min="13314" max="13314" width="11.88671875" style="179" customWidth="1"/>
    <col min="13315" max="13315" width="7.6640625" style="179" customWidth="1"/>
    <col min="13316" max="13316" width="9" style="179" customWidth="1"/>
    <col min="13317" max="13564" width="11.44140625" style="179"/>
    <col min="13565" max="13565" width="12" style="179" customWidth="1"/>
    <col min="13566" max="13566" width="39.109375" style="179" customWidth="1"/>
    <col min="13567" max="13567" width="6.6640625" style="179" customWidth="1"/>
    <col min="13568" max="13568" width="12.88671875" style="179" customWidth="1"/>
    <col min="13569" max="13569" width="11.33203125" style="179" customWidth="1"/>
    <col min="13570" max="13570" width="11.88671875" style="179" customWidth="1"/>
    <col min="13571" max="13571" width="7.6640625" style="179" customWidth="1"/>
    <col min="13572" max="13572" width="9" style="179" customWidth="1"/>
    <col min="13573" max="13820" width="11.44140625" style="179"/>
    <col min="13821" max="13821" width="12" style="179" customWidth="1"/>
    <col min="13822" max="13822" width="39.109375" style="179" customWidth="1"/>
    <col min="13823" max="13823" width="6.6640625" style="179" customWidth="1"/>
    <col min="13824" max="13824" width="12.88671875" style="179" customWidth="1"/>
    <col min="13825" max="13825" width="11.33203125" style="179" customWidth="1"/>
    <col min="13826" max="13826" width="11.88671875" style="179" customWidth="1"/>
    <col min="13827" max="13827" width="7.6640625" style="179" customWidth="1"/>
    <col min="13828" max="13828" width="9" style="179" customWidth="1"/>
    <col min="13829" max="14076" width="11.44140625" style="179"/>
    <col min="14077" max="14077" width="12" style="179" customWidth="1"/>
    <col min="14078" max="14078" width="39.109375" style="179" customWidth="1"/>
    <col min="14079" max="14079" width="6.6640625" style="179" customWidth="1"/>
    <col min="14080" max="14080" width="12.88671875" style="179" customWidth="1"/>
    <col min="14081" max="14081" width="11.33203125" style="179" customWidth="1"/>
    <col min="14082" max="14082" width="11.88671875" style="179" customWidth="1"/>
    <col min="14083" max="14083" width="7.6640625" style="179" customWidth="1"/>
    <col min="14084" max="14084" width="9" style="179" customWidth="1"/>
    <col min="14085" max="14332" width="11.44140625" style="179"/>
    <col min="14333" max="14333" width="12" style="179" customWidth="1"/>
    <col min="14334" max="14334" width="39.109375" style="179" customWidth="1"/>
    <col min="14335" max="14335" width="6.6640625" style="179" customWidth="1"/>
    <col min="14336" max="14336" width="12.88671875" style="179" customWidth="1"/>
    <col min="14337" max="14337" width="11.33203125" style="179" customWidth="1"/>
    <col min="14338" max="14338" width="11.88671875" style="179" customWidth="1"/>
    <col min="14339" max="14339" width="7.6640625" style="179" customWidth="1"/>
    <col min="14340" max="14340" width="9" style="179" customWidth="1"/>
    <col min="14341" max="14588" width="11.44140625" style="179"/>
    <col min="14589" max="14589" width="12" style="179" customWidth="1"/>
    <col min="14590" max="14590" width="39.109375" style="179" customWidth="1"/>
    <col min="14591" max="14591" width="6.6640625" style="179" customWidth="1"/>
    <col min="14592" max="14592" width="12.88671875" style="179" customWidth="1"/>
    <col min="14593" max="14593" width="11.33203125" style="179" customWidth="1"/>
    <col min="14594" max="14594" width="11.88671875" style="179" customWidth="1"/>
    <col min="14595" max="14595" width="7.6640625" style="179" customWidth="1"/>
    <col min="14596" max="14596" width="9" style="179" customWidth="1"/>
    <col min="14597" max="14844" width="11.44140625" style="179"/>
    <col min="14845" max="14845" width="12" style="179" customWidth="1"/>
    <col min="14846" max="14846" width="39.109375" style="179" customWidth="1"/>
    <col min="14847" max="14847" width="6.6640625" style="179" customWidth="1"/>
    <col min="14848" max="14848" width="12.88671875" style="179" customWidth="1"/>
    <col min="14849" max="14849" width="11.33203125" style="179" customWidth="1"/>
    <col min="14850" max="14850" width="11.88671875" style="179" customWidth="1"/>
    <col min="14851" max="14851" width="7.6640625" style="179" customWidth="1"/>
    <col min="14852" max="14852" width="9" style="179" customWidth="1"/>
    <col min="14853" max="15100" width="11.44140625" style="179"/>
    <col min="15101" max="15101" width="12" style="179" customWidth="1"/>
    <col min="15102" max="15102" width="39.109375" style="179" customWidth="1"/>
    <col min="15103" max="15103" width="6.6640625" style="179" customWidth="1"/>
    <col min="15104" max="15104" width="12.88671875" style="179" customWidth="1"/>
    <col min="15105" max="15105" width="11.33203125" style="179" customWidth="1"/>
    <col min="15106" max="15106" width="11.88671875" style="179" customWidth="1"/>
    <col min="15107" max="15107" width="7.6640625" style="179" customWidth="1"/>
    <col min="15108" max="15108" width="9" style="179" customWidth="1"/>
    <col min="15109" max="15356" width="11.44140625" style="179"/>
    <col min="15357" max="15357" width="12" style="179" customWidth="1"/>
    <col min="15358" max="15358" width="39.109375" style="179" customWidth="1"/>
    <col min="15359" max="15359" width="6.6640625" style="179" customWidth="1"/>
    <col min="15360" max="15360" width="12.88671875" style="179" customWidth="1"/>
    <col min="15361" max="15361" width="11.33203125" style="179" customWidth="1"/>
    <col min="15362" max="15362" width="11.88671875" style="179" customWidth="1"/>
    <col min="15363" max="15363" width="7.6640625" style="179" customWidth="1"/>
    <col min="15364" max="15364" width="9" style="179" customWidth="1"/>
    <col min="15365" max="15612" width="11.44140625" style="179"/>
    <col min="15613" max="15613" width="12" style="179" customWidth="1"/>
    <col min="15614" max="15614" width="39.109375" style="179" customWidth="1"/>
    <col min="15615" max="15615" width="6.6640625" style="179" customWidth="1"/>
    <col min="15616" max="15616" width="12.88671875" style="179" customWidth="1"/>
    <col min="15617" max="15617" width="11.33203125" style="179" customWidth="1"/>
    <col min="15618" max="15618" width="11.88671875" style="179" customWidth="1"/>
    <col min="15619" max="15619" width="7.6640625" style="179" customWidth="1"/>
    <col min="15620" max="15620" width="9" style="179" customWidth="1"/>
    <col min="15621" max="15868" width="11.44140625" style="179"/>
    <col min="15869" max="15869" width="12" style="179" customWidth="1"/>
    <col min="15870" max="15870" width="39.109375" style="179" customWidth="1"/>
    <col min="15871" max="15871" width="6.6640625" style="179" customWidth="1"/>
    <col min="15872" max="15872" width="12.88671875" style="179" customWidth="1"/>
    <col min="15873" max="15873" width="11.33203125" style="179" customWidth="1"/>
    <col min="15874" max="15874" width="11.88671875" style="179" customWidth="1"/>
    <col min="15875" max="15875" width="7.6640625" style="179" customWidth="1"/>
    <col min="15876" max="15876" width="9" style="179" customWidth="1"/>
    <col min="15877" max="16124" width="11.44140625" style="179"/>
    <col min="16125" max="16125" width="12" style="179" customWidth="1"/>
    <col min="16126" max="16126" width="39.109375" style="179" customWidth="1"/>
    <col min="16127" max="16127" width="6.6640625" style="179" customWidth="1"/>
    <col min="16128" max="16128" width="12.88671875" style="179" customWidth="1"/>
    <col min="16129" max="16129" width="11.33203125" style="179" customWidth="1"/>
    <col min="16130" max="16130" width="11.88671875" style="179" customWidth="1"/>
    <col min="16131" max="16131" width="7.6640625" style="179" customWidth="1"/>
    <col min="16132" max="16132" width="9" style="179" customWidth="1"/>
    <col min="16133" max="16384" width="11.44140625" style="179"/>
  </cols>
  <sheetData>
    <row r="1" spans="1:9" ht="32.25" customHeight="1" x14ac:dyDescent="0.3">
      <c r="B1" s="180"/>
      <c r="C1" s="181"/>
      <c r="D1" s="181"/>
      <c r="E1" s="181"/>
      <c r="F1" s="181"/>
      <c r="G1" s="181"/>
      <c r="H1" s="181"/>
      <c r="I1" s="181"/>
    </row>
    <row r="2" spans="1:9" ht="12.75" customHeight="1" x14ac:dyDescent="0.3">
      <c r="A2" s="182" t="s">
        <v>66</v>
      </c>
      <c r="B2" s="182"/>
      <c r="C2" s="180"/>
      <c r="D2" s="180"/>
      <c r="E2" s="180"/>
      <c r="F2" s="180"/>
      <c r="G2" s="183"/>
      <c r="H2" s="180"/>
      <c r="I2" s="180"/>
    </row>
    <row r="3" spans="1:9" ht="12.75" customHeight="1" x14ac:dyDescent="0.3">
      <c r="A3" s="182" t="str">
        <f>DETALLE!B1</f>
        <v>Aquien corresponda</v>
      </c>
      <c r="B3" s="182"/>
      <c r="C3" s="183"/>
      <c r="D3" s="184"/>
      <c r="E3" s="185"/>
      <c r="F3" s="183"/>
      <c r="G3" s="180"/>
      <c r="H3" s="180"/>
      <c r="I3" s="180"/>
    </row>
    <row r="4" spans="1:9" ht="12.75" customHeight="1" x14ac:dyDescent="0.3">
      <c r="A4" s="182">
        <f>DETALLE!B3</f>
        <v>0</v>
      </c>
      <c r="B4" s="182"/>
      <c r="C4" s="180"/>
      <c r="D4" s="180"/>
      <c r="E4" s="180"/>
      <c r="F4" s="180"/>
      <c r="G4" s="180"/>
      <c r="H4" s="180"/>
      <c r="I4" s="180"/>
    </row>
    <row r="5" spans="1:9" ht="12.75" customHeight="1" x14ac:dyDescent="0.3">
      <c r="A5" s="182" t="str">
        <f>DETALLE!B2</f>
        <v>cotización cámaras</v>
      </c>
      <c r="B5" s="182"/>
      <c r="C5" s="183"/>
      <c r="D5" s="207" t="s">
        <v>97</v>
      </c>
      <c r="E5" s="269">
        <f ca="1">TODAY()</f>
        <v>45078</v>
      </c>
      <c r="F5" s="269"/>
      <c r="G5" s="180"/>
      <c r="H5" s="180"/>
      <c r="I5" s="180"/>
    </row>
    <row r="6" spans="1:9" ht="12.75" customHeight="1" x14ac:dyDescent="0.3">
      <c r="B6" s="182"/>
      <c r="C6" s="183"/>
      <c r="D6" s="207"/>
      <c r="E6" s="208"/>
      <c r="F6" s="208"/>
      <c r="G6" s="180"/>
      <c r="H6" s="180"/>
      <c r="I6" s="180"/>
    </row>
    <row r="7" spans="1:9" ht="12.75" customHeight="1" x14ac:dyDescent="0.3">
      <c r="A7" s="209" t="s">
        <v>98</v>
      </c>
      <c r="B7" s="182"/>
      <c r="C7" s="183"/>
      <c r="D7" s="207"/>
      <c r="E7" s="208"/>
      <c r="F7" s="208"/>
      <c r="G7" s="180"/>
      <c r="H7" s="180"/>
      <c r="I7" s="180"/>
    </row>
    <row r="8" spans="1:9" ht="12.75" customHeight="1" x14ac:dyDescent="0.3">
      <c r="A8" s="182"/>
      <c r="B8" s="182"/>
      <c r="C8" s="183"/>
      <c r="D8" s="207"/>
      <c r="E8" s="208"/>
      <c r="F8" s="208"/>
      <c r="G8" s="180"/>
      <c r="H8" s="180"/>
      <c r="I8" s="180"/>
    </row>
    <row r="9" spans="1:9" ht="12.75" customHeight="1" x14ac:dyDescent="0.3">
      <c r="B9" s="209"/>
      <c r="C9" s="209"/>
      <c r="D9" s="209"/>
      <c r="E9" s="209"/>
      <c r="F9" s="209"/>
      <c r="G9" s="180"/>
      <c r="H9" s="180"/>
      <c r="I9" s="180"/>
    </row>
    <row r="10" spans="1:9" ht="21" customHeight="1" x14ac:dyDescent="0.3">
      <c r="A10" s="270" t="s">
        <v>65</v>
      </c>
      <c r="B10" s="270"/>
      <c r="C10" s="270"/>
      <c r="D10" s="270"/>
      <c r="E10" s="270"/>
      <c r="F10" s="270"/>
      <c r="G10" s="184"/>
      <c r="H10" s="184"/>
      <c r="I10" s="180"/>
    </row>
    <row r="11" spans="1:9" ht="12.75" customHeight="1" x14ac:dyDescent="0.3">
      <c r="A11" s="186" t="s">
        <v>92</v>
      </c>
      <c r="B11" s="188" t="s">
        <v>82</v>
      </c>
      <c r="C11" s="188" t="s">
        <v>93</v>
      </c>
      <c r="D11" s="188" t="s">
        <v>0</v>
      </c>
      <c r="E11" s="188" t="s">
        <v>94</v>
      </c>
      <c r="F11" s="188" t="s">
        <v>95</v>
      </c>
      <c r="G11" s="180"/>
      <c r="H11" s="180"/>
      <c r="I11" s="180"/>
    </row>
    <row r="12" spans="1:9" ht="19.5" customHeight="1" x14ac:dyDescent="0.3">
      <c r="B12" s="189"/>
      <c r="C12" s="190"/>
      <c r="D12" s="190"/>
      <c r="E12" s="190"/>
      <c r="F12" s="190"/>
      <c r="G12" s="180"/>
      <c r="H12" s="180"/>
      <c r="I12" s="180"/>
    </row>
    <row r="13" spans="1:9" x14ac:dyDescent="0.25">
      <c r="A13" s="191">
        <v>1</v>
      </c>
      <c r="B13" s="192" t="str">
        <f>DETALLE!B39</f>
        <v>SUMINISTRAO E IENTALACION DE CCTV</v>
      </c>
      <c r="C13" s="193" t="s">
        <v>96</v>
      </c>
      <c r="D13" s="206">
        <v>1</v>
      </c>
      <c r="E13" s="195">
        <v>10700</v>
      </c>
      <c r="F13" s="196">
        <f>E13*D13</f>
        <v>10700</v>
      </c>
    </row>
    <row r="14" spans="1:9" ht="57" customHeight="1" x14ac:dyDescent="0.25">
      <c r="A14" s="191">
        <v>2</v>
      </c>
      <c r="B14" s="192" t="e">
        <f>#REF!</f>
        <v>#REF!</v>
      </c>
      <c r="C14" s="193" t="s">
        <v>96</v>
      </c>
      <c r="D14" s="206">
        <v>2</v>
      </c>
      <c r="E14" s="195">
        <v>6900</v>
      </c>
      <c r="F14" s="196">
        <f t="shared" ref="F14:F22" si="0">E14*D14</f>
        <v>13800</v>
      </c>
    </row>
    <row r="15" spans="1:9" ht="24" customHeight="1" x14ac:dyDescent="0.25">
      <c r="A15" s="191"/>
      <c r="B15" s="192"/>
      <c r="C15" s="193"/>
      <c r="D15" s="206"/>
      <c r="E15" s="195"/>
      <c r="F15" s="196">
        <f t="shared" si="0"/>
        <v>0</v>
      </c>
    </row>
    <row r="16" spans="1:9" ht="25.5" customHeight="1" x14ac:dyDescent="0.25">
      <c r="A16" s="191"/>
      <c r="B16" s="192"/>
      <c r="C16" s="193"/>
      <c r="D16" s="206"/>
      <c r="E16" s="195"/>
      <c r="F16" s="196">
        <f t="shared" si="0"/>
        <v>0</v>
      </c>
    </row>
    <row r="17" spans="1:6" ht="23.25" customHeight="1" x14ac:dyDescent="0.25">
      <c r="A17" s="191"/>
      <c r="B17" s="192" t="e">
        <f>DETALLE!#REF!</f>
        <v>#REF!</v>
      </c>
      <c r="C17" s="193"/>
      <c r="D17" s="206">
        <f>DETALLE!A14</f>
        <v>1</v>
      </c>
      <c r="E17" s="195">
        <f>DETALLE!D14</f>
        <v>1879.6994999999997</v>
      </c>
      <c r="F17" s="196">
        <f t="shared" si="0"/>
        <v>1879.6994999999997</v>
      </c>
    </row>
    <row r="18" spans="1:6" ht="12.75" customHeight="1" x14ac:dyDescent="0.25">
      <c r="A18" s="191"/>
      <c r="B18" s="192" t="e">
        <f>DETALLE!#REF!</f>
        <v>#REF!</v>
      </c>
      <c r="C18" s="193"/>
      <c r="D18" s="206">
        <f>DETALLE!A15</f>
        <v>1</v>
      </c>
      <c r="E18" s="195">
        <f>DETALLE!D15</f>
        <v>2448.1305000000002</v>
      </c>
      <c r="F18" s="196">
        <f t="shared" si="0"/>
        <v>2448.1305000000002</v>
      </c>
    </row>
    <row r="19" spans="1:6" ht="12.75" customHeight="1" x14ac:dyDescent="0.25">
      <c r="A19" s="191"/>
      <c r="B19" s="192" t="e">
        <f>DETALLE!#REF!</f>
        <v>#REF!</v>
      </c>
      <c r="C19" s="193"/>
      <c r="D19" s="206">
        <f>DETALLE!A16</f>
        <v>1</v>
      </c>
      <c r="E19" s="195">
        <f>DETALLE!D16</f>
        <v>1365.903</v>
      </c>
      <c r="F19" s="196">
        <f t="shared" si="0"/>
        <v>1365.903</v>
      </c>
    </row>
    <row r="20" spans="1:6" ht="12.75" customHeight="1" x14ac:dyDescent="0.25">
      <c r="A20" s="191"/>
      <c r="B20" s="192"/>
      <c r="C20" s="193"/>
      <c r="D20" s="206"/>
      <c r="E20" s="195"/>
      <c r="F20" s="196"/>
    </row>
    <row r="21" spans="1:6" ht="12.75" customHeight="1" x14ac:dyDescent="0.25">
      <c r="A21" s="191"/>
      <c r="B21" s="192"/>
      <c r="C21" s="193"/>
      <c r="D21" s="206"/>
      <c r="E21" s="195"/>
      <c r="F21" s="196"/>
    </row>
    <row r="22" spans="1:6" x14ac:dyDescent="0.25">
      <c r="A22" s="191"/>
      <c r="B22" s="192"/>
      <c r="C22" s="193"/>
      <c r="D22" s="194"/>
      <c r="E22" s="195"/>
      <c r="F22" s="196">
        <f t="shared" si="0"/>
        <v>0</v>
      </c>
    </row>
    <row r="23" spans="1:6" x14ac:dyDescent="0.25">
      <c r="A23" s="198"/>
      <c r="B23" s="199"/>
      <c r="C23" s="182"/>
      <c r="D23" s="198" t="s">
        <v>1</v>
      </c>
      <c r="E23" s="197"/>
      <c r="F23" s="200">
        <f>SUM(F13:F22)</f>
        <v>30193.732999999997</v>
      </c>
    </row>
    <row r="24" spans="1:6" x14ac:dyDescent="0.25">
      <c r="A24" s="198"/>
      <c r="B24" s="184"/>
      <c r="C24" s="198"/>
      <c r="D24" s="198" t="s">
        <v>2</v>
      </c>
      <c r="E24" s="197"/>
      <c r="F24" s="200">
        <f>F23*16%</f>
        <v>4830.9972799999996</v>
      </c>
    </row>
    <row r="25" spans="1:6" x14ac:dyDescent="0.25">
      <c r="A25" s="198"/>
      <c r="B25" s="198"/>
      <c r="C25" s="198"/>
      <c r="D25" s="198" t="s">
        <v>64</v>
      </c>
      <c r="E25" s="197"/>
      <c r="F25" s="201">
        <f>SUM(F23:F24)</f>
        <v>35024.730279999996</v>
      </c>
    </row>
    <row r="26" spans="1:6" x14ac:dyDescent="0.25">
      <c r="A26" s="198"/>
      <c r="B26" s="210" t="str">
        <f>AO368</f>
        <v>(  TREINTA Y CINCO  MIL VEINTICUATRO  PESOS,  73/100 M.N.  )</v>
      </c>
      <c r="D26" s="198"/>
      <c r="E26" s="197"/>
      <c r="F26" s="201"/>
    </row>
    <row r="27" spans="1:6" x14ac:dyDescent="0.25">
      <c r="A27" s="198"/>
      <c r="C27" s="198"/>
      <c r="D27" s="198"/>
      <c r="E27" s="197"/>
      <c r="F27" s="201"/>
    </row>
    <row r="28" spans="1:6" x14ac:dyDescent="0.25">
      <c r="A28" s="198"/>
      <c r="B28" s="184"/>
      <c r="C28" s="184"/>
      <c r="D28" s="184"/>
      <c r="E28" s="202"/>
      <c r="F28" s="202"/>
    </row>
    <row r="29" spans="1:6" x14ac:dyDescent="0.25">
      <c r="A29" s="198"/>
      <c r="B29" s="198"/>
      <c r="C29" s="198"/>
      <c r="D29" s="198"/>
      <c r="E29" s="197"/>
      <c r="F29" s="197"/>
    </row>
    <row r="30" spans="1:6" x14ac:dyDescent="0.25">
      <c r="A30" s="198"/>
      <c r="B30" s="198"/>
      <c r="C30" s="198"/>
      <c r="E30" s="197"/>
      <c r="F30" s="197"/>
    </row>
    <row r="31" spans="1:6" ht="15.6" x14ac:dyDescent="0.3">
      <c r="A31" s="198"/>
      <c r="B31" s="198"/>
      <c r="C31" s="198"/>
      <c r="D31" s="217"/>
      <c r="E31" s="198"/>
      <c r="F31" s="198"/>
    </row>
    <row r="32" spans="1:6" x14ac:dyDescent="0.25">
      <c r="A32" s="198"/>
      <c r="B32" s="198"/>
      <c r="C32" s="198"/>
      <c r="D32" s="216"/>
      <c r="E32" s="198"/>
      <c r="F32" s="198"/>
    </row>
    <row r="33" spans="1:6" x14ac:dyDescent="0.25">
      <c r="A33" s="198"/>
      <c r="B33" s="198"/>
      <c r="C33" s="198"/>
      <c r="D33" s="198"/>
      <c r="E33" s="198"/>
      <c r="F33" s="198"/>
    </row>
    <row r="34" spans="1:6" x14ac:dyDescent="0.25">
      <c r="B34" s="198"/>
      <c r="C34" s="198"/>
      <c r="D34" s="198"/>
      <c r="E34" s="198"/>
      <c r="F34" s="198"/>
    </row>
    <row r="35" spans="1:6" x14ac:dyDescent="0.25">
      <c r="B35" s="198"/>
      <c r="C35" s="198"/>
      <c r="D35" s="198"/>
      <c r="E35" s="198"/>
      <c r="F35" s="198"/>
    </row>
    <row r="36" spans="1:6" x14ac:dyDescent="0.25">
      <c r="A36" s="198"/>
      <c r="B36" s="198"/>
      <c r="C36" s="198"/>
      <c r="D36" s="198"/>
      <c r="E36" s="198"/>
      <c r="F36" s="198"/>
    </row>
    <row r="37" spans="1:6" x14ac:dyDescent="0.25">
      <c r="A37" s="198"/>
      <c r="B37" s="198"/>
      <c r="C37" s="198"/>
      <c r="D37" s="198"/>
      <c r="E37" s="198"/>
      <c r="F37" s="198"/>
    </row>
    <row r="41" spans="1:6" x14ac:dyDescent="0.25">
      <c r="A41" s="218"/>
    </row>
    <row r="367" spans="39:51" x14ac:dyDescent="0.25">
      <c r="AM367" s="57" t="s">
        <v>3</v>
      </c>
      <c r="AN367" s="57"/>
      <c r="AO367" s="57" t="s">
        <v>4</v>
      </c>
      <c r="AP367" s="57"/>
      <c r="AQ367" s="57"/>
      <c r="AR367" s="57"/>
      <c r="AS367" s="57"/>
      <c r="AT367" s="57"/>
      <c r="AU367" s="57"/>
      <c r="AV367" s="57"/>
      <c r="AW367" s="57"/>
      <c r="AX367" s="57"/>
      <c r="AY367" s="4"/>
    </row>
    <row r="368" spans="39:51" x14ac:dyDescent="0.25">
      <c r="AM368" s="58">
        <f>+F25</f>
        <v>35024.730279999996</v>
      </c>
      <c r="AN368" s="57"/>
      <c r="AO368" s="59" t="str">
        <f>CONCATENATE(AT371,AW384,AW383,AW380,AW379,AW376,AU374,AU373,AU372,AU371)</f>
        <v>(  TREINTA Y CINCO  MIL VEINTICUATRO  PESOS,  73/100 M.N.  )</v>
      </c>
      <c r="AP368" s="59"/>
      <c r="AQ368" s="59"/>
      <c r="AR368" s="59"/>
      <c r="AS368" s="59"/>
      <c r="AT368" s="59"/>
      <c r="AU368" s="59"/>
      <c r="AV368" s="59"/>
      <c r="AW368" s="59"/>
      <c r="AX368" s="59"/>
      <c r="AY368" s="7"/>
    </row>
    <row r="369" spans="39:51" ht="13.8" thickBot="1" x14ac:dyDescent="0.3">
      <c r="AM369" s="60">
        <v>53</v>
      </c>
      <c r="AN369" s="57"/>
      <c r="AO369" s="59" t="str">
        <f>CONCATENATE(AT371,AW384,AW383,AW380,AW379,AW376,AU374,AU390,AU389,AU371)</f>
        <v>(  TREINTA Y CINCO  MIL VEINTICUATRO  DOLARES,  73/100 U.S. Cy  )</v>
      </c>
      <c r="AP369" s="57"/>
      <c r="AQ369" s="57"/>
      <c r="AR369" s="57"/>
      <c r="AS369" s="57"/>
      <c r="AT369" s="57"/>
      <c r="AU369" s="57"/>
      <c r="AV369" s="57"/>
      <c r="AW369" s="57"/>
      <c r="AX369" s="57"/>
      <c r="AY369" s="4"/>
    </row>
    <row r="370" spans="39:51" ht="13.8" thickTop="1" x14ac:dyDescent="0.25">
      <c r="AM370" s="61"/>
      <c r="AN370" s="62"/>
      <c r="AO370" s="62"/>
      <c r="AP370" s="62"/>
      <c r="AQ370" s="62"/>
      <c r="AR370" s="62"/>
      <c r="AS370" s="62"/>
      <c r="AT370" s="62"/>
      <c r="AU370" s="62"/>
      <c r="AV370" s="62"/>
      <c r="AW370" s="62"/>
      <c r="AX370" s="63"/>
      <c r="AY370" s="13"/>
    </row>
    <row r="371" spans="39:51" x14ac:dyDescent="0.25">
      <c r="AM371" s="64" t="str">
        <f>RIGHT(AM373)</f>
        <v>3</v>
      </c>
      <c r="AN371" s="65"/>
      <c r="AO371" s="65"/>
      <c r="AP371" s="65"/>
      <c r="AQ371" s="65"/>
      <c r="AR371" s="65"/>
      <c r="AS371" s="65"/>
      <c r="AT371" s="66" t="s">
        <v>5</v>
      </c>
      <c r="AU371" s="67" t="s">
        <v>6</v>
      </c>
      <c r="AV371" s="65"/>
      <c r="AW371" s="65"/>
      <c r="AX371" s="68"/>
      <c r="AY371" s="13"/>
    </row>
    <row r="372" spans="39:51" x14ac:dyDescent="0.25">
      <c r="AM372" s="64"/>
      <c r="AN372" s="65"/>
      <c r="AO372" s="65"/>
      <c r="AP372" s="67" t="s">
        <v>7</v>
      </c>
      <c r="AQ372" s="65"/>
      <c r="AR372" s="65"/>
      <c r="AS372" s="65"/>
      <c r="AT372" s="65"/>
      <c r="AU372" s="69" t="str">
        <f>CONCATENATE(AP374,AP373,AP372)</f>
        <v>73/100 M.N.</v>
      </c>
      <c r="AV372" s="65"/>
      <c r="AW372" s="65"/>
      <c r="AX372" s="68"/>
      <c r="AY372" s="13"/>
    </row>
    <row r="373" spans="39:51" x14ac:dyDescent="0.25">
      <c r="AM373" s="64" t="str">
        <f>RIGHT(AM393,AN373)</f>
        <v>3</v>
      </c>
      <c r="AN373" s="65">
        <v>1</v>
      </c>
      <c r="AO373" s="70" t="str">
        <f>MID(AM373,1,1)</f>
        <v>3</v>
      </c>
      <c r="AP373" s="65">
        <f>IF(VLOOKUP(AO373,AM395:AN406,2,FALSE)=0,0,VLOOKUP(AO373,AM395:AN406,2,FALSE))</f>
        <v>3</v>
      </c>
      <c r="AQ373" s="65"/>
      <c r="AR373" s="65"/>
      <c r="AS373" s="71"/>
      <c r="AT373" s="71"/>
      <c r="AU373" s="69" t="str">
        <f>IF(AM368&lt;&gt;1,"PESOS,  ","PESO  ")</f>
        <v xml:space="preserve">PESOS,  </v>
      </c>
      <c r="AV373" s="69"/>
      <c r="AW373" s="65"/>
      <c r="AX373" s="68"/>
      <c r="AY373" s="13"/>
    </row>
    <row r="374" spans="39:51" x14ac:dyDescent="0.25">
      <c r="AM374" s="64" t="str">
        <f>RIGHT(AM393,AN374)</f>
        <v>73</v>
      </c>
      <c r="AN374" s="65">
        <v>2</v>
      </c>
      <c r="AO374" s="70" t="str">
        <f>MID(AM374,1,1)</f>
        <v>7</v>
      </c>
      <c r="AP374" s="65">
        <f>IF(VLOOKUP(AO374,AM395:AN406,2,FALSE)=0,0,VLOOKUP(AO374,AM395:AN406,2,FALSE))</f>
        <v>7</v>
      </c>
      <c r="AQ374" s="65"/>
      <c r="AR374" s="65"/>
      <c r="AS374" s="69" t="str">
        <f>IF(SUM(AP376:AP386)=0,"CERO  ","")</f>
        <v/>
      </c>
      <c r="AT374" s="69" t="str">
        <f>IF(AP376&gt;2,"Y ","")</f>
        <v xml:space="preserve">Y </v>
      </c>
      <c r="AU374" s="69" t="str">
        <f>IF(SUM(AP376:AP386)=0,AS374,"")</f>
        <v/>
      </c>
      <c r="AV374" s="65"/>
      <c r="AW374" s="65"/>
      <c r="AX374" s="68"/>
      <c r="AY374" s="13"/>
    </row>
    <row r="375" spans="39:51" ht="13.8" thickBot="1" x14ac:dyDescent="0.3">
      <c r="AM375" s="64" t="str">
        <f>RIGHT(AM393,AN375)</f>
        <v>.73</v>
      </c>
      <c r="AN375" s="65">
        <v>3</v>
      </c>
      <c r="AO375" s="70" t="str">
        <f>MID(AM375,1,1)</f>
        <v>.</v>
      </c>
      <c r="AP375" s="65">
        <f>IF(VLOOKUP(AO375,AM395:AN406,2,FALSE)=0,0,VLOOKUP(AO375,AM395:AN406,2,FALSE))</f>
        <v>1</v>
      </c>
      <c r="AQ375" s="65"/>
      <c r="AR375" s="70">
        <v>1</v>
      </c>
      <c r="AS375" s="70">
        <v>2</v>
      </c>
      <c r="AT375" s="70">
        <v>3</v>
      </c>
      <c r="AU375" s="70">
        <v>4</v>
      </c>
      <c r="AV375" s="70"/>
      <c r="AW375" s="65"/>
      <c r="AX375" s="68"/>
      <c r="AY375" s="13"/>
    </row>
    <row r="376" spans="39:51" x14ac:dyDescent="0.25">
      <c r="AM376" s="72" t="str">
        <f>RIGHT(AM393,AN376)</f>
        <v>4.73</v>
      </c>
      <c r="AN376" s="73">
        <v>4</v>
      </c>
      <c r="AO376" s="74" t="str">
        <f t="shared" ref="AO376:AO386" si="1">IF(AM376=AM375,"0",MID(AM376,1,1))</f>
        <v>4</v>
      </c>
      <c r="AP376" s="75">
        <f>IF(VLOOKUP(AO376,AM395:AN406,2,FALSE)=0,0,VLOOKUP(AO376,AM395:AN406,2,FALSE))</f>
        <v>4</v>
      </c>
      <c r="AQ376" s="65"/>
      <c r="AR376" s="76" t="str">
        <f>IF(AP376=0,"",VLOOKUP(AP376,AN395:AR404,4,FALSE))</f>
        <v xml:space="preserve">CUATRO  </v>
      </c>
      <c r="AS376" s="77" t="str">
        <f>IF(AP377=1,VLOOKUP(AP376,AN395:AR404,5,FALSE),VLOOKUP(AP376,AN395:AR404,4,FALSE))</f>
        <v xml:space="preserve">CUATRO  </v>
      </c>
      <c r="AT376" s="77" t="str">
        <f>IF(AP377=1,AS376,AR376)</f>
        <v xml:space="preserve">CUATRO  </v>
      </c>
      <c r="AU376" s="78" t="str">
        <f>IF(AP376=0,AR376,AT376)</f>
        <v xml:space="preserve">CUATRO  </v>
      </c>
      <c r="AV376" s="65" t="str">
        <f>IF(AND(AP377&gt;2,AP376&gt;0),"Y ","")</f>
        <v/>
      </c>
      <c r="AW376" s="65" t="str">
        <f>CONCATENATE(AU378,AU377,AV376,AU376)</f>
        <v xml:space="preserve">VEINTICUATRO  </v>
      </c>
      <c r="AX376" s="68"/>
      <c r="AY376" s="13"/>
    </row>
    <row r="377" spans="39:51" x14ac:dyDescent="0.25">
      <c r="AM377" s="64" t="str">
        <f>RIGHT(AM393,AN377)</f>
        <v>24.73</v>
      </c>
      <c r="AN377" s="65">
        <v>5</v>
      </c>
      <c r="AO377" s="70" t="str">
        <f t="shared" si="1"/>
        <v>2</v>
      </c>
      <c r="AP377" s="79">
        <f>IF(VLOOKUP(AO377,AM395:AN406,2,FALSE)=0,0,VLOOKUP(AO377,AM395:AN406,2,FALSE))</f>
        <v>2</v>
      </c>
      <c r="AQ377" s="65"/>
      <c r="AR377" s="80" t="str">
        <f>IF(AP377=0,"",VLOOKUP(AP377,AN395:AR404,3,FALSE))</f>
        <v xml:space="preserve">VEINTE  </v>
      </c>
      <c r="AS377" s="69" t="str">
        <f>IF(AP377=1,"",AR377)</f>
        <v xml:space="preserve">VEINTE  </v>
      </c>
      <c r="AT377" s="69" t="str">
        <f>IF(AP377=2,AS393,AS377)</f>
        <v>VEINTI</v>
      </c>
      <c r="AU377" s="81" t="str">
        <f>IF(AP376=0,AR377,AT377)</f>
        <v>VEINTI</v>
      </c>
      <c r="AV377" s="69"/>
      <c r="AW377" s="69"/>
      <c r="AX377" s="68"/>
      <c r="AY377" s="13"/>
    </row>
    <row r="378" spans="39:51" ht="13.8" thickBot="1" x14ac:dyDescent="0.3">
      <c r="AM378" s="82" t="str">
        <f>RIGHT(AM393,AN378)</f>
        <v>024.73</v>
      </c>
      <c r="AN378" s="83">
        <v>6</v>
      </c>
      <c r="AO378" s="84" t="str">
        <f t="shared" si="1"/>
        <v>0</v>
      </c>
      <c r="AP378" s="85">
        <f>IF(VLOOKUP(AO378,AM395:AN406,2,FALSE)=0,0,VLOOKUP(AO378,AM395:AN406,2,FALSE))</f>
        <v>0</v>
      </c>
      <c r="AQ378" s="65"/>
      <c r="AR378" s="86" t="str">
        <f>IF(AP378=0,"",VLOOKUP(AP378,AN395:AR404,2,FALSE))</f>
        <v/>
      </c>
      <c r="AS378" s="87"/>
      <c r="AT378" s="88" t="str">
        <f>IF(AP378=1,AO392,AR378)</f>
        <v/>
      </c>
      <c r="AU378" s="89" t="str">
        <f>IF(AP376+AP377=0,AR378,AT378)</f>
        <v/>
      </c>
      <c r="AV378" s="69"/>
      <c r="AW378" s="69"/>
      <c r="AX378" s="68"/>
      <c r="AY378" s="13"/>
    </row>
    <row r="379" spans="39:51" ht="13.8" thickBot="1" x14ac:dyDescent="0.3">
      <c r="AM379" s="64" t="str">
        <f>RIGHT(AM393,AN379)</f>
        <v>,024.73</v>
      </c>
      <c r="AN379" s="65">
        <v>7</v>
      </c>
      <c r="AO379" s="70" t="str">
        <f t="shared" si="1"/>
        <v>,</v>
      </c>
      <c r="AP379" s="65">
        <f>IF(VLOOKUP(AO379,AM395:AN406,2,FALSE)=0,0,VLOOKUP(AO379,AM395:AN406,2,FALSE))</f>
        <v>0</v>
      </c>
      <c r="AQ379" s="65"/>
      <c r="AR379" s="69" t="str">
        <f>IF(SUM(AP380:AP382)=0,"","MIL ")</f>
        <v xml:space="preserve">MIL </v>
      </c>
      <c r="AS379" s="69"/>
      <c r="AT379" s="69"/>
      <c r="AU379" s="69"/>
      <c r="AV379" s="69"/>
      <c r="AW379" s="69" t="str">
        <f>AR379</f>
        <v xml:space="preserve">MIL </v>
      </c>
      <c r="AX379" s="68"/>
      <c r="AY379" s="13"/>
    </row>
    <row r="380" spans="39:51" x14ac:dyDescent="0.25">
      <c r="AM380" s="72" t="str">
        <f>RIGHT(AM393,AN380)</f>
        <v>5,024.73</v>
      </c>
      <c r="AN380" s="73">
        <v>8</v>
      </c>
      <c r="AO380" s="74" t="str">
        <f t="shared" si="1"/>
        <v>5</v>
      </c>
      <c r="AP380" s="75">
        <f>IF(VLOOKUP(AO380,AM395:AN406,2,FALSE)=0,0,VLOOKUP(AO380,AM395:AN406,2,FALSE))</f>
        <v>5</v>
      </c>
      <c r="AQ380" s="65"/>
      <c r="AR380" s="76" t="str">
        <f>IF(AP380=0,"",VLOOKUP(AP380,AN395:AR404,4,FALSE))</f>
        <v xml:space="preserve">CINCO  </v>
      </c>
      <c r="AS380" s="77" t="str">
        <f>IF(AP381=1,VLOOKUP(AP380,AN395:AR404,5,FALSE),VLOOKUP(AP380,AN395:AR404,4,FALSE))</f>
        <v xml:space="preserve">CINCO  </v>
      </c>
      <c r="AT380" s="77" t="str">
        <f>IF(AP381=1,AS380,AR380)</f>
        <v xml:space="preserve">CINCO  </v>
      </c>
      <c r="AU380" s="78" t="str">
        <f>IF(AP380=0,AR380,AT380)</f>
        <v xml:space="preserve">CINCO  </v>
      </c>
      <c r="AV380" s="65" t="str">
        <f>IF(AND(AP381&gt;2,AP380&gt;0),"Y ","")</f>
        <v xml:space="preserve">Y </v>
      </c>
      <c r="AW380" s="65" t="str">
        <f>CONCATENATE(AU382,AU381,AV380,AU380)</f>
        <v xml:space="preserve">TREINTA Y CINCO  </v>
      </c>
      <c r="AX380" s="68"/>
      <c r="AY380" s="13"/>
    </row>
    <row r="381" spans="39:51" x14ac:dyDescent="0.25">
      <c r="AM381" s="64" t="str">
        <f>RIGHT(AM393,AN381)</f>
        <v>35,024.73</v>
      </c>
      <c r="AN381" s="65">
        <v>9</v>
      </c>
      <c r="AO381" s="70" t="str">
        <f t="shared" si="1"/>
        <v>3</v>
      </c>
      <c r="AP381" s="79">
        <f>IF(VLOOKUP(AO381,AM395:AN406,2,FALSE)=0,0,VLOOKUP(AO381,AM395:AN406,2,FALSE))</f>
        <v>3</v>
      </c>
      <c r="AQ381" s="65"/>
      <c r="AR381" s="80" t="str">
        <f>IF(AP381=0,"",VLOOKUP(AP381,AN395:AR404,3,FALSE))</f>
        <v xml:space="preserve">TREINTA </v>
      </c>
      <c r="AS381" s="69" t="str">
        <f>IF(AP381=1,"",AR381)</f>
        <v xml:space="preserve">TREINTA </v>
      </c>
      <c r="AT381" s="69" t="str">
        <f>IF(AP381=2,AS393,AS381)</f>
        <v xml:space="preserve">TREINTA </v>
      </c>
      <c r="AU381" s="81" t="str">
        <f>IF(AP380=0,AR381,AT381)</f>
        <v xml:space="preserve">TREINTA </v>
      </c>
      <c r="AV381" s="69"/>
      <c r="AW381" s="69"/>
      <c r="AX381" s="68"/>
      <c r="AY381" s="13"/>
    </row>
    <row r="382" spans="39:51" ht="13.8" thickBot="1" x14ac:dyDescent="0.3">
      <c r="AM382" s="82" t="str">
        <f>RIGHT(AM393,AN382)</f>
        <v>35,024.73</v>
      </c>
      <c r="AN382" s="83">
        <v>10</v>
      </c>
      <c r="AO382" s="84" t="str">
        <f t="shared" si="1"/>
        <v>0</v>
      </c>
      <c r="AP382" s="85">
        <f>IF(VLOOKUP(AO382,AM395:AN406,2,FALSE)=0,0,VLOOKUP(AO382,AM395:AN406,2,FALSE))</f>
        <v>0</v>
      </c>
      <c r="AQ382" s="65"/>
      <c r="AR382" s="86" t="str">
        <f>IF(AP382=0,"",VLOOKUP(AP382,AN395:AR406,2,FALSE))</f>
        <v/>
      </c>
      <c r="AS382" s="87"/>
      <c r="AT382" s="88" t="str">
        <f>IF(AP382=1,AO392,AR382)</f>
        <v/>
      </c>
      <c r="AU382" s="89" t="str">
        <f>IF(AP380+AP381=0,AR382,AT382)</f>
        <v/>
      </c>
      <c r="AV382" s="69"/>
      <c r="AW382" s="69"/>
      <c r="AX382" s="68"/>
      <c r="AY382" s="13"/>
    </row>
    <row r="383" spans="39:51" ht="13.8" thickBot="1" x14ac:dyDescent="0.3">
      <c r="AM383" s="64" t="str">
        <f>RIGHT(AM393,AN383)</f>
        <v>35,024.73</v>
      </c>
      <c r="AN383" s="65">
        <v>11</v>
      </c>
      <c r="AO383" s="70" t="str">
        <f t="shared" si="1"/>
        <v>0</v>
      </c>
      <c r="AP383" s="65">
        <f>IF(VLOOKUP(AO383,AM395:AN406,2,FALSE)=0,0,VLOOKUP(AO383,AM395:AN406,2,FALSE))</f>
        <v>0</v>
      </c>
      <c r="AQ383" s="65"/>
      <c r="AR383" s="69" t="str">
        <f>IF(AM368&gt;1999999.99,"MILLONES","MILLON")</f>
        <v>MILLON</v>
      </c>
      <c r="AS383" s="69"/>
      <c r="AT383" s="69"/>
      <c r="AU383" s="69"/>
      <c r="AV383" s="69" t="str">
        <f>IF(SUM(AP384:AP386)&gt;0,AR383,"")</f>
        <v/>
      </c>
      <c r="AW383" s="65" t="str">
        <f>CONCATENATE(AV383," ",AV385)</f>
        <v xml:space="preserve">  </v>
      </c>
      <c r="AX383" s="68"/>
      <c r="AY383" s="13"/>
    </row>
    <row r="384" spans="39:51" x14ac:dyDescent="0.25">
      <c r="AM384" s="72" t="str">
        <f>RIGHT(AM393,AN384)</f>
        <v>35,024.73</v>
      </c>
      <c r="AN384" s="73">
        <v>12</v>
      </c>
      <c r="AO384" s="74" t="str">
        <f t="shared" si="1"/>
        <v>0</v>
      </c>
      <c r="AP384" s="75">
        <f>IF(VLOOKUP(AO384,AM395:AN406,2,FALSE)=0,0,VLOOKUP(AO384,AM395:AN406,2,FALSE))</f>
        <v>0</v>
      </c>
      <c r="AQ384" s="65"/>
      <c r="AR384" s="76" t="str">
        <f>IF(AP384=0,"",VLOOKUP(AP384,AN395:AR404,4,FALSE))</f>
        <v/>
      </c>
      <c r="AS384" s="77" t="e">
        <f>IF(AP385=1,VLOOKUP(AP384,AN395:AR404,5,FALSE),VLOOKUP(AP384,AN395:AR404,4,FALSE))</f>
        <v>#N/A</v>
      </c>
      <c r="AT384" s="77" t="str">
        <f>IF(AP385=1,AS384,AR384)</f>
        <v/>
      </c>
      <c r="AU384" s="78" t="str">
        <f>IF(AP384=0,AR384,AT384)</f>
        <v/>
      </c>
      <c r="AV384" s="65" t="str">
        <f>IF(AND(AP385&gt;2,AP384&gt;0),"Y ","")</f>
        <v/>
      </c>
      <c r="AW384" s="65" t="str">
        <f>CONCATENATE(AU386,AU385,AV384,AU384)</f>
        <v/>
      </c>
      <c r="AX384" s="68"/>
      <c r="AY384" s="13"/>
    </row>
    <row r="385" spans="39:51" x14ac:dyDescent="0.25">
      <c r="AM385" s="64" t="str">
        <f>RIGHT(AM393,AN385)</f>
        <v>35,024.73</v>
      </c>
      <c r="AN385" s="65">
        <v>13</v>
      </c>
      <c r="AO385" s="70" t="str">
        <f t="shared" si="1"/>
        <v>0</v>
      </c>
      <c r="AP385" s="79">
        <f>IF(VLOOKUP(AO385,AM395:AN406,2,FALSE)=0,0,VLOOKUP(AO385,AM395:AN406,2,FALSE))</f>
        <v>0</v>
      </c>
      <c r="AQ385" s="65"/>
      <c r="AR385" s="80" t="str">
        <f>IF(AP385=0,"",VLOOKUP(AP385,AN395:AR404,3,FALSE))</f>
        <v/>
      </c>
      <c r="AS385" s="69" t="str">
        <f>IF(AP385=1,"",AR385)</f>
        <v/>
      </c>
      <c r="AT385" s="69" t="str">
        <f>IF(AP385=2,AS393,AS385)</f>
        <v/>
      </c>
      <c r="AU385" s="81" t="str">
        <f>IF(AP384=0,AR385,AT385)</f>
        <v/>
      </c>
      <c r="AV385" s="65" t="str">
        <f>IF(AND(AM368&gt;0.99,SUM(AP384:AP386)&gt;0),IF(SUM(AP376:AP382)&gt;0," ","DE ")," ")</f>
        <v xml:space="preserve"> </v>
      </c>
      <c r="AW385" s="69"/>
      <c r="AX385" s="68"/>
      <c r="AY385" s="13"/>
    </row>
    <row r="386" spans="39:51" ht="13.8" thickBot="1" x14ac:dyDescent="0.3">
      <c r="AM386" s="82" t="str">
        <f>RIGHT(AM393,AN386)</f>
        <v>35,024.73</v>
      </c>
      <c r="AN386" s="83">
        <v>14</v>
      </c>
      <c r="AO386" s="84" t="str">
        <f t="shared" si="1"/>
        <v>0</v>
      </c>
      <c r="AP386" s="85">
        <f>IF(VLOOKUP(AO386,AM395:AN406,2,FALSE)=0,0,VLOOKUP(AO386,AM395:AN406,2,FALSE))</f>
        <v>0</v>
      </c>
      <c r="AQ386" s="65"/>
      <c r="AR386" s="86" t="str">
        <f>IF(AP386=0,"",VLOOKUP(AP386,AN395:AR407,2,FALSE))</f>
        <v/>
      </c>
      <c r="AS386" s="87"/>
      <c r="AT386" s="88" t="str">
        <f>IF(AP386=1,AO392,AR386)</f>
        <v/>
      </c>
      <c r="AU386" s="89" t="str">
        <f>IF(AP384+AP385=0,AR386,AT386)</f>
        <v/>
      </c>
      <c r="AV386" s="65"/>
      <c r="AW386" s="69"/>
      <c r="AX386" s="68"/>
      <c r="AY386" s="13"/>
    </row>
    <row r="387" spans="39:51" x14ac:dyDescent="0.25">
      <c r="AM387" s="64"/>
      <c r="AN387" s="65"/>
      <c r="AO387" s="65"/>
      <c r="AP387" s="65"/>
      <c r="AQ387" s="65"/>
      <c r="AR387" s="65"/>
      <c r="AS387" s="65"/>
      <c r="AT387" s="65"/>
      <c r="AU387" s="65"/>
      <c r="AV387" s="65"/>
      <c r="AW387" s="65"/>
      <c r="AX387" s="68"/>
      <c r="AY387" s="13"/>
    </row>
    <row r="388" spans="39:51" x14ac:dyDescent="0.25">
      <c r="AM388" s="64"/>
      <c r="AN388" s="65"/>
      <c r="AO388" s="65"/>
      <c r="AP388" s="67" t="s">
        <v>8</v>
      </c>
      <c r="AQ388" s="65"/>
      <c r="AR388" s="65"/>
      <c r="AS388" s="65"/>
      <c r="AT388" s="66" t="s">
        <v>9</v>
      </c>
      <c r="AU388" s="67" t="s">
        <v>6</v>
      </c>
      <c r="AV388" s="65"/>
      <c r="AW388" s="65"/>
      <c r="AX388" s="68"/>
      <c r="AY388" s="13"/>
    </row>
    <row r="389" spans="39:51" x14ac:dyDescent="0.25">
      <c r="AM389" s="64"/>
      <c r="AN389" s="65"/>
      <c r="AO389" s="65"/>
      <c r="AP389" s="65"/>
      <c r="AQ389" s="65"/>
      <c r="AR389" s="65"/>
      <c r="AS389" s="65"/>
      <c r="AT389" s="65"/>
      <c r="AU389" s="69" t="str">
        <f>CONCATENATE(AP374,AP373,AP388)</f>
        <v>73/100 U.S. Cy</v>
      </c>
      <c r="AV389" s="65"/>
      <c r="AW389" s="65"/>
      <c r="AX389" s="68"/>
      <c r="AY389" s="13"/>
    </row>
    <row r="390" spans="39:51" ht="13.8" x14ac:dyDescent="0.25">
      <c r="AM390" s="90" t="str">
        <f>CONCATENATE(AO386,AO385,AO384,AO383,AO382,AO381,AO380,AO379,AO378,AO377,AO376,AO375,AO374,AO373)</f>
        <v>0000035,024.73</v>
      </c>
      <c r="AN390" s="65"/>
      <c r="AO390" s="65"/>
      <c r="AP390" s="65"/>
      <c r="AQ390" s="65"/>
      <c r="AR390" s="65"/>
      <c r="AS390" s="65"/>
      <c r="AT390" s="71"/>
      <c r="AU390" s="69" t="str">
        <f>IF(AM368&lt;&gt;1,"DOLARES,  ","PESO  ")</f>
        <v xml:space="preserve">DOLARES,  </v>
      </c>
      <c r="AV390" s="65"/>
      <c r="AW390" s="65"/>
      <c r="AX390" s="68"/>
      <c r="AY390" s="13"/>
    </row>
    <row r="391" spans="39:51" ht="13.8" thickBot="1" x14ac:dyDescent="0.3">
      <c r="AM391" s="64"/>
      <c r="AN391" s="65"/>
      <c r="AO391" s="65"/>
      <c r="AP391" s="65"/>
      <c r="AQ391" s="65"/>
      <c r="AR391" s="65"/>
      <c r="AS391" s="65"/>
      <c r="AT391" s="65"/>
      <c r="AU391" s="65"/>
      <c r="AV391" s="65"/>
      <c r="AW391" s="65"/>
      <c r="AX391" s="68"/>
      <c r="AY391" s="13"/>
    </row>
    <row r="392" spans="39:51" x14ac:dyDescent="0.25">
      <c r="AM392" s="91"/>
      <c r="AN392" s="92"/>
      <c r="AO392" s="93" t="s">
        <v>10</v>
      </c>
      <c r="AP392" s="94"/>
      <c r="AQ392" s="93"/>
      <c r="AR392" s="94"/>
      <c r="AS392" s="95"/>
      <c r="AT392" s="65"/>
      <c r="AU392" s="65"/>
      <c r="AV392" s="65"/>
      <c r="AW392" s="65"/>
      <c r="AX392" s="68"/>
      <c r="AY392" s="13"/>
    </row>
    <row r="393" spans="39:51" x14ac:dyDescent="0.25">
      <c r="AM393" s="96" t="str">
        <f>FIXED(AM368)</f>
        <v>35,024.73</v>
      </c>
      <c r="AN393" s="65"/>
      <c r="AO393" s="97" t="s">
        <v>11</v>
      </c>
      <c r="AP393" s="97" t="s">
        <v>12</v>
      </c>
      <c r="AQ393" s="97" t="s">
        <v>13</v>
      </c>
      <c r="AR393" s="98" t="s">
        <v>14</v>
      </c>
      <c r="AS393" s="99" t="s">
        <v>15</v>
      </c>
      <c r="AT393" s="65"/>
      <c r="AU393" s="65"/>
      <c r="AV393" s="65"/>
      <c r="AW393" s="65"/>
      <c r="AX393" s="68"/>
      <c r="AY393" s="13"/>
    </row>
    <row r="394" spans="39:51" x14ac:dyDescent="0.25">
      <c r="AM394" s="64"/>
      <c r="AN394" s="100">
        <v>1</v>
      </c>
      <c r="AO394" s="100">
        <v>8</v>
      </c>
      <c r="AP394" s="100">
        <v>9</v>
      </c>
      <c r="AQ394" s="100">
        <v>10</v>
      </c>
      <c r="AR394" s="100">
        <v>11</v>
      </c>
      <c r="AS394" s="99"/>
      <c r="AT394" s="65"/>
      <c r="AU394" s="65"/>
      <c r="AV394" s="65"/>
      <c r="AW394" s="65"/>
      <c r="AX394" s="68"/>
      <c r="AY394" s="13"/>
    </row>
    <row r="395" spans="39:51" x14ac:dyDescent="0.25">
      <c r="AM395" s="101" t="s">
        <v>16</v>
      </c>
      <c r="AN395" s="65">
        <v>1</v>
      </c>
      <c r="AO395" s="102" t="s">
        <v>17</v>
      </c>
      <c r="AP395" s="102" t="s">
        <v>18</v>
      </c>
      <c r="AQ395" s="102" t="s">
        <v>19</v>
      </c>
      <c r="AR395" s="102" t="s">
        <v>20</v>
      </c>
      <c r="AS395" s="99"/>
      <c r="AT395" s="65"/>
      <c r="AU395" s="65"/>
      <c r="AV395" s="65"/>
      <c r="AW395" s="65"/>
      <c r="AX395" s="68"/>
      <c r="AY395" s="13"/>
    </row>
    <row r="396" spans="39:51" x14ac:dyDescent="0.25">
      <c r="AM396" s="101" t="s">
        <v>21</v>
      </c>
      <c r="AN396" s="65">
        <v>2</v>
      </c>
      <c r="AO396" s="102" t="s">
        <v>22</v>
      </c>
      <c r="AP396" s="102" t="s">
        <v>23</v>
      </c>
      <c r="AQ396" s="102" t="s">
        <v>24</v>
      </c>
      <c r="AR396" s="102" t="s">
        <v>25</v>
      </c>
      <c r="AS396" s="99"/>
      <c r="AT396" s="65"/>
      <c r="AU396" s="65"/>
      <c r="AV396" s="65"/>
      <c r="AW396" s="65"/>
      <c r="AX396" s="68"/>
      <c r="AY396" s="13"/>
    </row>
    <row r="397" spans="39:51" x14ac:dyDescent="0.25">
      <c r="AM397" s="101" t="s">
        <v>26</v>
      </c>
      <c r="AN397" s="65">
        <v>3</v>
      </c>
      <c r="AO397" s="102" t="s">
        <v>27</v>
      </c>
      <c r="AP397" s="102" t="s">
        <v>28</v>
      </c>
      <c r="AQ397" s="102" t="s">
        <v>29</v>
      </c>
      <c r="AR397" s="102" t="s">
        <v>30</v>
      </c>
      <c r="AS397" s="99"/>
      <c r="AT397" s="65"/>
      <c r="AU397" s="65"/>
      <c r="AV397" s="65"/>
      <c r="AW397" s="65"/>
      <c r="AX397" s="68"/>
      <c r="AY397" s="13"/>
    </row>
    <row r="398" spans="39:51" x14ac:dyDescent="0.25">
      <c r="AM398" s="101" t="s">
        <v>31</v>
      </c>
      <c r="AN398" s="65">
        <v>4</v>
      </c>
      <c r="AO398" s="102" t="s">
        <v>32</v>
      </c>
      <c r="AP398" s="102" t="s">
        <v>33</v>
      </c>
      <c r="AQ398" s="102" t="s">
        <v>34</v>
      </c>
      <c r="AR398" s="102" t="s">
        <v>35</v>
      </c>
      <c r="AS398" s="99"/>
      <c r="AT398" s="65"/>
      <c r="AU398" s="65"/>
      <c r="AV398" s="65"/>
      <c r="AW398" s="65"/>
      <c r="AX398" s="68"/>
      <c r="AY398" s="13"/>
    </row>
    <row r="399" spans="39:51" x14ac:dyDescent="0.25">
      <c r="AM399" s="101" t="s">
        <v>36</v>
      </c>
      <c r="AN399" s="65">
        <v>5</v>
      </c>
      <c r="AO399" s="102" t="s">
        <v>37</v>
      </c>
      <c r="AP399" s="102" t="s">
        <v>38</v>
      </c>
      <c r="AQ399" s="102" t="s">
        <v>39</v>
      </c>
      <c r="AR399" s="102" t="s">
        <v>40</v>
      </c>
      <c r="AS399" s="99"/>
      <c r="AT399" s="65"/>
      <c r="AU399" s="65"/>
      <c r="AV399" s="65"/>
      <c r="AW399" s="65"/>
      <c r="AX399" s="68"/>
      <c r="AY399" s="13"/>
    </row>
    <row r="400" spans="39:51" x14ac:dyDescent="0.25">
      <c r="AM400" s="101" t="s">
        <v>41</v>
      </c>
      <c r="AN400" s="65">
        <v>6</v>
      </c>
      <c r="AO400" s="102" t="s">
        <v>42</v>
      </c>
      <c r="AP400" s="102" t="s">
        <v>43</v>
      </c>
      <c r="AQ400" s="102" t="s">
        <v>44</v>
      </c>
      <c r="AR400" s="102" t="s">
        <v>45</v>
      </c>
      <c r="AS400" s="99"/>
      <c r="AT400" s="65"/>
      <c r="AU400" s="65"/>
      <c r="AV400" s="65"/>
      <c r="AW400" s="65"/>
      <c r="AX400" s="68"/>
      <c r="AY400" s="13"/>
    </row>
    <row r="401" spans="39:51" x14ac:dyDescent="0.25">
      <c r="AM401" s="101" t="s">
        <v>46</v>
      </c>
      <c r="AN401" s="65">
        <v>7</v>
      </c>
      <c r="AO401" s="102" t="s">
        <v>47</v>
      </c>
      <c r="AP401" s="102" t="s">
        <v>48</v>
      </c>
      <c r="AQ401" s="102" t="s">
        <v>49</v>
      </c>
      <c r="AR401" s="102" t="s">
        <v>50</v>
      </c>
      <c r="AS401" s="99"/>
      <c r="AT401" s="65"/>
      <c r="AU401" s="65"/>
      <c r="AV401" s="65"/>
      <c r="AW401" s="65"/>
      <c r="AX401" s="68"/>
      <c r="AY401" s="13"/>
    </row>
    <row r="402" spans="39:51" x14ac:dyDescent="0.25">
      <c r="AM402" s="101" t="s">
        <v>51</v>
      </c>
      <c r="AN402" s="65">
        <v>8</v>
      </c>
      <c r="AO402" s="102" t="s">
        <v>52</v>
      </c>
      <c r="AP402" s="102" t="s">
        <v>53</v>
      </c>
      <c r="AQ402" s="102" t="s">
        <v>54</v>
      </c>
      <c r="AR402" s="102" t="s">
        <v>55</v>
      </c>
      <c r="AS402" s="99"/>
      <c r="AT402" s="65"/>
      <c r="AU402" s="65"/>
      <c r="AV402" s="65"/>
      <c r="AW402" s="65"/>
      <c r="AX402" s="68"/>
      <c r="AY402" s="13"/>
    </row>
    <row r="403" spans="39:51" x14ac:dyDescent="0.25">
      <c r="AM403" s="101" t="s">
        <v>56</v>
      </c>
      <c r="AN403" s="65">
        <v>9</v>
      </c>
      <c r="AO403" s="102" t="s">
        <v>57</v>
      </c>
      <c r="AP403" s="102" t="s">
        <v>58</v>
      </c>
      <c r="AQ403" s="102" t="s">
        <v>59</v>
      </c>
      <c r="AR403" s="102" t="s">
        <v>60</v>
      </c>
      <c r="AS403" s="99"/>
      <c r="AT403" s="65"/>
      <c r="AU403" s="65"/>
      <c r="AV403" s="65"/>
      <c r="AW403" s="65"/>
      <c r="AX403" s="68"/>
      <c r="AY403" s="13"/>
    </row>
    <row r="404" spans="39:51" x14ac:dyDescent="0.25">
      <c r="AM404" s="101" t="s">
        <v>61</v>
      </c>
      <c r="AN404" s="65"/>
      <c r="AO404" s="65"/>
      <c r="AP404" s="65"/>
      <c r="AQ404" s="65"/>
      <c r="AR404" s="65"/>
      <c r="AS404" s="99"/>
      <c r="AT404" s="65"/>
      <c r="AU404" s="65"/>
      <c r="AV404" s="65"/>
      <c r="AW404" s="65"/>
      <c r="AX404" s="68"/>
      <c r="AY404" s="13"/>
    </row>
    <row r="405" spans="39:51" x14ac:dyDescent="0.25">
      <c r="AM405" s="101" t="s">
        <v>62</v>
      </c>
      <c r="AN405" s="65">
        <v>1</v>
      </c>
      <c r="AO405" s="65">
        <v>2</v>
      </c>
      <c r="AP405" s="65">
        <v>3</v>
      </c>
      <c r="AQ405" s="65">
        <v>4</v>
      </c>
      <c r="AR405" s="65">
        <v>5</v>
      </c>
      <c r="AS405" s="99"/>
      <c r="AT405" s="65"/>
      <c r="AU405" s="65"/>
      <c r="AV405" s="65"/>
      <c r="AW405" s="65"/>
      <c r="AX405" s="68"/>
      <c r="AY405" s="13"/>
    </row>
    <row r="406" spans="39:51" x14ac:dyDescent="0.25">
      <c r="AM406" s="101" t="s">
        <v>63</v>
      </c>
      <c r="AN406" s="65"/>
      <c r="AO406" s="65"/>
      <c r="AP406" s="65"/>
      <c r="AQ406" s="65"/>
      <c r="AR406" s="65"/>
      <c r="AS406" s="99"/>
      <c r="AT406" s="65"/>
      <c r="AU406" s="65"/>
      <c r="AV406" s="65"/>
      <c r="AW406" s="65"/>
      <c r="AX406" s="68"/>
      <c r="AY406" s="13"/>
    </row>
    <row r="407" spans="39:51" ht="13.8" thickBot="1" x14ac:dyDescent="0.3">
      <c r="AM407" s="103"/>
      <c r="AN407" s="87"/>
      <c r="AO407" s="87"/>
      <c r="AP407" s="87"/>
      <c r="AQ407" s="87"/>
      <c r="AR407" s="87"/>
      <c r="AS407" s="104"/>
      <c r="AT407" s="65"/>
      <c r="AU407" s="65"/>
      <c r="AV407" s="65"/>
      <c r="AW407" s="65"/>
      <c r="AX407" s="68"/>
      <c r="AY407" s="13"/>
    </row>
    <row r="408" spans="39:51" ht="13.8" thickBot="1" x14ac:dyDescent="0.3">
      <c r="AM408" s="105"/>
      <c r="AN408" s="106"/>
      <c r="AO408" s="106"/>
      <c r="AP408" s="106"/>
      <c r="AQ408" s="106"/>
      <c r="AR408" s="106"/>
      <c r="AS408" s="106"/>
      <c r="AT408" s="106"/>
      <c r="AU408" s="106"/>
      <c r="AV408" s="106"/>
      <c r="AW408" s="106"/>
      <c r="AX408" s="107"/>
      <c r="AY408" s="13"/>
    </row>
    <row r="409" spans="39:51" ht="13.8" thickTop="1" x14ac:dyDescent="0.25"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</row>
    <row r="410" spans="39:51" x14ac:dyDescent="0.25"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</row>
    <row r="411" spans="39:51" x14ac:dyDescent="0.25"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</row>
    <row r="412" spans="39:51" x14ac:dyDescent="0.25">
      <c r="AM412" s="3" t="s">
        <v>3</v>
      </c>
      <c r="AN412" s="3"/>
      <c r="AO412" s="3" t="s">
        <v>4</v>
      </c>
      <c r="AP412" s="3"/>
      <c r="AQ412" s="3"/>
      <c r="AR412" s="3"/>
      <c r="AS412" s="3"/>
      <c r="AT412" s="3"/>
      <c r="AU412" s="3"/>
      <c r="AV412" s="3"/>
      <c r="AW412" s="3"/>
      <c r="AX412" s="3"/>
      <c r="AY412" s="2"/>
    </row>
    <row r="413" spans="39:51" x14ac:dyDescent="0.25">
      <c r="AM413" s="5">
        <f>J6</f>
        <v>0</v>
      </c>
      <c r="AN413" s="3"/>
      <c r="AO413" s="6" t="str">
        <f>CONCATENATE(AT416,AW429,AW428,AW425,AW424,AW421,AU419,AU418,AU417,AU416)</f>
        <v>(  CERO  PESOS,  00/100 M.N.  )</v>
      </c>
      <c r="AP413" s="6"/>
      <c r="AQ413" s="6"/>
      <c r="AR413" s="6"/>
      <c r="AS413" s="6"/>
      <c r="AT413" s="6"/>
      <c r="AU413" s="6"/>
      <c r="AV413" s="6"/>
      <c r="AW413" s="6"/>
      <c r="AX413" s="6"/>
      <c r="AY413" s="2"/>
    </row>
    <row r="414" spans="39:51" ht="13.8" thickBot="1" x14ac:dyDescent="0.3">
      <c r="AM414" s="8"/>
      <c r="AN414" s="3"/>
      <c r="AO414" s="9" t="str">
        <f>CONCATENATE(AT416,AW429,AW428,AW425,AW424,AW421,AU419,AU435,AU434,AU416)</f>
        <v>(  CERO  00/100 U.S. Cy  )</v>
      </c>
      <c r="AP414" s="3"/>
      <c r="AQ414" s="3"/>
      <c r="AR414" s="3"/>
      <c r="AS414" s="3"/>
      <c r="AT414" s="3"/>
      <c r="AU414" s="3"/>
      <c r="AV414" s="3"/>
      <c r="AW414" s="3"/>
      <c r="AX414" s="3"/>
      <c r="AY414" s="4"/>
    </row>
    <row r="415" spans="39:51" ht="13.8" thickTop="1" x14ac:dyDescent="0.25">
      <c r="AM415" s="10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2"/>
      <c r="AY415" s="7"/>
    </row>
    <row r="416" spans="39:51" x14ac:dyDescent="0.25">
      <c r="AM416" s="14" t="str">
        <f>RIGHT(AM418)</f>
        <v>0</v>
      </c>
      <c r="AN416" s="13"/>
      <c r="AO416" s="13"/>
      <c r="AP416" s="13"/>
      <c r="AQ416" s="13"/>
      <c r="AR416" s="13"/>
      <c r="AS416" s="13"/>
      <c r="AT416" s="15" t="s">
        <v>5</v>
      </c>
      <c r="AU416" s="16" t="s">
        <v>6</v>
      </c>
      <c r="AV416" s="13"/>
      <c r="AW416" s="13"/>
      <c r="AX416" s="17"/>
      <c r="AY416" s="4"/>
    </row>
    <row r="417" spans="39:51" x14ac:dyDescent="0.25">
      <c r="AM417" s="14"/>
      <c r="AN417" s="13"/>
      <c r="AO417" s="13"/>
      <c r="AP417" s="16" t="s">
        <v>7</v>
      </c>
      <c r="AQ417" s="13"/>
      <c r="AR417" s="13"/>
      <c r="AS417" s="13"/>
      <c r="AT417" s="13"/>
      <c r="AU417" s="18" t="str">
        <f>CONCATENATE(AP419,AP418,AP417)</f>
        <v>00/100 M.N.</v>
      </c>
      <c r="AV417" s="13"/>
      <c r="AW417" s="13"/>
      <c r="AX417" s="17"/>
      <c r="AY417" s="13"/>
    </row>
    <row r="418" spans="39:51" x14ac:dyDescent="0.25">
      <c r="AM418" s="14" t="str">
        <f>RIGHT(AM438,AN418)</f>
        <v>0</v>
      </c>
      <c r="AN418" s="13">
        <v>1</v>
      </c>
      <c r="AO418" s="19" t="str">
        <f>MID(AM418,1,1)</f>
        <v>0</v>
      </c>
      <c r="AP418" s="13">
        <f>IF(VLOOKUP(AO418,AM440:AN451,2,FALSE)=0,0,VLOOKUP(AO418,AM440:AN451,2,FALSE))</f>
        <v>0</v>
      </c>
      <c r="AQ418" s="13"/>
      <c r="AR418" s="13"/>
      <c r="AS418" s="20"/>
      <c r="AT418" s="20"/>
      <c r="AU418" s="18" t="str">
        <f>IF(AM413&lt;&gt;1,"PESOS,  ","PESO  ")</f>
        <v xml:space="preserve">PESOS,  </v>
      </c>
      <c r="AV418" s="18"/>
      <c r="AW418" s="13"/>
      <c r="AX418" s="17"/>
      <c r="AY418" s="13"/>
    </row>
    <row r="419" spans="39:51" x14ac:dyDescent="0.25">
      <c r="AM419" s="14" t="str">
        <f>RIGHT(AM438,AN419)</f>
        <v>00</v>
      </c>
      <c r="AN419" s="13">
        <v>2</v>
      </c>
      <c r="AO419" s="19" t="str">
        <f>MID(AM419,1,1)</f>
        <v>0</v>
      </c>
      <c r="AP419" s="13">
        <f>IF(VLOOKUP(AO419,AM440:AN451,2,FALSE)=0,0,VLOOKUP(AO419,AM440:AN451,2,FALSE))</f>
        <v>0</v>
      </c>
      <c r="AQ419" s="13"/>
      <c r="AR419" s="13"/>
      <c r="AS419" s="18" t="str">
        <f>IF(SUM(AP421:AP431)=0,"CERO  ","")</f>
        <v xml:space="preserve">CERO  </v>
      </c>
      <c r="AT419" s="18" t="str">
        <f>IF(AP421&gt;2,"Y ","")</f>
        <v/>
      </c>
      <c r="AU419" s="18" t="str">
        <f>IF(SUM(AP421:AP431)=0,AS419,"")</f>
        <v xml:space="preserve">CERO  </v>
      </c>
      <c r="AV419" s="13"/>
      <c r="AW419" s="13"/>
      <c r="AX419" s="17"/>
      <c r="AY419" s="13"/>
    </row>
    <row r="420" spans="39:51" ht="13.8" thickBot="1" x14ac:dyDescent="0.3">
      <c r="AM420" s="14" t="str">
        <f>RIGHT(AM438,AN420)</f>
        <v>.00</v>
      </c>
      <c r="AN420" s="13">
        <v>3</v>
      </c>
      <c r="AO420" s="19" t="str">
        <f>MID(AM420,1,1)</f>
        <v>.</v>
      </c>
      <c r="AP420" s="13">
        <f>IF(VLOOKUP(AO420,AM440:AN451,2,FALSE)=0,0,VLOOKUP(AO420,AM440:AN451,2,FALSE))</f>
        <v>1</v>
      </c>
      <c r="AQ420" s="13"/>
      <c r="AR420" s="19">
        <v>1</v>
      </c>
      <c r="AS420" s="19">
        <v>2</v>
      </c>
      <c r="AT420" s="19">
        <v>3</v>
      </c>
      <c r="AU420" s="19">
        <v>4</v>
      </c>
      <c r="AV420" s="19"/>
      <c r="AW420" s="13"/>
      <c r="AX420" s="17"/>
      <c r="AY420" s="13"/>
    </row>
    <row r="421" spans="39:51" x14ac:dyDescent="0.25">
      <c r="AM421" s="21" t="str">
        <f>RIGHT(AM438,AN421)</f>
        <v>0.00</v>
      </c>
      <c r="AN421" s="22">
        <v>4</v>
      </c>
      <c r="AO421" s="23" t="str">
        <f t="shared" ref="AO421:AO431" si="2">IF(AM421=AM420,"0",MID(AM421,1,1))</f>
        <v>0</v>
      </c>
      <c r="AP421" s="24">
        <f>IF(VLOOKUP(AO421,AM440:AN451,2,FALSE)=0,0,VLOOKUP(AO421,AM440:AN451,2,FALSE))</f>
        <v>0</v>
      </c>
      <c r="AQ421" s="13"/>
      <c r="AR421" s="25" t="str">
        <f>IF(AP421=0,"",VLOOKUP(AP421,AN440:AR449,4,FALSE))</f>
        <v/>
      </c>
      <c r="AS421" s="26" t="e">
        <f>IF(AP422=1,VLOOKUP(AP421,AN440:AR449,5,FALSE),VLOOKUP(AP421,AN440:AR449,4,FALSE))</f>
        <v>#N/A</v>
      </c>
      <c r="AT421" s="26" t="str">
        <f>IF(AP422=1,AS421,AR421)</f>
        <v/>
      </c>
      <c r="AU421" s="27" t="str">
        <f>IF(AP421=0,AR421,AT421)</f>
        <v/>
      </c>
      <c r="AV421" s="13" t="str">
        <f>IF(AND(AP422&gt;2,AP421&gt;0),"Y ","")</f>
        <v/>
      </c>
      <c r="AW421" s="13" t="str">
        <f>CONCATENATE(AU423,AU422,AV421,AU421)</f>
        <v/>
      </c>
      <c r="AX421" s="17"/>
      <c r="AY421" s="13"/>
    </row>
    <row r="422" spans="39:51" x14ac:dyDescent="0.25">
      <c r="AM422" s="14" t="str">
        <f>RIGHT(AM438,AN422)</f>
        <v>0.00</v>
      </c>
      <c r="AN422" s="13">
        <v>5</v>
      </c>
      <c r="AO422" s="19" t="str">
        <f t="shared" si="2"/>
        <v>0</v>
      </c>
      <c r="AP422" s="28">
        <f>IF(VLOOKUP(AO422,AM440:AN451,2,FALSE)=0,0,VLOOKUP(AO422,AM440:AN451,2,FALSE))</f>
        <v>0</v>
      </c>
      <c r="AQ422" s="13"/>
      <c r="AR422" s="29" t="str">
        <f>IF(AP422=0,"",VLOOKUP(AP422,AN440:AR449,3,FALSE))</f>
        <v/>
      </c>
      <c r="AS422" s="18" t="str">
        <f>IF($G422=1,"",AR422)</f>
        <v/>
      </c>
      <c r="AT422" s="18" t="str">
        <f>IF(AP422=2,AS438,AS422)</f>
        <v/>
      </c>
      <c r="AU422" s="30" t="str">
        <f>IF(AP421=0,AR422,AT422)</f>
        <v/>
      </c>
      <c r="AV422" s="18"/>
      <c r="AW422" s="18"/>
      <c r="AX422" s="17"/>
      <c r="AY422" s="13"/>
    </row>
    <row r="423" spans="39:51" ht="13.8" thickBot="1" x14ac:dyDescent="0.3">
      <c r="AM423" s="31" t="str">
        <f>RIGHT(AM438,AN423)</f>
        <v>0.00</v>
      </c>
      <c r="AN423" s="32">
        <v>6</v>
      </c>
      <c r="AO423" s="33" t="str">
        <f t="shared" si="2"/>
        <v>0</v>
      </c>
      <c r="AP423" s="34">
        <f>IF(VLOOKUP(AO423,AM440:AN451,2,FALSE)=0,0,VLOOKUP(AO423,AM440:AN451,2,FALSE))</f>
        <v>0</v>
      </c>
      <c r="AQ423" s="13"/>
      <c r="AR423" s="35" t="str">
        <f>IF(AP423=0,"",VLOOKUP(AP423,AN440:AR449,2,FALSE))</f>
        <v/>
      </c>
      <c r="AS423" s="36"/>
      <c r="AT423" s="37" t="str">
        <f>IF(AP423=1,AO437,AR423)</f>
        <v/>
      </c>
      <c r="AU423" s="38" t="str">
        <f>IF(AP421+AP422=0,AR423,AT423)</f>
        <v/>
      </c>
      <c r="AV423" s="18"/>
      <c r="AW423" s="18"/>
      <c r="AX423" s="17"/>
      <c r="AY423" s="13"/>
    </row>
    <row r="424" spans="39:51" ht="13.8" thickBot="1" x14ac:dyDescent="0.3">
      <c r="AM424" s="14" t="str">
        <f>RIGHT(AM438,AN424)</f>
        <v>0.00</v>
      </c>
      <c r="AN424" s="13">
        <v>7</v>
      </c>
      <c r="AO424" s="19" t="str">
        <f t="shared" si="2"/>
        <v>0</v>
      </c>
      <c r="AP424" s="13">
        <f>IF(VLOOKUP(AO424,AM440:AN451,2,FALSE)=0,0,VLOOKUP(AO424,AM440:AN451,2,FALSE))</f>
        <v>0</v>
      </c>
      <c r="AQ424" s="13"/>
      <c r="AR424" s="18" t="str">
        <f>IF(SUM(AP425:AP427)=0,"","MIL ")</f>
        <v/>
      </c>
      <c r="AS424" s="18"/>
      <c r="AT424" s="18"/>
      <c r="AU424" s="18"/>
      <c r="AV424" s="18"/>
      <c r="AW424" s="18" t="str">
        <f>AR424</f>
        <v/>
      </c>
      <c r="AX424" s="17"/>
      <c r="AY424" s="13"/>
    </row>
    <row r="425" spans="39:51" x14ac:dyDescent="0.25">
      <c r="AM425" s="21" t="str">
        <f>RIGHT(AM438,AN425)</f>
        <v>0.00</v>
      </c>
      <c r="AN425" s="22">
        <v>8</v>
      </c>
      <c r="AO425" s="23" t="str">
        <f t="shared" si="2"/>
        <v>0</v>
      </c>
      <c r="AP425" s="24">
        <f>IF(VLOOKUP(AO425,AM440:AN451,2,FALSE)=0,0,VLOOKUP(AO425,AM440:AN451,2,FALSE))</f>
        <v>0</v>
      </c>
      <c r="AQ425" s="13"/>
      <c r="AR425" s="25" t="str">
        <f>IF(AP425=0,"",VLOOKUP(AP425,AN440:AR449,4,FALSE))</f>
        <v/>
      </c>
      <c r="AS425" s="26" t="e">
        <f>IF(AP426=1,VLOOKUP(AP425,AN440:AR449,5,FALSE),VLOOKUP(AP425,AN440:AR449,4,FALSE))</f>
        <v>#N/A</v>
      </c>
      <c r="AT425" s="26" t="str">
        <f>IF(AP426=1,AS425,AR425)</f>
        <v/>
      </c>
      <c r="AU425" s="27" t="str">
        <f>IF(AP425=0,AR425,AT425)</f>
        <v/>
      </c>
      <c r="AV425" s="13" t="str">
        <f>IF(AND(AP426&gt;2,AP425&gt;0),"Y ","")</f>
        <v/>
      </c>
      <c r="AW425" s="13" t="str">
        <f>CONCATENATE(AU427,AU426,AV425,AU425)</f>
        <v/>
      </c>
      <c r="AX425" s="17"/>
      <c r="AY425" s="13"/>
    </row>
    <row r="426" spans="39:51" x14ac:dyDescent="0.25">
      <c r="AM426" s="14" t="str">
        <f>RIGHT(AM438,AN426)</f>
        <v>0.00</v>
      </c>
      <c r="AN426" s="13">
        <v>9</v>
      </c>
      <c r="AO426" s="19" t="str">
        <f t="shared" si="2"/>
        <v>0</v>
      </c>
      <c r="AP426" s="28">
        <f>IF(VLOOKUP(AO426,AM440:AN451,2,FALSE)=0,0,VLOOKUP(AO426,AM440:AN451,2,FALSE))</f>
        <v>0</v>
      </c>
      <c r="AQ426" s="13"/>
      <c r="AR426" s="29" t="str">
        <f>IF(AP426=0,"",VLOOKUP(AP426,AN440:AR449,3,FALSE))</f>
        <v/>
      </c>
      <c r="AS426" s="18" t="str">
        <f>IF($G426=1,"",AR426)</f>
        <v/>
      </c>
      <c r="AT426" s="18" t="str">
        <f>IF(AP426=2,AS438,AS426)</f>
        <v/>
      </c>
      <c r="AU426" s="30" t="str">
        <f>IF(AP425=0,AR426,AT426)</f>
        <v/>
      </c>
      <c r="AV426" s="18"/>
      <c r="AW426" s="18"/>
      <c r="AX426" s="17"/>
      <c r="AY426" s="13"/>
    </row>
    <row r="427" spans="39:51" ht="13.8" thickBot="1" x14ac:dyDescent="0.3">
      <c r="AM427" s="31" t="str">
        <f>RIGHT(AM438,AN427)</f>
        <v>0.00</v>
      </c>
      <c r="AN427" s="32">
        <v>10</v>
      </c>
      <c r="AO427" s="33" t="str">
        <f t="shared" si="2"/>
        <v>0</v>
      </c>
      <c r="AP427" s="34">
        <f>IF(VLOOKUP(AO427,AM440:AN451,2,FALSE)=0,0,VLOOKUP(AO427,AM440:AN451,2,FALSE))</f>
        <v>0</v>
      </c>
      <c r="AQ427" s="13"/>
      <c r="AR427" s="35" t="str">
        <f>IF(AP427=0,"",VLOOKUP(AP427,AN440:AR451,2,FALSE))</f>
        <v/>
      </c>
      <c r="AS427" s="36"/>
      <c r="AT427" s="37" t="str">
        <f>IF(AP427=1,AO437,AR427)</f>
        <v/>
      </c>
      <c r="AU427" s="38" t="str">
        <f>IF(AP425+AP426=0,AR427,AT427)</f>
        <v/>
      </c>
      <c r="AV427" s="18"/>
      <c r="AW427" s="18"/>
      <c r="AX427" s="17"/>
      <c r="AY427" s="13"/>
    </row>
    <row r="428" spans="39:51" ht="13.8" thickBot="1" x14ac:dyDescent="0.3">
      <c r="AM428" s="14" t="str">
        <f>RIGHT(AM438,AN428)</f>
        <v>0.00</v>
      </c>
      <c r="AN428" s="13">
        <v>11</v>
      </c>
      <c r="AO428" s="19" t="str">
        <f t="shared" si="2"/>
        <v>0</v>
      </c>
      <c r="AP428" s="13">
        <f>IF(VLOOKUP(AO428,AM440:AN451,2,FALSE)=0,0,VLOOKUP(AO428,AM440:AN451,2,FALSE))</f>
        <v>0</v>
      </c>
      <c r="AQ428" s="13"/>
      <c r="AR428" s="18" t="str">
        <f>IF(AM413&gt;1999999.99,"MILLONES","MILLON")</f>
        <v>MILLON</v>
      </c>
      <c r="AS428" s="18"/>
      <c r="AT428" s="18"/>
      <c r="AU428" s="18"/>
      <c r="AV428" s="18" t="str">
        <f>IF(SUM(AP429:AP431)&gt;0,AR428,"")</f>
        <v/>
      </c>
      <c r="AW428" s="13" t="str">
        <f>CONCATENATE(AV428," ",AV430)</f>
        <v xml:space="preserve">  </v>
      </c>
      <c r="AX428" s="17"/>
      <c r="AY428" s="13"/>
    </row>
    <row r="429" spans="39:51" x14ac:dyDescent="0.25">
      <c r="AM429" s="21" t="str">
        <f>RIGHT(AM438,AN429)</f>
        <v>0.00</v>
      </c>
      <c r="AN429" s="22">
        <v>12</v>
      </c>
      <c r="AO429" s="23" t="str">
        <f t="shared" si="2"/>
        <v>0</v>
      </c>
      <c r="AP429" s="24">
        <f>IF(VLOOKUP(AO429,AM440:AN451,2,FALSE)=0,0,VLOOKUP(AO429,AM440:AN451,2,FALSE))</f>
        <v>0</v>
      </c>
      <c r="AQ429" s="13"/>
      <c r="AR429" s="25" t="str">
        <f>IF(AP429=0,"",VLOOKUP(AP429,$C$32:$I$39,4,FALSE))</f>
        <v/>
      </c>
      <c r="AS429" s="26" t="e">
        <f>IF(AP430=1,VLOOKUP(AP429,AN440:AR449,5,FALSE),VLOOKUP(AP429,AN440:AR449,4,FALSE))</f>
        <v>#N/A</v>
      </c>
      <c r="AT429" s="26" t="str">
        <f>IF(AP430=1,AS429,AR429)</f>
        <v/>
      </c>
      <c r="AU429" s="27" t="str">
        <f>IF(AP429=0,AR429,AT429)</f>
        <v/>
      </c>
      <c r="AV429" s="13" t="str">
        <f>IF(AND(AP430&gt;2,AP429&gt;0),"Y ","")</f>
        <v/>
      </c>
      <c r="AW429" s="13" t="str">
        <f>CONCATENATE(AU431,AU430,AV429,AU429)</f>
        <v/>
      </c>
      <c r="AX429" s="17"/>
      <c r="AY429" s="13"/>
    </row>
    <row r="430" spans="39:51" x14ac:dyDescent="0.25">
      <c r="AM430" s="14" t="str">
        <f>RIGHT(AM438,AN430)</f>
        <v>0.00</v>
      </c>
      <c r="AN430" s="13">
        <v>13</v>
      </c>
      <c r="AO430" s="19" t="str">
        <f t="shared" si="2"/>
        <v>0</v>
      </c>
      <c r="AP430" s="28">
        <f>IF(VLOOKUP(AO430,AM440:AN451,2,FALSE)=0,0,VLOOKUP(AO430,AM440:AN451,2,FALSE))</f>
        <v>0</v>
      </c>
      <c r="AQ430" s="13"/>
      <c r="AR430" s="29" t="str">
        <f>IF(AP430=0,"",VLOOKUP(AP430,AN440:AR449,3,FALSE))</f>
        <v/>
      </c>
      <c r="AS430" s="18" t="str">
        <f>IF($G430=1,"",AR430)</f>
        <v/>
      </c>
      <c r="AT430" s="18" t="str">
        <f>IF($G430=2,AS438,AS430)</f>
        <v/>
      </c>
      <c r="AU430" s="30" t="str">
        <f>IF(AP429=0,AR430,AT430)</f>
        <v/>
      </c>
      <c r="AV430" s="13" t="str">
        <f>IF(AND(AM413&gt;0.99,SUM(AP429:AP431)&gt;0),IF(SUM(AP421:AP427)&gt;0," ","DE ")," ")</f>
        <v xml:space="preserve"> </v>
      </c>
      <c r="AW430" s="18"/>
      <c r="AX430" s="17"/>
      <c r="AY430" s="13"/>
    </row>
    <row r="431" spans="39:51" ht="13.8" thickBot="1" x14ac:dyDescent="0.3">
      <c r="AM431" s="31" t="str">
        <f>RIGHT(AM438,AN431)</f>
        <v>0.00</v>
      </c>
      <c r="AN431" s="32">
        <v>14</v>
      </c>
      <c r="AO431" s="33" t="str">
        <f t="shared" si="2"/>
        <v>0</v>
      </c>
      <c r="AP431" s="34">
        <f>IF(VLOOKUP(AO431,AM440:AN451,2,FALSE)=0,0,VLOOKUP(AO431,AM440:AN451,2,FALSE))</f>
        <v>0</v>
      </c>
      <c r="AQ431" s="13"/>
      <c r="AR431" s="35" t="str">
        <f>IF(AP431=0,"",VLOOKUP(AP431,AN440:AR452,2,FALSE))</f>
        <v/>
      </c>
      <c r="AS431" s="36"/>
      <c r="AT431" s="37" t="str">
        <f>IF(AP431=1,AO437,AR431)</f>
        <v/>
      </c>
      <c r="AU431" s="38" t="str">
        <f>IF(AP429+AP430=0,AR431,AT431)</f>
        <v/>
      </c>
      <c r="AV431" s="13"/>
      <c r="AW431" s="18"/>
      <c r="AX431" s="17"/>
      <c r="AY431" s="13"/>
    </row>
    <row r="432" spans="39:51" x14ac:dyDescent="0.25">
      <c r="AM432" s="14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7"/>
      <c r="AY432" s="13"/>
    </row>
    <row r="433" spans="39:51" x14ac:dyDescent="0.25">
      <c r="AM433" s="14"/>
      <c r="AN433" s="13"/>
      <c r="AO433" s="13"/>
      <c r="AP433" s="16" t="s">
        <v>8</v>
      </c>
      <c r="AQ433" s="13"/>
      <c r="AR433" s="13"/>
      <c r="AS433" s="13"/>
      <c r="AT433" s="15" t="s">
        <v>9</v>
      </c>
      <c r="AU433" s="16" t="s">
        <v>6</v>
      </c>
      <c r="AV433" s="13"/>
      <c r="AW433" s="13"/>
      <c r="AX433" s="17"/>
      <c r="AY433" s="13"/>
    </row>
    <row r="434" spans="39:51" x14ac:dyDescent="0.25">
      <c r="AM434" s="14"/>
      <c r="AN434" s="13"/>
      <c r="AO434" s="13"/>
      <c r="AP434" s="13"/>
      <c r="AQ434" s="13"/>
      <c r="AR434" s="13"/>
      <c r="AS434" s="13"/>
      <c r="AT434" s="13"/>
      <c r="AU434" s="18" t="str">
        <f>CONCATENATE(AP419,AP418,AP433)</f>
        <v>00/100 U.S. Cy</v>
      </c>
      <c r="AV434" s="13"/>
      <c r="AW434" s="13"/>
      <c r="AX434" s="17"/>
      <c r="AY434" s="13"/>
    </row>
    <row r="435" spans="39:51" ht="13.8" x14ac:dyDescent="0.25">
      <c r="AM435" s="39" t="str">
        <f>CONCATENATE(AO431,AO430,AO429,AO428,AO427,AO426,AO425,AO424,AO423,AO422,AO421,AO420,AO419,AO418)</f>
        <v>00000000000.00</v>
      </c>
      <c r="AN435" s="13"/>
      <c r="AO435" s="13"/>
      <c r="AP435" s="13"/>
      <c r="AQ435" s="13"/>
      <c r="AR435" s="13"/>
      <c r="AS435" s="13"/>
      <c r="AT435" s="20"/>
      <c r="AU435" s="18"/>
      <c r="AV435" s="13"/>
      <c r="AW435" s="13"/>
      <c r="AX435" s="17"/>
      <c r="AY435" s="13"/>
    </row>
    <row r="436" spans="39:51" ht="13.8" thickBot="1" x14ac:dyDescent="0.3">
      <c r="AM436" s="14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7"/>
      <c r="AY436" s="13"/>
    </row>
    <row r="437" spans="39:51" x14ac:dyDescent="0.25">
      <c r="AM437" s="40"/>
      <c r="AN437" s="41"/>
      <c r="AO437" s="42" t="s">
        <v>10</v>
      </c>
      <c r="AP437" s="43"/>
      <c r="AQ437" s="42"/>
      <c r="AR437" s="43"/>
      <c r="AS437" s="44"/>
      <c r="AT437" s="13"/>
      <c r="AU437" s="13"/>
      <c r="AV437" s="13"/>
      <c r="AW437" s="13"/>
      <c r="AX437" s="17"/>
      <c r="AY437" s="13"/>
    </row>
    <row r="438" spans="39:51" x14ac:dyDescent="0.25">
      <c r="AM438" s="45" t="str">
        <f>FIXED(AM413)</f>
        <v>0.00</v>
      </c>
      <c r="AN438" s="13"/>
      <c r="AO438" s="46" t="s">
        <v>11</v>
      </c>
      <c r="AP438" s="46" t="s">
        <v>12</v>
      </c>
      <c r="AQ438" s="46" t="s">
        <v>13</v>
      </c>
      <c r="AR438" s="47" t="s">
        <v>14</v>
      </c>
      <c r="AS438" s="48" t="s">
        <v>15</v>
      </c>
      <c r="AT438" s="13"/>
      <c r="AU438" s="13"/>
      <c r="AV438" s="13"/>
      <c r="AW438" s="13"/>
      <c r="AX438" s="17"/>
      <c r="AY438" s="13"/>
    </row>
    <row r="439" spans="39:51" x14ac:dyDescent="0.25">
      <c r="AM439" s="14"/>
      <c r="AN439" s="49">
        <v>1</v>
      </c>
      <c r="AO439" s="49">
        <v>8</v>
      </c>
      <c r="AP439" s="49">
        <v>9</v>
      </c>
      <c r="AQ439" s="49">
        <v>10</v>
      </c>
      <c r="AR439" s="49">
        <v>11</v>
      </c>
      <c r="AS439" s="48"/>
      <c r="AT439" s="13"/>
      <c r="AU439" s="13"/>
      <c r="AV439" s="13"/>
      <c r="AW439" s="13"/>
      <c r="AX439" s="17"/>
      <c r="AY439" s="13"/>
    </row>
    <row r="440" spans="39:51" x14ac:dyDescent="0.25">
      <c r="AM440" s="50" t="s">
        <v>16</v>
      </c>
      <c r="AN440" s="13">
        <v>1</v>
      </c>
      <c r="AO440" s="51" t="s">
        <v>17</v>
      </c>
      <c r="AP440" s="51" t="s">
        <v>18</v>
      </c>
      <c r="AQ440" s="51" t="s">
        <v>19</v>
      </c>
      <c r="AR440" s="51" t="s">
        <v>20</v>
      </c>
      <c r="AS440" s="48"/>
      <c r="AT440" s="13"/>
      <c r="AU440" s="13"/>
      <c r="AV440" s="13"/>
      <c r="AW440" s="13"/>
      <c r="AX440" s="17"/>
      <c r="AY440" s="13"/>
    </row>
    <row r="441" spans="39:51" x14ac:dyDescent="0.25">
      <c r="AM441" s="50" t="s">
        <v>21</v>
      </c>
      <c r="AN441" s="13">
        <v>2</v>
      </c>
      <c r="AO441" s="51" t="s">
        <v>22</v>
      </c>
      <c r="AP441" s="51" t="s">
        <v>23</v>
      </c>
      <c r="AQ441" s="51" t="s">
        <v>24</v>
      </c>
      <c r="AR441" s="51" t="s">
        <v>25</v>
      </c>
      <c r="AS441" s="48"/>
      <c r="AT441" s="13"/>
      <c r="AU441" s="13"/>
      <c r="AV441" s="13"/>
      <c r="AW441" s="13"/>
      <c r="AX441" s="17"/>
      <c r="AY441" s="13"/>
    </row>
    <row r="442" spans="39:51" x14ac:dyDescent="0.25">
      <c r="AM442" s="50" t="s">
        <v>26</v>
      </c>
      <c r="AN442" s="13">
        <v>3</v>
      </c>
      <c r="AO442" s="51" t="s">
        <v>27</v>
      </c>
      <c r="AP442" s="51" t="s">
        <v>28</v>
      </c>
      <c r="AQ442" s="51" t="s">
        <v>29</v>
      </c>
      <c r="AR442" s="51" t="s">
        <v>30</v>
      </c>
      <c r="AS442" s="48"/>
      <c r="AT442" s="13"/>
      <c r="AU442" s="13"/>
      <c r="AV442" s="13"/>
      <c r="AW442" s="13"/>
      <c r="AX442" s="17"/>
      <c r="AY442" s="13"/>
    </row>
    <row r="443" spans="39:51" x14ac:dyDescent="0.25">
      <c r="AM443" s="50" t="s">
        <v>31</v>
      </c>
      <c r="AN443" s="13">
        <v>4</v>
      </c>
      <c r="AO443" s="51" t="s">
        <v>32</v>
      </c>
      <c r="AP443" s="51" t="s">
        <v>33</v>
      </c>
      <c r="AQ443" s="51" t="s">
        <v>34</v>
      </c>
      <c r="AR443" s="51" t="s">
        <v>35</v>
      </c>
      <c r="AS443" s="48"/>
      <c r="AT443" s="13"/>
      <c r="AU443" s="13"/>
      <c r="AV443" s="13"/>
      <c r="AW443" s="13"/>
      <c r="AX443" s="17"/>
      <c r="AY443" s="13"/>
    </row>
    <row r="444" spans="39:51" x14ac:dyDescent="0.25">
      <c r="AM444" s="50" t="s">
        <v>36</v>
      </c>
      <c r="AN444" s="13">
        <v>5</v>
      </c>
      <c r="AO444" s="51" t="s">
        <v>37</v>
      </c>
      <c r="AP444" s="51" t="s">
        <v>38</v>
      </c>
      <c r="AQ444" s="51" t="s">
        <v>39</v>
      </c>
      <c r="AR444" s="51" t="s">
        <v>40</v>
      </c>
      <c r="AS444" s="48"/>
      <c r="AT444" s="13"/>
      <c r="AU444" s="13"/>
      <c r="AV444" s="13"/>
      <c r="AW444" s="13"/>
      <c r="AX444" s="17"/>
      <c r="AY444" s="13"/>
    </row>
    <row r="445" spans="39:51" x14ac:dyDescent="0.25">
      <c r="AM445" s="50" t="s">
        <v>41</v>
      </c>
      <c r="AN445" s="13">
        <v>6</v>
      </c>
      <c r="AO445" s="51" t="s">
        <v>42</v>
      </c>
      <c r="AP445" s="51" t="s">
        <v>43</v>
      </c>
      <c r="AQ445" s="51" t="s">
        <v>44</v>
      </c>
      <c r="AR445" s="51" t="s">
        <v>45</v>
      </c>
      <c r="AS445" s="48"/>
      <c r="AT445" s="13"/>
      <c r="AU445" s="13"/>
      <c r="AV445" s="13"/>
      <c r="AW445" s="13"/>
      <c r="AX445" s="17"/>
      <c r="AY445" s="13"/>
    </row>
    <row r="446" spans="39:51" x14ac:dyDescent="0.25">
      <c r="AM446" s="50" t="s">
        <v>46</v>
      </c>
      <c r="AN446" s="13">
        <v>7</v>
      </c>
      <c r="AO446" s="51" t="s">
        <v>47</v>
      </c>
      <c r="AP446" s="51" t="s">
        <v>48</v>
      </c>
      <c r="AQ446" s="51" t="s">
        <v>49</v>
      </c>
      <c r="AR446" s="51" t="s">
        <v>50</v>
      </c>
      <c r="AS446" s="48"/>
      <c r="AT446" s="13"/>
      <c r="AU446" s="13"/>
      <c r="AV446" s="13"/>
      <c r="AW446" s="13"/>
      <c r="AX446" s="17"/>
      <c r="AY446" s="13"/>
    </row>
    <row r="447" spans="39:51" x14ac:dyDescent="0.25">
      <c r="AM447" s="50" t="s">
        <v>51</v>
      </c>
      <c r="AN447" s="13">
        <v>8</v>
      </c>
      <c r="AO447" s="51" t="s">
        <v>52</v>
      </c>
      <c r="AP447" s="51" t="s">
        <v>53</v>
      </c>
      <c r="AQ447" s="51" t="s">
        <v>54</v>
      </c>
      <c r="AR447" s="51" t="s">
        <v>55</v>
      </c>
      <c r="AS447" s="48"/>
      <c r="AT447" s="13"/>
      <c r="AU447" s="13"/>
      <c r="AV447" s="13"/>
      <c r="AW447" s="13"/>
      <c r="AX447" s="17"/>
      <c r="AY447" s="13"/>
    </row>
    <row r="448" spans="39:51" x14ac:dyDescent="0.25">
      <c r="AM448" s="50" t="s">
        <v>56</v>
      </c>
      <c r="AN448" s="13">
        <v>9</v>
      </c>
      <c r="AO448" s="51" t="s">
        <v>57</v>
      </c>
      <c r="AP448" s="51" t="s">
        <v>58</v>
      </c>
      <c r="AQ448" s="51" t="s">
        <v>59</v>
      </c>
      <c r="AR448" s="51" t="s">
        <v>60</v>
      </c>
      <c r="AS448" s="48"/>
      <c r="AT448" s="13"/>
      <c r="AU448" s="13"/>
      <c r="AV448" s="13"/>
      <c r="AW448" s="13"/>
      <c r="AX448" s="17"/>
      <c r="AY448" s="13"/>
    </row>
    <row r="449" spans="39:51" x14ac:dyDescent="0.25">
      <c r="AM449" s="50" t="s">
        <v>61</v>
      </c>
      <c r="AN449" s="13"/>
      <c r="AO449" s="13"/>
      <c r="AP449" s="13"/>
      <c r="AQ449" s="13"/>
      <c r="AR449" s="13"/>
      <c r="AS449" s="48"/>
      <c r="AT449" s="13"/>
      <c r="AU449" s="13"/>
      <c r="AV449" s="13"/>
      <c r="AW449" s="13"/>
      <c r="AX449" s="17"/>
      <c r="AY449" s="13"/>
    </row>
    <row r="450" spans="39:51" x14ac:dyDescent="0.25">
      <c r="AM450" s="50" t="s">
        <v>62</v>
      </c>
      <c r="AN450" s="13">
        <v>1</v>
      </c>
      <c r="AO450" s="13">
        <v>2</v>
      </c>
      <c r="AP450" s="13">
        <v>3</v>
      </c>
      <c r="AQ450" s="13">
        <v>4</v>
      </c>
      <c r="AR450" s="13">
        <v>5</v>
      </c>
      <c r="AS450" s="48"/>
      <c r="AT450" s="13"/>
      <c r="AU450" s="13"/>
      <c r="AV450" s="13"/>
      <c r="AW450" s="13"/>
      <c r="AX450" s="17"/>
      <c r="AY450" s="13"/>
    </row>
    <row r="451" spans="39:51" x14ac:dyDescent="0.25">
      <c r="AM451" s="50" t="s">
        <v>63</v>
      </c>
      <c r="AN451" s="13"/>
      <c r="AO451" s="13"/>
      <c r="AP451" s="13"/>
      <c r="AQ451" s="13"/>
      <c r="AR451" s="13"/>
      <c r="AS451" s="48"/>
      <c r="AT451" s="13"/>
      <c r="AU451" s="13"/>
      <c r="AV451" s="13"/>
      <c r="AW451" s="13"/>
      <c r="AX451" s="17"/>
      <c r="AY451" s="13"/>
    </row>
    <row r="452" spans="39:51" ht="13.8" thickBot="1" x14ac:dyDescent="0.3">
      <c r="AM452" s="52"/>
      <c r="AN452" s="36"/>
      <c r="AO452" s="36"/>
      <c r="AP452" s="36"/>
      <c r="AQ452" s="36"/>
      <c r="AR452" s="36"/>
      <c r="AS452" s="53"/>
      <c r="AT452" s="13"/>
      <c r="AU452" s="13"/>
      <c r="AV452" s="13"/>
      <c r="AW452" s="13"/>
      <c r="AX452" s="17"/>
      <c r="AY452" s="13"/>
    </row>
    <row r="453" spans="39:51" ht="13.8" thickBot="1" x14ac:dyDescent="0.3">
      <c r="AM453" s="54"/>
      <c r="AN453" s="55"/>
      <c r="AO453" s="55"/>
      <c r="AP453" s="55"/>
      <c r="AQ453" s="55"/>
      <c r="AR453" s="55"/>
      <c r="AS453" s="55"/>
      <c r="AT453" s="55"/>
      <c r="AU453" s="55"/>
      <c r="AV453" s="55"/>
      <c r="AW453" s="55"/>
      <c r="AX453" s="56"/>
      <c r="AY453" s="13"/>
    </row>
    <row r="454" spans="39:51" ht="13.8" thickTop="1" x14ac:dyDescent="0.25">
      <c r="AM454" s="2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</row>
  </sheetData>
  <mergeCells count="2">
    <mergeCell ref="E5:F5"/>
    <mergeCell ref="A10:F10"/>
  </mergeCells>
  <pageMargins left="0.39370078740157483" right="0.39370078740157483" top="0.43307086614173229" bottom="0.39370078740157483" header="0.51181102362204722" footer="0.51181102362204722"/>
  <pageSetup orientation="portrait" r:id="rId1"/>
  <headerFooter>
    <oddFooter>&amp;CAránzazu 205, Rincón de los Arcos. Tel. (462)105-44-48, www.grupoingenieria.com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DETALLE</vt:lpstr>
      <vt:lpstr>BDD COSTOS</vt:lpstr>
      <vt:lpstr>fto detalle</vt:lpstr>
      <vt:lpstr>general</vt:lpstr>
      <vt:lpstr>CONCEPTO SIN DETALLE</vt:lpstr>
      <vt:lpstr>CONCEPTO AL DETALLE</vt:lpstr>
      <vt:lpstr>'CONCEPTO AL DETALLE'!Área_de_impresión</vt:lpstr>
      <vt:lpstr>'CONCEPTO SIN DETALLE'!Área_de_impresión</vt:lpstr>
      <vt:lpstr>general!Área_de_impresión</vt:lpstr>
      <vt:lpstr>'CONCEPTO AL DETALLE'!Títulos_a_imprimir</vt:lpstr>
      <vt:lpstr>'CONCEPTO SIN DETALLE'!Títulos_a_imprimir</vt:lpstr>
      <vt:lpstr>'fto detalle'!Títulos_a_imprimir</vt:lpstr>
      <vt:lpstr>general!Títulos_a_imprimir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Carlos</cp:lastModifiedBy>
  <cp:lastPrinted>2023-06-02T03:03:34Z</cp:lastPrinted>
  <dcterms:created xsi:type="dcterms:W3CDTF">2007-03-07T00:05:59Z</dcterms:created>
  <dcterms:modified xsi:type="dcterms:W3CDTF">2023-06-02T03:07:05Z</dcterms:modified>
</cp:coreProperties>
</file>